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pivotTables/pivotTable16.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G:\work\Data_Analystic\Excel Project\"/>
    </mc:Choice>
  </mc:AlternateContent>
  <xr:revisionPtr revIDLastSave="0" documentId="13_ncr:1_{504C4473-E01D-487C-A231-2C63D32E82B6}" xr6:coauthVersionLast="47" xr6:coauthVersionMax="47" xr10:uidLastSave="{00000000-0000-0000-0000-000000000000}"/>
  <bookViews>
    <workbookView xWindow="-120" yWindow="-120" windowWidth="20730" windowHeight="11040" xr2:uid="{E30599CF-A981-43C4-AAEF-3E7C4EAF5D3D}"/>
  </bookViews>
  <sheets>
    <sheet name="All_India_Index_Raw_Data" sheetId="1" r:id="rId1"/>
    <sheet name="Data_clean" sheetId="2" r:id="rId2"/>
    <sheet name="Table1" sheetId="4" r:id="rId3"/>
    <sheet name="Pivot_Analyses" sheetId="11" r:id="rId4"/>
    <sheet name="Analyses" sheetId="10" r:id="rId5"/>
    <sheet name="Problem 1" sheetId="13" r:id="rId6"/>
    <sheet name="Insight 1" sheetId="14" r:id="rId7"/>
    <sheet name="Problem 2" sheetId="15" r:id="rId8"/>
    <sheet name="Insight 2" sheetId="16" r:id="rId9"/>
    <sheet name="Problem 3" sheetId="18" r:id="rId10"/>
    <sheet name="Insight 3" sheetId="28" r:id="rId11"/>
    <sheet name="Problem 4" sheetId="21" r:id="rId12"/>
    <sheet name="Insight 4" sheetId="24" r:id="rId13"/>
    <sheet name="Problem 5" sheetId="25" r:id="rId14"/>
    <sheet name="Insight 5" sheetId="30" r:id="rId15"/>
    <sheet name="Sheet2" sheetId="32" r:id="rId16"/>
  </sheets>
  <definedNames>
    <definedName name="_xlnm._FilterDatabase" localSheetId="1" hidden="1">Data_clean!$A$7:$AD$379</definedName>
    <definedName name="ExternalData_1" localSheetId="2" hidden="1">Table1!$A$1:$AD$373</definedName>
  </definedNames>
  <calcPr calcId="191029"/>
  <pivotCaches>
    <pivotCache cacheId="0" r:id="rId1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1" i="30" l="1"/>
  <c r="J32" i="30"/>
  <c r="J33" i="30"/>
  <c r="J34" i="30"/>
  <c r="BA42" i="11"/>
  <c r="J19" i="30"/>
  <c r="J20" i="30"/>
  <c r="J21" i="30"/>
  <c r="J22" i="30"/>
  <c r="J23" i="30"/>
  <c r="J24" i="30"/>
  <c r="J25" i="30"/>
  <c r="J26" i="30"/>
  <c r="J27" i="30"/>
  <c r="J28" i="30"/>
  <c r="J29" i="30"/>
  <c r="J18" i="30"/>
  <c r="J6" i="30"/>
  <c r="J7" i="30"/>
  <c r="J8" i="30"/>
  <c r="J9" i="30"/>
  <c r="J10" i="30"/>
  <c r="J11" i="30"/>
  <c r="J12" i="30"/>
  <c r="J13" i="30"/>
  <c r="J14" i="30"/>
  <c r="J15" i="30"/>
  <c r="J16" i="30"/>
  <c r="J5" i="30"/>
  <c r="J42" i="28"/>
  <c r="L42" i="28"/>
  <c r="N42" i="28"/>
  <c r="M42" i="28"/>
  <c r="K42" i="28"/>
  <c r="I42" i="28"/>
  <c r="H42" i="28"/>
  <c r="G42" i="28"/>
  <c r="F42" i="28"/>
  <c r="E42" i="28"/>
  <c r="D42" i="28"/>
  <c r="C42" i="28"/>
  <c r="B42" i="28"/>
  <c r="B4" i="11"/>
  <c r="C4" i="11"/>
  <c r="D4" i="11"/>
  <c r="E4" i="11"/>
  <c r="F4" i="11"/>
  <c r="D36" i="24"/>
  <c r="C36" i="24"/>
  <c r="B36" i="24"/>
  <c r="D35" i="24"/>
  <c r="C35" i="24"/>
  <c r="B35" i="24"/>
  <c r="D34" i="24"/>
  <c r="C34" i="24"/>
  <c r="B34" i="24"/>
  <c r="D33" i="24"/>
  <c r="C33" i="24"/>
  <c r="B33" i="24"/>
  <c r="D32" i="24"/>
  <c r="C32" i="24"/>
  <c r="B32" i="24"/>
  <c r="D31" i="24"/>
  <c r="C31" i="24"/>
  <c r="B31" i="24"/>
  <c r="D30" i="24"/>
  <c r="C30" i="24"/>
  <c r="B30" i="24"/>
  <c r="D29" i="24"/>
  <c r="C29" i="24"/>
  <c r="B29" i="24"/>
  <c r="D28" i="24"/>
  <c r="C28" i="24"/>
  <c r="B28" i="24"/>
  <c r="D27" i="24"/>
  <c r="C27" i="24"/>
  <c r="B27" i="24"/>
  <c r="D26" i="24"/>
  <c r="C26" i="24"/>
  <c r="B26" i="24"/>
  <c r="D25" i="24"/>
  <c r="C25" i="24"/>
  <c r="B25" i="24"/>
  <c r="B33" i="16"/>
  <c r="C22" i="16"/>
  <c r="C21" i="16"/>
  <c r="C20" i="16"/>
  <c r="C19" i="16"/>
  <c r="C18" i="16"/>
  <c r="C17" i="16"/>
  <c r="B10" i="14"/>
  <c r="C8" i="14"/>
  <c r="C7" i="14"/>
  <c r="C6" i="14"/>
  <c r="C5" i="14"/>
  <c r="C4" i="14"/>
  <c r="C3" i="14"/>
  <c r="V21" i="10"/>
  <c r="U21" i="10"/>
  <c r="T21" i="10"/>
  <c r="S21" i="10"/>
  <c r="R21" i="10"/>
  <c r="Q21" i="10"/>
  <c r="V20" i="10"/>
  <c r="V20" i="10" a="1"/>
  <c r="U20" i="10"/>
  <c r="U20" i="10" a="1"/>
  <c r="T20" i="10"/>
  <c r="T20" i="10" a="1"/>
  <c r="S20" i="10"/>
  <c r="S20" i="10" a="1"/>
  <c r="R20" i="10"/>
  <c r="R20" i="10" a="1"/>
  <c r="Q20" i="10"/>
  <c r="Q20" i="10" a="1"/>
  <c r="X19" i="10"/>
  <c r="V19" i="10"/>
  <c r="U19" i="10"/>
  <c r="T19" i="10"/>
  <c r="S19" i="10"/>
  <c r="R19" i="10"/>
  <c r="Q19" i="10"/>
  <c r="Q29" i="11"/>
  <c r="M29" i="11"/>
  <c r="I29" i="11"/>
  <c r="R28" i="11"/>
  <c r="N28" i="11"/>
  <c r="J28" i="11"/>
  <c r="S27" i="11"/>
  <c r="O27" i="11"/>
  <c r="K27" i="11"/>
  <c r="G27" i="11"/>
  <c r="AM36" i="11"/>
  <c r="T26" i="11"/>
  <c r="R27" i="11" s="1"/>
  <c r="AM35" i="11"/>
  <c r="AI35" i="11"/>
  <c r="AE35" i="11"/>
  <c r="AA35" i="11"/>
  <c r="W35" i="11"/>
  <c r="T25" i="11"/>
  <c r="AM34" i="11"/>
  <c r="AH34" i="11"/>
  <c r="AD34" i="11"/>
  <c r="Z34" i="11"/>
  <c r="T24" i="11"/>
  <c r="AM33" i="11"/>
  <c r="AG33" i="11"/>
  <c r="AC33" i="11"/>
  <c r="Y33" i="11"/>
  <c r="T23" i="11"/>
  <c r="AM32" i="11"/>
  <c r="AF32" i="11"/>
  <c r="AB32" i="11"/>
  <c r="X32" i="11"/>
  <c r="T22" i="11"/>
  <c r="AM31" i="11"/>
  <c r="AI31" i="11"/>
  <c r="AE31" i="11"/>
  <c r="AA31" i="11"/>
  <c r="W31" i="11"/>
  <c r="T21" i="11"/>
  <c r="T20" i="11"/>
  <c r="P29" i="11" s="1"/>
  <c r="AM29" i="11"/>
  <c r="AI29" i="11"/>
  <c r="AE29" i="11"/>
  <c r="AA29" i="11"/>
  <c r="W29" i="11"/>
  <c r="T19" i="11"/>
  <c r="AM28" i="11"/>
  <c r="AH28" i="11"/>
  <c r="AD28" i="11"/>
  <c r="Z28" i="11"/>
  <c r="T18" i="11"/>
  <c r="AM27" i="11"/>
  <c r="AG27" i="11"/>
  <c r="AC27" i="11"/>
  <c r="Y27" i="11"/>
  <c r="T17" i="11"/>
  <c r="AM26" i="11"/>
  <c r="AF26" i="11"/>
  <c r="AB26" i="11"/>
  <c r="X26" i="11"/>
  <c r="T16" i="11"/>
  <c r="AM25" i="11"/>
  <c r="AI25" i="11"/>
  <c r="AE25" i="11"/>
  <c r="AA25" i="11"/>
  <c r="W25" i="11"/>
  <c r="T15" i="11"/>
  <c r="D15" i="11"/>
  <c r="BS24" i="11"/>
  <c r="BR24" i="11"/>
  <c r="BQ24" i="11"/>
  <c r="BP24" i="11"/>
  <c r="BO24" i="11"/>
  <c r="AM24" i="11"/>
  <c r="AF24" i="11"/>
  <c r="AB24" i="11"/>
  <c r="X24" i="11"/>
  <c r="T14" i="11"/>
  <c r="D14" i="11"/>
  <c r="BS23" i="11"/>
  <c r="BR23" i="11"/>
  <c r="BQ23" i="11"/>
  <c r="BP23" i="11"/>
  <c r="BO23" i="11"/>
  <c r="BN23" i="11"/>
  <c r="AM23" i="11"/>
  <c r="AH23" i="11"/>
  <c r="AD23" i="11"/>
  <c r="Z23" i="11"/>
  <c r="T13" i="11"/>
  <c r="D13" i="11"/>
  <c r="BS22" i="11"/>
  <c r="BR22" i="11"/>
  <c r="BQ22" i="11"/>
  <c r="BP22" i="11"/>
  <c r="BO22" i="11"/>
  <c r="BN22" i="11"/>
  <c r="AM22" i="11"/>
  <c r="AF22" i="11"/>
  <c r="AB22" i="11"/>
  <c r="X22" i="11"/>
  <c r="T12" i="11"/>
  <c r="D12" i="11"/>
  <c r="AM21" i="11"/>
  <c r="AF21" i="11"/>
  <c r="AB21" i="11"/>
  <c r="X21" i="11"/>
  <c r="T11" i="11"/>
  <c r="D11" i="11"/>
  <c r="AM20" i="11"/>
  <c r="AF20" i="11"/>
  <c r="AB20" i="11"/>
  <c r="X20" i="11"/>
  <c r="T10" i="11"/>
  <c r="D10" i="11"/>
  <c r="AM19" i="11"/>
  <c r="AF19" i="11"/>
  <c r="AB19" i="11"/>
  <c r="X19" i="11"/>
  <c r="T9" i="11"/>
  <c r="D9" i="11"/>
  <c r="AM18" i="11"/>
  <c r="AF18" i="11"/>
  <c r="AE18" i="11"/>
  <c r="AB18" i="11"/>
  <c r="AA18" i="11"/>
  <c r="X18" i="11"/>
  <c r="W18" i="11"/>
  <c r="T8" i="11"/>
  <c r="AH35" i="11" s="1"/>
  <c r="T7" i="11"/>
  <c r="Q28" i="11" s="1"/>
  <c r="G3" i="11"/>
  <c r="AL373" i="4"/>
  <c r="AK373" i="4"/>
  <c r="AJ373" i="4"/>
  <c r="AI373" i="4"/>
  <c r="AH373" i="4"/>
  <c r="AG373" i="4"/>
  <c r="AF373" i="4"/>
  <c r="AE373" i="4"/>
  <c r="AL372" i="4"/>
  <c r="AK372" i="4"/>
  <c r="AJ372" i="4"/>
  <c r="AI372" i="4"/>
  <c r="AH372" i="4"/>
  <c r="AG372" i="4"/>
  <c r="AF372" i="4"/>
  <c r="AE372" i="4"/>
  <c r="AL371" i="4"/>
  <c r="AK371" i="4"/>
  <c r="AJ371" i="4"/>
  <c r="AI371" i="4"/>
  <c r="AH371" i="4"/>
  <c r="AG371" i="4"/>
  <c r="AF371" i="4"/>
  <c r="AE371" i="4"/>
  <c r="AL370" i="4"/>
  <c r="AK370" i="4"/>
  <c r="AJ370" i="4"/>
  <c r="AI370" i="4"/>
  <c r="AH370" i="4"/>
  <c r="AG370" i="4"/>
  <c r="AF370" i="4"/>
  <c r="AE370" i="4"/>
  <c r="AL369" i="4"/>
  <c r="AK369" i="4"/>
  <c r="AJ369" i="4"/>
  <c r="AI369" i="4"/>
  <c r="AH369" i="4"/>
  <c r="AG369" i="4"/>
  <c r="AF369" i="4"/>
  <c r="AE369" i="4"/>
  <c r="AL368" i="4"/>
  <c r="AK368" i="4"/>
  <c r="AJ368" i="4"/>
  <c r="AI368" i="4"/>
  <c r="AH368" i="4"/>
  <c r="AG368" i="4"/>
  <c r="AF368" i="4"/>
  <c r="AE368" i="4"/>
  <c r="AL367" i="4"/>
  <c r="AK367" i="4"/>
  <c r="AJ367" i="4"/>
  <c r="AI367" i="4"/>
  <c r="AH367" i="4"/>
  <c r="AG367" i="4"/>
  <c r="AF367" i="4"/>
  <c r="AE367" i="4"/>
  <c r="AL366" i="4"/>
  <c r="AK366" i="4"/>
  <c r="AJ366" i="4"/>
  <c r="AI366" i="4"/>
  <c r="AH366" i="4"/>
  <c r="AG366" i="4"/>
  <c r="AF366" i="4"/>
  <c r="AE366" i="4"/>
  <c r="AL365" i="4"/>
  <c r="AK365" i="4"/>
  <c r="AJ365" i="4"/>
  <c r="AI365" i="4"/>
  <c r="AH365" i="4"/>
  <c r="AG365" i="4"/>
  <c r="AF365" i="4"/>
  <c r="AE365" i="4"/>
  <c r="AL364" i="4"/>
  <c r="AK364" i="4"/>
  <c r="AJ364" i="4"/>
  <c r="AI364" i="4"/>
  <c r="AH364" i="4"/>
  <c r="AG364" i="4"/>
  <c r="AF364" i="4"/>
  <c r="AE364" i="4"/>
  <c r="AL363" i="4"/>
  <c r="AK363" i="4"/>
  <c r="AJ363" i="4"/>
  <c r="AI363" i="4"/>
  <c r="AH363" i="4"/>
  <c r="AG363" i="4"/>
  <c r="AF363" i="4"/>
  <c r="AE363" i="4"/>
  <c r="AL362" i="4"/>
  <c r="AK362" i="4"/>
  <c r="AJ362" i="4"/>
  <c r="AI362" i="4"/>
  <c r="AH362" i="4"/>
  <c r="AG362" i="4"/>
  <c r="AF362" i="4"/>
  <c r="AE362" i="4"/>
  <c r="AL361" i="4"/>
  <c r="AK361" i="4"/>
  <c r="AJ361" i="4"/>
  <c r="AI361" i="4"/>
  <c r="AH361" i="4"/>
  <c r="AG361" i="4"/>
  <c r="AF361" i="4"/>
  <c r="AE361" i="4"/>
  <c r="AL360" i="4"/>
  <c r="AK360" i="4"/>
  <c r="AJ360" i="4"/>
  <c r="AI360" i="4"/>
  <c r="AH360" i="4"/>
  <c r="AG360" i="4"/>
  <c r="AF360" i="4"/>
  <c r="AE360" i="4"/>
  <c r="AL359" i="4"/>
  <c r="AK359" i="4"/>
  <c r="AJ359" i="4"/>
  <c r="AI359" i="4"/>
  <c r="AH359" i="4"/>
  <c r="AG359" i="4"/>
  <c r="AF359" i="4"/>
  <c r="AE359" i="4"/>
  <c r="AL358" i="4"/>
  <c r="AK358" i="4"/>
  <c r="AJ358" i="4"/>
  <c r="AI358" i="4"/>
  <c r="AH358" i="4"/>
  <c r="AG358" i="4"/>
  <c r="AF358" i="4"/>
  <c r="AE358" i="4"/>
  <c r="AL357" i="4"/>
  <c r="AK357" i="4"/>
  <c r="AJ357" i="4"/>
  <c r="AI357" i="4"/>
  <c r="AH357" i="4"/>
  <c r="AG357" i="4"/>
  <c r="AF357" i="4"/>
  <c r="AE357" i="4"/>
  <c r="AL356" i="4"/>
  <c r="AK356" i="4"/>
  <c r="AJ356" i="4"/>
  <c r="AI356" i="4"/>
  <c r="AH356" i="4"/>
  <c r="AG356" i="4"/>
  <c r="AF356" i="4"/>
  <c r="AE356" i="4"/>
  <c r="AL355" i="4"/>
  <c r="AK355" i="4"/>
  <c r="AJ355" i="4"/>
  <c r="AI355" i="4"/>
  <c r="AH355" i="4"/>
  <c r="AG355" i="4"/>
  <c r="AF355" i="4"/>
  <c r="AE355" i="4"/>
  <c r="AL354" i="4"/>
  <c r="AK354" i="4"/>
  <c r="AJ354" i="4"/>
  <c r="AI354" i="4"/>
  <c r="AH354" i="4"/>
  <c r="AG354" i="4"/>
  <c r="AF354" i="4"/>
  <c r="AE354" i="4"/>
  <c r="AL353" i="4"/>
  <c r="AK353" i="4"/>
  <c r="AJ353" i="4"/>
  <c r="AI353" i="4"/>
  <c r="AH353" i="4"/>
  <c r="AG353" i="4"/>
  <c r="AF353" i="4"/>
  <c r="AE353" i="4"/>
  <c r="AL352" i="4"/>
  <c r="AK352" i="4"/>
  <c r="AJ352" i="4"/>
  <c r="AI352" i="4"/>
  <c r="AH352" i="4"/>
  <c r="AG352" i="4"/>
  <c r="AF352" i="4"/>
  <c r="AE352" i="4"/>
  <c r="AL351" i="4"/>
  <c r="AK351" i="4"/>
  <c r="AJ351" i="4"/>
  <c r="AI351" i="4"/>
  <c r="AH351" i="4"/>
  <c r="AG351" i="4"/>
  <c r="AF351" i="4"/>
  <c r="AE351" i="4"/>
  <c r="AL350" i="4"/>
  <c r="AK350" i="4"/>
  <c r="AJ350" i="4"/>
  <c r="AI350" i="4"/>
  <c r="AH350" i="4"/>
  <c r="AG350" i="4"/>
  <c r="AF350" i="4"/>
  <c r="AE350" i="4"/>
  <c r="AL349" i="4"/>
  <c r="AK349" i="4"/>
  <c r="AJ349" i="4"/>
  <c r="AI349" i="4"/>
  <c r="AH349" i="4"/>
  <c r="AG349" i="4"/>
  <c r="AF349" i="4"/>
  <c r="AE349" i="4"/>
  <c r="AL348" i="4"/>
  <c r="AK348" i="4"/>
  <c r="AJ348" i="4"/>
  <c r="AI348" i="4"/>
  <c r="AH348" i="4"/>
  <c r="AG348" i="4"/>
  <c r="AF348" i="4"/>
  <c r="AE348" i="4"/>
  <c r="AL347" i="4"/>
  <c r="AK347" i="4"/>
  <c r="AJ347" i="4"/>
  <c r="AI347" i="4"/>
  <c r="AH347" i="4"/>
  <c r="AG347" i="4"/>
  <c r="AF347" i="4"/>
  <c r="AE347" i="4"/>
  <c r="AL346" i="4"/>
  <c r="AK346" i="4"/>
  <c r="AJ346" i="4"/>
  <c r="AI346" i="4"/>
  <c r="AH346" i="4"/>
  <c r="AG346" i="4"/>
  <c r="AF346" i="4"/>
  <c r="AE346" i="4"/>
  <c r="AL345" i="4"/>
  <c r="AK345" i="4"/>
  <c r="AJ345" i="4"/>
  <c r="AI345" i="4"/>
  <c r="AH345" i="4"/>
  <c r="AG345" i="4"/>
  <c r="AF345" i="4"/>
  <c r="AE345" i="4"/>
  <c r="AL344" i="4"/>
  <c r="AK344" i="4"/>
  <c r="AJ344" i="4"/>
  <c r="AI344" i="4"/>
  <c r="AH344" i="4"/>
  <c r="AG344" i="4"/>
  <c r="AF344" i="4"/>
  <c r="AE344" i="4"/>
  <c r="AL343" i="4"/>
  <c r="AK343" i="4"/>
  <c r="AJ343" i="4"/>
  <c r="AI343" i="4"/>
  <c r="AH343" i="4"/>
  <c r="AG343" i="4"/>
  <c r="AF343" i="4"/>
  <c r="AE343" i="4"/>
  <c r="AL342" i="4"/>
  <c r="AK342" i="4"/>
  <c r="AJ342" i="4"/>
  <c r="AI342" i="4"/>
  <c r="AH342" i="4"/>
  <c r="AG342" i="4"/>
  <c r="AF342" i="4"/>
  <c r="AE342" i="4"/>
  <c r="AL341" i="4"/>
  <c r="AK341" i="4"/>
  <c r="AJ341" i="4"/>
  <c r="AI341" i="4"/>
  <c r="AH341" i="4"/>
  <c r="AG341" i="4"/>
  <c r="AF341" i="4"/>
  <c r="AE341" i="4"/>
  <c r="AL340" i="4"/>
  <c r="AK340" i="4"/>
  <c r="AJ340" i="4"/>
  <c r="AI340" i="4"/>
  <c r="AH340" i="4"/>
  <c r="AG340" i="4"/>
  <c r="AF340" i="4"/>
  <c r="AE340" i="4"/>
  <c r="AL339" i="4"/>
  <c r="AK339" i="4"/>
  <c r="AJ339" i="4"/>
  <c r="AI339" i="4"/>
  <c r="AH339" i="4"/>
  <c r="AG339" i="4"/>
  <c r="AF339" i="4"/>
  <c r="AE339" i="4"/>
  <c r="AL338" i="4"/>
  <c r="AK338" i="4"/>
  <c r="AJ338" i="4"/>
  <c r="AI338" i="4"/>
  <c r="AH338" i="4"/>
  <c r="AG338" i="4"/>
  <c r="AF338" i="4"/>
  <c r="AE338" i="4"/>
  <c r="AL337" i="4"/>
  <c r="AK337" i="4"/>
  <c r="AJ337" i="4"/>
  <c r="AI337" i="4"/>
  <c r="AH337" i="4"/>
  <c r="AG337" i="4"/>
  <c r="AF337" i="4"/>
  <c r="AE337" i="4"/>
  <c r="AL336" i="4"/>
  <c r="AK336" i="4"/>
  <c r="AJ336" i="4"/>
  <c r="AI336" i="4"/>
  <c r="AH336" i="4"/>
  <c r="AG336" i="4"/>
  <c r="AF336" i="4"/>
  <c r="AE336" i="4"/>
  <c r="AL335" i="4"/>
  <c r="AK335" i="4"/>
  <c r="AJ335" i="4"/>
  <c r="AI335" i="4"/>
  <c r="AH335" i="4"/>
  <c r="AG335" i="4"/>
  <c r="AF335" i="4"/>
  <c r="AE335" i="4"/>
  <c r="AL334" i="4"/>
  <c r="AK334" i="4"/>
  <c r="AJ334" i="4"/>
  <c r="AI334" i="4"/>
  <c r="AH334" i="4"/>
  <c r="AG334" i="4"/>
  <c r="AF334" i="4"/>
  <c r="AE334" i="4"/>
  <c r="AL333" i="4"/>
  <c r="AK333" i="4"/>
  <c r="AJ333" i="4"/>
  <c r="AI333" i="4"/>
  <c r="AH333" i="4"/>
  <c r="AG333" i="4"/>
  <c r="AF333" i="4"/>
  <c r="AE333" i="4"/>
  <c r="AL332" i="4"/>
  <c r="AK332" i="4"/>
  <c r="AJ332" i="4"/>
  <c r="AI332" i="4"/>
  <c r="AH332" i="4"/>
  <c r="AG332" i="4"/>
  <c r="AF332" i="4"/>
  <c r="AE332" i="4"/>
  <c r="AL331" i="4"/>
  <c r="AK331" i="4"/>
  <c r="AJ331" i="4"/>
  <c r="AI331" i="4"/>
  <c r="AH331" i="4"/>
  <c r="AG331" i="4"/>
  <c r="AF331" i="4"/>
  <c r="AE331" i="4"/>
  <c r="AL330" i="4"/>
  <c r="AK330" i="4"/>
  <c r="AJ330" i="4"/>
  <c r="AI330" i="4"/>
  <c r="AH330" i="4"/>
  <c r="AG330" i="4"/>
  <c r="AF330" i="4"/>
  <c r="AE330" i="4"/>
  <c r="AL329" i="4"/>
  <c r="AK329" i="4"/>
  <c r="AJ329" i="4"/>
  <c r="AI329" i="4"/>
  <c r="AH329" i="4"/>
  <c r="AG329" i="4"/>
  <c r="AF329" i="4"/>
  <c r="AE329" i="4"/>
  <c r="AL328" i="4"/>
  <c r="AK328" i="4"/>
  <c r="AJ328" i="4"/>
  <c r="AI328" i="4"/>
  <c r="AH328" i="4"/>
  <c r="AG328" i="4"/>
  <c r="AF328" i="4"/>
  <c r="AE328" i="4"/>
  <c r="AL327" i="4"/>
  <c r="AK327" i="4"/>
  <c r="AJ327" i="4"/>
  <c r="AI327" i="4"/>
  <c r="AH327" i="4"/>
  <c r="AG327" i="4"/>
  <c r="AF327" i="4"/>
  <c r="AE327" i="4"/>
  <c r="AL326" i="4"/>
  <c r="AK326" i="4"/>
  <c r="AJ326" i="4"/>
  <c r="AI326" i="4"/>
  <c r="AH326" i="4"/>
  <c r="AG326" i="4"/>
  <c r="AF326" i="4"/>
  <c r="AE326" i="4"/>
  <c r="AL325" i="4"/>
  <c r="AK325" i="4"/>
  <c r="AJ325" i="4"/>
  <c r="AI325" i="4"/>
  <c r="AH325" i="4"/>
  <c r="AG325" i="4"/>
  <c r="AF325" i="4"/>
  <c r="AE325" i="4"/>
  <c r="AL324" i="4"/>
  <c r="AK324" i="4"/>
  <c r="AJ324" i="4"/>
  <c r="AI324" i="4"/>
  <c r="AH324" i="4"/>
  <c r="AG324" i="4"/>
  <c r="AF324" i="4"/>
  <c r="AE324" i="4"/>
  <c r="AL323" i="4"/>
  <c r="AK323" i="4"/>
  <c r="AJ323" i="4"/>
  <c r="AI323" i="4"/>
  <c r="AH323" i="4"/>
  <c r="AG323" i="4"/>
  <c r="AF323" i="4"/>
  <c r="AE323" i="4"/>
  <c r="AL322" i="4"/>
  <c r="AK322" i="4"/>
  <c r="AJ322" i="4"/>
  <c r="AI322" i="4"/>
  <c r="AH322" i="4"/>
  <c r="AG322" i="4"/>
  <c r="AF322" i="4"/>
  <c r="AE322" i="4"/>
  <c r="AL321" i="4"/>
  <c r="AK321" i="4"/>
  <c r="AJ321" i="4"/>
  <c r="AI321" i="4"/>
  <c r="AH321" i="4"/>
  <c r="AG321" i="4"/>
  <c r="AF321" i="4"/>
  <c r="AE321" i="4"/>
  <c r="AL320" i="4"/>
  <c r="AK320" i="4"/>
  <c r="AJ320" i="4"/>
  <c r="AI320" i="4"/>
  <c r="AH320" i="4"/>
  <c r="AG320" i="4"/>
  <c r="AF320" i="4"/>
  <c r="AE320" i="4"/>
  <c r="AL319" i="4"/>
  <c r="AK319" i="4"/>
  <c r="AJ319" i="4"/>
  <c r="AI319" i="4"/>
  <c r="AH319" i="4"/>
  <c r="AG319" i="4"/>
  <c r="AF319" i="4"/>
  <c r="AE319" i="4"/>
  <c r="AL318" i="4"/>
  <c r="AK318" i="4"/>
  <c r="AJ318" i="4"/>
  <c r="AI318" i="4"/>
  <c r="AH318" i="4"/>
  <c r="AG318" i="4"/>
  <c r="AF318" i="4"/>
  <c r="AE318" i="4"/>
  <c r="AL317" i="4"/>
  <c r="AK317" i="4"/>
  <c r="AJ317" i="4"/>
  <c r="AI317" i="4"/>
  <c r="AH317" i="4"/>
  <c r="AG317" i="4"/>
  <c r="AF317" i="4"/>
  <c r="AE317" i="4"/>
  <c r="AL316" i="4"/>
  <c r="AK316" i="4"/>
  <c r="AJ316" i="4"/>
  <c r="AI316" i="4"/>
  <c r="AH316" i="4"/>
  <c r="AG316" i="4"/>
  <c r="AF316" i="4"/>
  <c r="AE316" i="4"/>
  <c r="AL315" i="4"/>
  <c r="AK315" i="4"/>
  <c r="AJ315" i="4"/>
  <c r="AI315" i="4"/>
  <c r="AH315" i="4"/>
  <c r="AG315" i="4"/>
  <c r="AF315" i="4"/>
  <c r="AE315" i="4"/>
  <c r="AL314" i="4"/>
  <c r="AK314" i="4"/>
  <c r="AJ314" i="4"/>
  <c r="AI314" i="4"/>
  <c r="AH314" i="4"/>
  <c r="AG314" i="4"/>
  <c r="AF314" i="4"/>
  <c r="AE314" i="4"/>
  <c r="AL313" i="4"/>
  <c r="AK313" i="4"/>
  <c r="AJ313" i="4"/>
  <c r="AI313" i="4"/>
  <c r="AH313" i="4"/>
  <c r="AG313" i="4"/>
  <c r="AF313" i="4"/>
  <c r="AE313" i="4"/>
  <c r="AL312" i="4"/>
  <c r="AK312" i="4"/>
  <c r="AJ312" i="4"/>
  <c r="AI312" i="4"/>
  <c r="AH312" i="4"/>
  <c r="AG312" i="4"/>
  <c r="AF312" i="4"/>
  <c r="AE312" i="4"/>
  <c r="AL311" i="4"/>
  <c r="AK311" i="4"/>
  <c r="AJ311" i="4"/>
  <c r="AI311" i="4"/>
  <c r="AH311" i="4"/>
  <c r="AG311" i="4"/>
  <c r="AF311" i="4"/>
  <c r="AE311" i="4"/>
  <c r="AL310" i="4"/>
  <c r="AK310" i="4"/>
  <c r="AJ310" i="4"/>
  <c r="AI310" i="4"/>
  <c r="AH310" i="4"/>
  <c r="AG310" i="4"/>
  <c r="AF310" i="4"/>
  <c r="AE310" i="4"/>
  <c r="AL309" i="4"/>
  <c r="AK309" i="4"/>
  <c r="AJ309" i="4"/>
  <c r="AI309" i="4"/>
  <c r="AH309" i="4"/>
  <c r="AG309" i="4"/>
  <c r="AF309" i="4"/>
  <c r="AE309" i="4"/>
  <c r="AL308" i="4"/>
  <c r="AK308" i="4"/>
  <c r="AJ308" i="4"/>
  <c r="AI308" i="4"/>
  <c r="AH308" i="4"/>
  <c r="AG308" i="4"/>
  <c r="AF308" i="4"/>
  <c r="AE308" i="4"/>
  <c r="AL307" i="4"/>
  <c r="AK307" i="4"/>
  <c r="AJ307" i="4"/>
  <c r="AI307" i="4"/>
  <c r="AH307" i="4"/>
  <c r="AG307" i="4"/>
  <c r="AF307" i="4"/>
  <c r="AE307" i="4"/>
  <c r="AL306" i="4"/>
  <c r="AK306" i="4"/>
  <c r="AJ306" i="4"/>
  <c r="AI306" i="4"/>
  <c r="AH306" i="4"/>
  <c r="AG306" i="4"/>
  <c r="AF306" i="4"/>
  <c r="AE306" i="4"/>
  <c r="AL305" i="4"/>
  <c r="AK305" i="4"/>
  <c r="AJ305" i="4"/>
  <c r="AI305" i="4"/>
  <c r="AH305" i="4"/>
  <c r="AG305" i="4"/>
  <c r="AF305" i="4"/>
  <c r="AE305" i="4"/>
  <c r="AL304" i="4"/>
  <c r="AK304" i="4"/>
  <c r="AJ304" i="4"/>
  <c r="AI304" i="4"/>
  <c r="AH304" i="4"/>
  <c r="AG304" i="4"/>
  <c r="AF304" i="4"/>
  <c r="AE304" i="4"/>
  <c r="AL303" i="4"/>
  <c r="AK303" i="4"/>
  <c r="AJ303" i="4"/>
  <c r="AI303" i="4"/>
  <c r="AH303" i="4"/>
  <c r="AG303" i="4"/>
  <c r="AF303" i="4"/>
  <c r="AE303" i="4"/>
  <c r="AL302" i="4"/>
  <c r="AK302" i="4"/>
  <c r="AJ302" i="4"/>
  <c r="AI302" i="4"/>
  <c r="AH302" i="4"/>
  <c r="AG302" i="4"/>
  <c r="AF302" i="4"/>
  <c r="AE302" i="4"/>
  <c r="AL301" i="4"/>
  <c r="AK301" i="4"/>
  <c r="AJ301" i="4"/>
  <c r="AI301" i="4"/>
  <c r="AH301" i="4"/>
  <c r="AG301" i="4"/>
  <c r="AF301" i="4"/>
  <c r="AE301" i="4"/>
  <c r="AL300" i="4"/>
  <c r="AK300" i="4"/>
  <c r="AJ300" i="4"/>
  <c r="AI300" i="4"/>
  <c r="AH300" i="4"/>
  <c r="AG300" i="4"/>
  <c r="AF300" i="4"/>
  <c r="AE300" i="4"/>
  <c r="AL299" i="4"/>
  <c r="AK299" i="4"/>
  <c r="AJ299" i="4"/>
  <c r="AI299" i="4"/>
  <c r="AH299" i="4"/>
  <c r="AG299" i="4"/>
  <c r="AF299" i="4"/>
  <c r="AE299" i="4"/>
  <c r="AL298" i="4"/>
  <c r="AK298" i="4"/>
  <c r="AJ298" i="4"/>
  <c r="AI298" i="4"/>
  <c r="AH298" i="4"/>
  <c r="AG298" i="4"/>
  <c r="AF298" i="4"/>
  <c r="AE298" i="4"/>
  <c r="AL297" i="4"/>
  <c r="AK297" i="4"/>
  <c r="AJ297" i="4"/>
  <c r="AI297" i="4"/>
  <c r="AH297" i="4"/>
  <c r="AG297" i="4"/>
  <c r="AF297" i="4"/>
  <c r="AE297" i="4"/>
  <c r="AL296" i="4"/>
  <c r="AK296" i="4"/>
  <c r="AJ296" i="4"/>
  <c r="AI296" i="4"/>
  <c r="AH296" i="4"/>
  <c r="AG296" i="4"/>
  <c r="AF296" i="4"/>
  <c r="AE296" i="4"/>
  <c r="AL295" i="4"/>
  <c r="AK295" i="4"/>
  <c r="AJ295" i="4"/>
  <c r="AI295" i="4"/>
  <c r="AH295" i="4"/>
  <c r="AG295" i="4"/>
  <c r="AF295" i="4"/>
  <c r="AE295" i="4"/>
  <c r="AL294" i="4"/>
  <c r="AK294" i="4"/>
  <c r="AJ294" i="4"/>
  <c r="AI294" i="4"/>
  <c r="AH294" i="4"/>
  <c r="AG294" i="4"/>
  <c r="AF294" i="4"/>
  <c r="AE294" i="4"/>
  <c r="AL293" i="4"/>
  <c r="AK293" i="4"/>
  <c r="AJ293" i="4"/>
  <c r="AI293" i="4"/>
  <c r="AH293" i="4"/>
  <c r="AG293" i="4"/>
  <c r="AF293" i="4"/>
  <c r="AE293" i="4"/>
  <c r="AL292" i="4"/>
  <c r="AK292" i="4"/>
  <c r="AJ292" i="4"/>
  <c r="AI292" i="4"/>
  <c r="AH292" i="4"/>
  <c r="AG292" i="4"/>
  <c r="AF292" i="4"/>
  <c r="AE292" i="4"/>
  <c r="AL291" i="4"/>
  <c r="AK291" i="4"/>
  <c r="AJ291" i="4"/>
  <c r="AI291" i="4"/>
  <c r="AH291" i="4"/>
  <c r="AG291" i="4"/>
  <c r="AF291" i="4"/>
  <c r="AE291" i="4"/>
  <c r="AL290" i="4"/>
  <c r="AK290" i="4"/>
  <c r="AJ290" i="4"/>
  <c r="AI290" i="4"/>
  <c r="AH290" i="4"/>
  <c r="AG290" i="4"/>
  <c r="AF290" i="4"/>
  <c r="AE290" i="4"/>
  <c r="AL289" i="4"/>
  <c r="AK289" i="4"/>
  <c r="AJ289" i="4"/>
  <c r="AI289" i="4"/>
  <c r="AH289" i="4"/>
  <c r="AG289" i="4"/>
  <c r="AF289" i="4"/>
  <c r="AE289" i="4"/>
  <c r="AL288" i="4"/>
  <c r="AK288" i="4"/>
  <c r="AJ288" i="4"/>
  <c r="AI288" i="4"/>
  <c r="AH288" i="4"/>
  <c r="AG288" i="4"/>
  <c r="AF288" i="4"/>
  <c r="AE288" i="4"/>
  <c r="AL287" i="4"/>
  <c r="AK287" i="4"/>
  <c r="AJ287" i="4"/>
  <c r="AI287" i="4"/>
  <c r="AH287" i="4"/>
  <c r="AG287" i="4"/>
  <c r="AF287" i="4"/>
  <c r="AE287" i="4"/>
  <c r="AL286" i="4"/>
  <c r="AK286" i="4"/>
  <c r="AJ286" i="4"/>
  <c r="AI286" i="4"/>
  <c r="AH286" i="4"/>
  <c r="AG286" i="4"/>
  <c r="AF286" i="4"/>
  <c r="AE286" i="4"/>
  <c r="AL285" i="4"/>
  <c r="AK285" i="4"/>
  <c r="AJ285" i="4"/>
  <c r="AI285" i="4"/>
  <c r="AH285" i="4"/>
  <c r="AG285" i="4"/>
  <c r="AF285" i="4"/>
  <c r="AE285" i="4"/>
  <c r="AL284" i="4"/>
  <c r="AK284" i="4"/>
  <c r="AJ284" i="4"/>
  <c r="AI284" i="4"/>
  <c r="AH284" i="4"/>
  <c r="AG284" i="4"/>
  <c r="AF284" i="4"/>
  <c r="AE284" i="4"/>
  <c r="AL283" i="4"/>
  <c r="AK283" i="4"/>
  <c r="AJ283" i="4"/>
  <c r="AI283" i="4"/>
  <c r="AH283" i="4"/>
  <c r="AG283" i="4"/>
  <c r="AF283" i="4"/>
  <c r="AE283" i="4"/>
  <c r="AL282" i="4"/>
  <c r="AK282" i="4"/>
  <c r="AJ282" i="4"/>
  <c r="AI282" i="4"/>
  <c r="AH282" i="4"/>
  <c r="AG282" i="4"/>
  <c r="AF282" i="4"/>
  <c r="AE282" i="4"/>
  <c r="AL281" i="4"/>
  <c r="AK281" i="4"/>
  <c r="AJ281" i="4"/>
  <c r="AI281" i="4"/>
  <c r="AH281" i="4"/>
  <c r="AG281" i="4"/>
  <c r="AF281" i="4"/>
  <c r="AE281" i="4"/>
  <c r="AL280" i="4"/>
  <c r="AK280" i="4"/>
  <c r="AJ280" i="4"/>
  <c r="AI280" i="4"/>
  <c r="AH280" i="4"/>
  <c r="AG280" i="4"/>
  <c r="AF280" i="4"/>
  <c r="AE280" i="4"/>
  <c r="AL279" i="4"/>
  <c r="AK279" i="4"/>
  <c r="AJ279" i="4"/>
  <c r="AI279" i="4"/>
  <c r="AH279" i="4"/>
  <c r="AG279" i="4"/>
  <c r="AF279" i="4"/>
  <c r="AE279" i="4"/>
  <c r="AL278" i="4"/>
  <c r="AK278" i="4"/>
  <c r="AJ278" i="4"/>
  <c r="AI278" i="4"/>
  <c r="AH278" i="4"/>
  <c r="AG278" i="4"/>
  <c r="AF278" i="4"/>
  <c r="AE278" i="4"/>
  <c r="AL277" i="4"/>
  <c r="AK277" i="4"/>
  <c r="AJ277" i="4"/>
  <c r="AI277" i="4"/>
  <c r="AH277" i="4"/>
  <c r="AG277" i="4"/>
  <c r="AF277" i="4"/>
  <c r="AE277" i="4"/>
  <c r="AL276" i="4"/>
  <c r="AK276" i="4"/>
  <c r="AJ276" i="4"/>
  <c r="AI276" i="4"/>
  <c r="AH276" i="4"/>
  <c r="AG276" i="4"/>
  <c r="AF276" i="4"/>
  <c r="AE276" i="4"/>
  <c r="AL275" i="4"/>
  <c r="AK275" i="4"/>
  <c r="AJ275" i="4"/>
  <c r="AI275" i="4"/>
  <c r="AH275" i="4"/>
  <c r="AG275" i="4"/>
  <c r="AF275" i="4"/>
  <c r="AE275" i="4"/>
  <c r="AL274" i="4"/>
  <c r="AK274" i="4"/>
  <c r="AJ274" i="4"/>
  <c r="AI274" i="4"/>
  <c r="AH274" i="4"/>
  <c r="AG274" i="4"/>
  <c r="AF274" i="4"/>
  <c r="AE274" i="4"/>
  <c r="AL273" i="4"/>
  <c r="AK273" i="4"/>
  <c r="AJ273" i="4"/>
  <c r="AI273" i="4"/>
  <c r="AH273" i="4"/>
  <c r="AG273" i="4"/>
  <c r="AF273" i="4"/>
  <c r="AE273" i="4"/>
  <c r="AL272" i="4"/>
  <c r="AK272" i="4"/>
  <c r="AJ272" i="4"/>
  <c r="AI272" i="4"/>
  <c r="AH272" i="4"/>
  <c r="AG272" i="4"/>
  <c r="AF272" i="4"/>
  <c r="AE272" i="4"/>
  <c r="AL271" i="4"/>
  <c r="AK271" i="4"/>
  <c r="AJ271" i="4"/>
  <c r="AI271" i="4"/>
  <c r="AH271" i="4"/>
  <c r="AG271" i="4"/>
  <c r="AF271" i="4"/>
  <c r="AE271" i="4"/>
  <c r="AL270" i="4"/>
  <c r="AK270" i="4"/>
  <c r="AJ270" i="4"/>
  <c r="AI270" i="4"/>
  <c r="AH270" i="4"/>
  <c r="AG270" i="4"/>
  <c r="AF270" i="4"/>
  <c r="AE270" i="4"/>
  <c r="AL269" i="4"/>
  <c r="AK269" i="4"/>
  <c r="AJ269" i="4"/>
  <c r="AI269" i="4"/>
  <c r="AH269" i="4"/>
  <c r="AG269" i="4"/>
  <c r="AF269" i="4"/>
  <c r="AE269" i="4"/>
  <c r="AL268" i="4"/>
  <c r="AK268" i="4"/>
  <c r="AJ268" i="4"/>
  <c r="AI268" i="4"/>
  <c r="AH268" i="4"/>
  <c r="AG268" i="4"/>
  <c r="AF268" i="4"/>
  <c r="AE268" i="4"/>
  <c r="AL267" i="4"/>
  <c r="AK267" i="4"/>
  <c r="AJ267" i="4"/>
  <c r="AI267" i="4"/>
  <c r="AH267" i="4"/>
  <c r="AG267" i="4"/>
  <c r="AF267" i="4"/>
  <c r="AE267" i="4"/>
  <c r="AL266" i="4"/>
  <c r="AK266" i="4"/>
  <c r="AJ266" i="4"/>
  <c r="AI266" i="4"/>
  <c r="AH266" i="4"/>
  <c r="AG266" i="4"/>
  <c r="AF266" i="4"/>
  <c r="AE266" i="4"/>
  <c r="AL265" i="4"/>
  <c r="AK265" i="4"/>
  <c r="AJ265" i="4"/>
  <c r="AI265" i="4"/>
  <c r="AH265" i="4"/>
  <c r="AG265" i="4"/>
  <c r="AF265" i="4"/>
  <c r="AE265" i="4"/>
  <c r="AL264" i="4"/>
  <c r="AK264" i="4"/>
  <c r="AJ264" i="4"/>
  <c r="AI264" i="4"/>
  <c r="AH264" i="4"/>
  <c r="AG264" i="4"/>
  <c r="AF264" i="4"/>
  <c r="AE264" i="4"/>
  <c r="AL263" i="4"/>
  <c r="AK263" i="4"/>
  <c r="AJ263" i="4"/>
  <c r="AI263" i="4"/>
  <c r="AH263" i="4"/>
  <c r="AG263" i="4"/>
  <c r="AF263" i="4"/>
  <c r="AE263" i="4"/>
  <c r="AL262" i="4"/>
  <c r="AK262" i="4"/>
  <c r="AJ262" i="4"/>
  <c r="AI262" i="4"/>
  <c r="AH262" i="4"/>
  <c r="AG262" i="4"/>
  <c r="AF262" i="4"/>
  <c r="AE262" i="4"/>
  <c r="AL261" i="4"/>
  <c r="AK261" i="4"/>
  <c r="AJ261" i="4"/>
  <c r="AI261" i="4"/>
  <c r="AH261" i="4"/>
  <c r="AG261" i="4"/>
  <c r="AF261" i="4"/>
  <c r="AE261" i="4"/>
  <c r="AL260" i="4"/>
  <c r="AK260" i="4"/>
  <c r="AJ260" i="4"/>
  <c r="AI260" i="4"/>
  <c r="AH260" i="4"/>
  <c r="AG260" i="4"/>
  <c r="AF260" i="4"/>
  <c r="AE260" i="4"/>
  <c r="AL259" i="4"/>
  <c r="AK259" i="4"/>
  <c r="AJ259" i="4"/>
  <c r="AI259" i="4"/>
  <c r="AH259" i="4"/>
  <c r="AG259" i="4"/>
  <c r="AF259" i="4"/>
  <c r="AE259" i="4"/>
  <c r="AL258" i="4"/>
  <c r="AK258" i="4"/>
  <c r="AJ258" i="4"/>
  <c r="AI258" i="4"/>
  <c r="AH258" i="4"/>
  <c r="AG258" i="4"/>
  <c r="AF258" i="4"/>
  <c r="AE258" i="4"/>
  <c r="AL257" i="4"/>
  <c r="AK257" i="4"/>
  <c r="AJ257" i="4"/>
  <c r="AI257" i="4"/>
  <c r="AH257" i="4"/>
  <c r="AG257" i="4"/>
  <c r="AF257" i="4"/>
  <c r="AE257" i="4"/>
  <c r="AL256" i="4"/>
  <c r="AK256" i="4"/>
  <c r="AJ256" i="4"/>
  <c r="AI256" i="4"/>
  <c r="AH256" i="4"/>
  <c r="AG256" i="4"/>
  <c r="AF256" i="4"/>
  <c r="AE256" i="4"/>
  <c r="AL255" i="4"/>
  <c r="AK255" i="4"/>
  <c r="AJ255" i="4"/>
  <c r="AI255" i="4"/>
  <c r="AH255" i="4"/>
  <c r="AG255" i="4"/>
  <c r="AF255" i="4"/>
  <c r="AE255" i="4"/>
  <c r="AL254" i="4"/>
  <c r="AK254" i="4"/>
  <c r="AJ254" i="4"/>
  <c r="AI254" i="4"/>
  <c r="AH254" i="4"/>
  <c r="AG254" i="4"/>
  <c r="AF254" i="4"/>
  <c r="AE254" i="4"/>
  <c r="AL253" i="4"/>
  <c r="AK253" i="4"/>
  <c r="AJ253" i="4"/>
  <c r="AI253" i="4"/>
  <c r="AH253" i="4"/>
  <c r="AG253" i="4"/>
  <c r="AF253" i="4"/>
  <c r="AE253" i="4"/>
  <c r="AL252" i="4"/>
  <c r="AK252" i="4"/>
  <c r="AJ252" i="4"/>
  <c r="AI252" i="4"/>
  <c r="AH252" i="4"/>
  <c r="AG252" i="4"/>
  <c r="AF252" i="4"/>
  <c r="AE252" i="4"/>
  <c r="AL251" i="4"/>
  <c r="AK251" i="4"/>
  <c r="AJ251" i="4"/>
  <c r="AI251" i="4"/>
  <c r="AH251" i="4"/>
  <c r="AG251" i="4"/>
  <c r="AF251" i="4"/>
  <c r="AE251" i="4"/>
  <c r="AL250" i="4"/>
  <c r="AK250" i="4"/>
  <c r="AJ250" i="4"/>
  <c r="AI250" i="4"/>
  <c r="AH250" i="4"/>
  <c r="AG250" i="4"/>
  <c r="AF250" i="4"/>
  <c r="AE250" i="4"/>
  <c r="AL249" i="4"/>
  <c r="AK249" i="4"/>
  <c r="AJ249" i="4"/>
  <c r="AI249" i="4"/>
  <c r="AH249" i="4"/>
  <c r="AG249" i="4"/>
  <c r="AF249" i="4"/>
  <c r="AE249" i="4"/>
  <c r="AL248" i="4"/>
  <c r="AK248" i="4"/>
  <c r="AJ248" i="4"/>
  <c r="AI248" i="4"/>
  <c r="AH248" i="4"/>
  <c r="AG248" i="4"/>
  <c r="AF248" i="4"/>
  <c r="AE248" i="4"/>
  <c r="AL247" i="4"/>
  <c r="AK247" i="4"/>
  <c r="AJ247" i="4"/>
  <c r="AI247" i="4"/>
  <c r="AH247" i="4"/>
  <c r="AG247" i="4"/>
  <c r="AF247" i="4"/>
  <c r="AE247" i="4"/>
  <c r="AL246" i="4"/>
  <c r="AK246" i="4"/>
  <c r="AJ246" i="4"/>
  <c r="AI246" i="4"/>
  <c r="AH246" i="4"/>
  <c r="AG246" i="4"/>
  <c r="AF246" i="4"/>
  <c r="AE246" i="4"/>
  <c r="AL245" i="4"/>
  <c r="AK245" i="4"/>
  <c r="AJ245" i="4"/>
  <c r="AI245" i="4"/>
  <c r="AH245" i="4"/>
  <c r="AG245" i="4"/>
  <c r="AF245" i="4"/>
  <c r="AE245" i="4"/>
  <c r="AL244" i="4"/>
  <c r="AK244" i="4"/>
  <c r="AJ244" i="4"/>
  <c r="AI244" i="4"/>
  <c r="AH244" i="4"/>
  <c r="AG244" i="4"/>
  <c r="AF244" i="4"/>
  <c r="AE244" i="4"/>
  <c r="AL243" i="4"/>
  <c r="AK243" i="4"/>
  <c r="AJ243" i="4"/>
  <c r="AI243" i="4"/>
  <c r="AH243" i="4"/>
  <c r="AG243" i="4"/>
  <c r="AF243" i="4"/>
  <c r="AE243" i="4"/>
  <c r="AL242" i="4"/>
  <c r="AK242" i="4"/>
  <c r="AJ242" i="4"/>
  <c r="AI242" i="4"/>
  <c r="AH242" i="4"/>
  <c r="AG242" i="4"/>
  <c r="AF242" i="4"/>
  <c r="AE242" i="4"/>
  <c r="AL241" i="4"/>
  <c r="AK241" i="4"/>
  <c r="AJ241" i="4"/>
  <c r="AI241" i="4"/>
  <c r="AH241" i="4"/>
  <c r="AG241" i="4"/>
  <c r="AF241" i="4"/>
  <c r="AE241" i="4"/>
  <c r="AL240" i="4"/>
  <c r="AK240" i="4"/>
  <c r="AJ240" i="4"/>
  <c r="AI240" i="4"/>
  <c r="AH240" i="4"/>
  <c r="AG240" i="4"/>
  <c r="AF240" i="4"/>
  <c r="AE240" i="4"/>
  <c r="AL239" i="4"/>
  <c r="AK239" i="4"/>
  <c r="AJ239" i="4"/>
  <c r="AI239" i="4"/>
  <c r="AH239" i="4"/>
  <c r="AG239" i="4"/>
  <c r="AF239" i="4"/>
  <c r="AE239" i="4"/>
  <c r="AL238" i="4"/>
  <c r="AK238" i="4"/>
  <c r="AJ238" i="4"/>
  <c r="AI238" i="4"/>
  <c r="AH238" i="4"/>
  <c r="AG238" i="4"/>
  <c r="AF238" i="4"/>
  <c r="AE238" i="4"/>
  <c r="AL237" i="4"/>
  <c r="AK237" i="4"/>
  <c r="AJ237" i="4"/>
  <c r="AI237" i="4"/>
  <c r="AH237" i="4"/>
  <c r="AG237" i="4"/>
  <c r="AF237" i="4"/>
  <c r="AE237" i="4"/>
  <c r="AL236" i="4"/>
  <c r="AK236" i="4"/>
  <c r="AJ236" i="4"/>
  <c r="AI236" i="4"/>
  <c r="AH236" i="4"/>
  <c r="AG236" i="4"/>
  <c r="AF236" i="4"/>
  <c r="AE236" i="4"/>
  <c r="AL235" i="4"/>
  <c r="AK235" i="4"/>
  <c r="AJ235" i="4"/>
  <c r="AI235" i="4"/>
  <c r="AH235" i="4"/>
  <c r="AG235" i="4"/>
  <c r="AF235" i="4"/>
  <c r="AE235" i="4"/>
  <c r="AL234" i="4"/>
  <c r="AK234" i="4"/>
  <c r="AJ234" i="4"/>
  <c r="AI234" i="4"/>
  <c r="AH234" i="4"/>
  <c r="AG234" i="4"/>
  <c r="AF234" i="4"/>
  <c r="AE234" i="4"/>
  <c r="AL233" i="4"/>
  <c r="AK233" i="4"/>
  <c r="AJ233" i="4"/>
  <c r="AI233" i="4"/>
  <c r="AH233" i="4"/>
  <c r="AG233" i="4"/>
  <c r="AF233" i="4"/>
  <c r="AE233" i="4"/>
  <c r="AL232" i="4"/>
  <c r="AK232" i="4"/>
  <c r="AJ232" i="4"/>
  <c r="AI232" i="4"/>
  <c r="AH232" i="4"/>
  <c r="AG232" i="4"/>
  <c r="AF232" i="4"/>
  <c r="AE232" i="4"/>
  <c r="AL231" i="4"/>
  <c r="AK231" i="4"/>
  <c r="AJ231" i="4"/>
  <c r="AI231" i="4"/>
  <c r="AH231" i="4"/>
  <c r="AG231" i="4"/>
  <c r="AF231" i="4"/>
  <c r="AE231" i="4"/>
  <c r="AL230" i="4"/>
  <c r="AK230" i="4"/>
  <c r="AJ230" i="4"/>
  <c r="AI230" i="4"/>
  <c r="AH230" i="4"/>
  <c r="AG230" i="4"/>
  <c r="AF230" i="4"/>
  <c r="AE230" i="4"/>
  <c r="AL229" i="4"/>
  <c r="AK229" i="4"/>
  <c r="AJ229" i="4"/>
  <c r="AI229" i="4"/>
  <c r="AH229" i="4"/>
  <c r="AG229" i="4"/>
  <c r="AF229" i="4"/>
  <c r="AE229" i="4"/>
  <c r="AL228" i="4"/>
  <c r="AK228" i="4"/>
  <c r="AJ228" i="4"/>
  <c r="AI228" i="4"/>
  <c r="AH228" i="4"/>
  <c r="AG228" i="4"/>
  <c r="AF228" i="4"/>
  <c r="AE228" i="4"/>
  <c r="AL227" i="4"/>
  <c r="AK227" i="4"/>
  <c r="AJ227" i="4"/>
  <c r="AI227" i="4"/>
  <c r="AH227" i="4"/>
  <c r="AG227" i="4"/>
  <c r="AF227" i="4"/>
  <c r="AE227" i="4"/>
  <c r="AL226" i="4"/>
  <c r="AK226" i="4"/>
  <c r="AJ226" i="4"/>
  <c r="AI226" i="4"/>
  <c r="AH226" i="4"/>
  <c r="AG226" i="4"/>
  <c r="AF226" i="4"/>
  <c r="AE226" i="4"/>
  <c r="AL225" i="4"/>
  <c r="AK225" i="4"/>
  <c r="AJ225" i="4"/>
  <c r="AI225" i="4"/>
  <c r="AH225" i="4"/>
  <c r="AG225" i="4"/>
  <c r="AF225" i="4"/>
  <c r="AE225" i="4"/>
  <c r="AL224" i="4"/>
  <c r="AK224" i="4"/>
  <c r="AJ224" i="4"/>
  <c r="AI224" i="4"/>
  <c r="AH224" i="4"/>
  <c r="AG224" i="4"/>
  <c r="AF224" i="4"/>
  <c r="AE224" i="4"/>
  <c r="AL223" i="4"/>
  <c r="AK223" i="4"/>
  <c r="AJ223" i="4"/>
  <c r="AI223" i="4"/>
  <c r="AH223" i="4"/>
  <c r="AG223" i="4"/>
  <c r="AF223" i="4"/>
  <c r="AE223" i="4"/>
  <c r="AL222" i="4"/>
  <c r="AK222" i="4"/>
  <c r="AJ222" i="4"/>
  <c r="AI222" i="4"/>
  <c r="AH222" i="4"/>
  <c r="AG222" i="4"/>
  <c r="AF222" i="4"/>
  <c r="AE222" i="4"/>
  <c r="AL221" i="4"/>
  <c r="AK221" i="4"/>
  <c r="AJ221" i="4"/>
  <c r="AI221" i="4"/>
  <c r="AH221" i="4"/>
  <c r="AG221" i="4"/>
  <c r="AF221" i="4"/>
  <c r="AE221" i="4"/>
  <c r="AL220" i="4"/>
  <c r="AK220" i="4"/>
  <c r="AJ220" i="4"/>
  <c r="AI220" i="4"/>
  <c r="AH220" i="4"/>
  <c r="AG220" i="4"/>
  <c r="AF220" i="4"/>
  <c r="AE220" i="4"/>
  <c r="AL219" i="4"/>
  <c r="AK219" i="4"/>
  <c r="AJ219" i="4"/>
  <c r="AI219" i="4"/>
  <c r="AH219" i="4"/>
  <c r="AG219" i="4"/>
  <c r="AF219" i="4"/>
  <c r="AE219" i="4"/>
  <c r="AL218" i="4"/>
  <c r="AK218" i="4"/>
  <c r="AJ218" i="4"/>
  <c r="AI218" i="4"/>
  <c r="AH218" i="4"/>
  <c r="AG218" i="4"/>
  <c r="AF218" i="4"/>
  <c r="AE218" i="4"/>
  <c r="AL217" i="4"/>
  <c r="AK217" i="4"/>
  <c r="AJ217" i="4"/>
  <c r="AI217" i="4"/>
  <c r="AH217" i="4"/>
  <c r="AG217" i="4"/>
  <c r="AF217" i="4"/>
  <c r="AE217" i="4"/>
  <c r="AL216" i="4"/>
  <c r="AK216" i="4"/>
  <c r="AJ216" i="4"/>
  <c r="AI216" i="4"/>
  <c r="AH216" i="4"/>
  <c r="AG216" i="4"/>
  <c r="AF216" i="4"/>
  <c r="AE216" i="4"/>
  <c r="AL215" i="4"/>
  <c r="AK215" i="4"/>
  <c r="AJ215" i="4"/>
  <c r="AI215" i="4"/>
  <c r="AH215" i="4"/>
  <c r="AG215" i="4"/>
  <c r="AF215" i="4"/>
  <c r="AE215" i="4"/>
  <c r="AL214" i="4"/>
  <c r="AK214" i="4"/>
  <c r="AJ214" i="4"/>
  <c r="AI214" i="4"/>
  <c r="AH214" i="4"/>
  <c r="AG214" i="4"/>
  <c r="AF214" i="4"/>
  <c r="AE214" i="4"/>
  <c r="AL213" i="4"/>
  <c r="AK213" i="4"/>
  <c r="AJ213" i="4"/>
  <c r="AI213" i="4"/>
  <c r="AH213" i="4"/>
  <c r="AG213" i="4"/>
  <c r="AF213" i="4"/>
  <c r="AE213" i="4"/>
  <c r="AL212" i="4"/>
  <c r="AK212" i="4"/>
  <c r="AJ212" i="4"/>
  <c r="AI212" i="4"/>
  <c r="AH212" i="4"/>
  <c r="AG212" i="4"/>
  <c r="AF212" i="4"/>
  <c r="AE212" i="4"/>
  <c r="AL211" i="4"/>
  <c r="AK211" i="4"/>
  <c r="AJ211" i="4"/>
  <c r="AI211" i="4"/>
  <c r="AH211" i="4"/>
  <c r="AG211" i="4"/>
  <c r="AF211" i="4"/>
  <c r="AE211" i="4"/>
  <c r="AL210" i="4"/>
  <c r="AK210" i="4"/>
  <c r="AJ210" i="4"/>
  <c r="AI210" i="4"/>
  <c r="AH210" i="4"/>
  <c r="AG210" i="4"/>
  <c r="AF210" i="4"/>
  <c r="AE210" i="4"/>
  <c r="AL209" i="4"/>
  <c r="AK209" i="4"/>
  <c r="AJ209" i="4"/>
  <c r="AI209" i="4"/>
  <c r="AH209" i="4"/>
  <c r="AG209" i="4"/>
  <c r="AF209" i="4"/>
  <c r="AE209" i="4"/>
  <c r="AL208" i="4"/>
  <c r="AK208" i="4"/>
  <c r="AJ208" i="4"/>
  <c r="AI208" i="4"/>
  <c r="AH208" i="4"/>
  <c r="AG208" i="4"/>
  <c r="AF208" i="4"/>
  <c r="AE208" i="4"/>
  <c r="AL207" i="4"/>
  <c r="AK207" i="4"/>
  <c r="AJ207" i="4"/>
  <c r="AI207" i="4"/>
  <c r="AH207" i="4"/>
  <c r="AG207" i="4"/>
  <c r="AF207" i="4"/>
  <c r="AE207" i="4"/>
  <c r="AL206" i="4"/>
  <c r="AK206" i="4"/>
  <c r="AJ206" i="4"/>
  <c r="AI206" i="4"/>
  <c r="AH206" i="4"/>
  <c r="AG206" i="4"/>
  <c r="AF206" i="4"/>
  <c r="AE206" i="4"/>
  <c r="AL205" i="4"/>
  <c r="AK205" i="4"/>
  <c r="AJ205" i="4"/>
  <c r="AI205" i="4"/>
  <c r="AH205" i="4"/>
  <c r="AG205" i="4"/>
  <c r="AF205" i="4"/>
  <c r="AE205" i="4"/>
  <c r="AL204" i="4"/>
  <c r="AK204" i="4"/>
  <c r="AJ204" i="4"/>
  <c r="AI204" i="4"/>
  <c r="AH204" i="4"/>
  <c r="AG204" i="4"/>
  <c r="AF204" i="4"/>
  <c r="AE204" i="4"/>
  <c r="AL203" i="4"/>
  <c r="AK203" i="4"/>
  <c r="AJ203" i="4"/>
  <c r="AI203" i="4"/>
  <c r="AH203" i="4"/>
  <c r="AG203" i="4"/>
  <c r="AF203" i="4"/>
  <c r="AE203" i="4"/>
  <c r="AL202" i="4"/>
  <c r="AK202" i="4"/>
  <c r="AJ202" i="4"/>
  <c r="AI202" i="4"/>
  <c r="AH202" i="4"/>
  <c r="AG202" i="4"/>
  <c r="AF202" i="4"/>
  <c r="AE202" i="4"/>
  <c r="AL201" i="4"/>
  <c r="AK201" i="4"/>
  <c r="AJ201" i="4"/>
  <c r="AI201" i="4"/>
  <c r="AH201" i="4"/>
  <c r="AG201" i="4"/>
  <c r="AF201" i="4"/>
  <c r="AE201" i="4"/>
  <c r="AL200" i="4"/>
  <c r="AK200" i="4"/>
  <c r="AJ200" i="4"/>
  <c r="AI200" i="4"/>
  <c r="AH200" i="4"/>
  <c r="AG200" i="4"/>
  <c r="AF200" i="4"/>
  <c r="AE200" i="4"/>
  <c r="AL199" i="4"/>
  <c r="AK199" i="4"/>
  <c r="AJ199" i="4"/>
  <c r="AI199" i="4"/>
  <c r="AH199" i="4"/>
  <c r="AG199" i="4"/>
  <c r="AF199" i="4"/>
  <c r="AE199" i="4"/>
  <c r="AL198" i="4"/>
  <c r="AK198" i="4"/>
  <c r="AJ198" i="4"/>
  <c r="AI198" i="4"/>
  <c r="AH198" i="4"/>
  <c r="AG198" i="4"/>
  <c r="AF198" i="4"/>
  <c r="AE198" i="4"/>
  <c r="AL197" i="4"/>
  <c r="AK197" i="4"/>
  <c r="AJ197" i="4"/>
  <c r="AI197" i="4"/>
  <c r="AH197" i="4"/>
  <c r="AG197" i="4"/>
  <c r="AF197" i="4"/>
  <c r="AE197" i="4"/>
  <c r="AL196" i="4"/>
  <c r="AK196" i="4"/>
  <c r="AJ196" i="4"/>
  <c r="AI196" i="4"/>
  <c r="AH196" i="4"/>
  <c r="AG196" i="4"/>
  <c r="AF196" i="4"/>
  <c r="AE196" i="4"/>
  <c r="AL195" i="4"/>
  <c r="AK195" i="4"/>
  <c r="AJ195" i="4"/>
  <c r="AI195" i="4"/>
  <c r="AH195" i="4"/>
  <c r="AG195" i="4"/>
  <c r="AF195" i="4"/>
  <c r="AE195" i="4"/>
  <c r="AL194" i="4"/>
  <c r="AK194" i="4"/>
  <c r="AJ194" i="4"/>
  <c r="AI194" i="4"/>
  <c r="AH194" i="4"/>
  <c r="AG194" i="4"/>
  <c r="AF194" i="4"/>
  <c r="AE194" i="4"/>
  <c r="AL193" i="4"/>
  <c r="AK193" i="4"/>
  <c r="AJ193" i="4"/>
  <c r="AI193" i="4"/>
  <c r="AH193" i="4"/>
  <c r="AG193" i="4"/>
  <c r="AF193" i="4"/>
  <c r="AE193" i="4"/>
  <c r="AL192" i="4"/>
  <c r="AK192" i="4"/>
  <c r="AJ192" i="4"/>
  <c r="AI192" i="4"/>
  <c r="AH192" i="4"/>
  <c r="AG192" i="4"/>
  <c r="AF192" i="4"/>
  <c r="AE192" i="4"/>
  <c r="AL191" i="4"/>
  <c r="AK191" i="4"/>
  <c r="AJ191" i="4"/>
  <c r="AI191" i="4"/>
  <c r="AH191" i="4"/>
  <c r="AG191" i="4"/>
  <c r="AF191" i="4"/>
  <c r="AE191" i="4"/>
  <c r="AL190" i="4"/>
  <c r="AK190" i="4"/>
  <c r="AJ190" i="4"/>
  <c r="AI190" i="4"/>
  <c r="AH190" i="4"/>
  <c r="AG190" i="4"/>
  <c r="AF190" i="4"/>
  <c r="AE190" i="4"/>
  <c r="AL189" i="4"/>
  <c r="AK189" i="4"/>
  <c r="AJ189" i="4"/>
  <c r="AI189" i="4"/>
  <c r="AH189" i="4"/>
  <c r="AG189" i="4"/>
  <c r="AF189" i="4"/>
  <c r="AE189" i="4"/>
  <c r="AL188" i="4"/>
  <c r="AK188" i="4"/>
  <c r="AJ188" i="4"/>
  <c r="AI188" i="4"/>
  <c r="AH188" i="4"/>
  <c r="AG188" i="4"/>
  <c r="AF188" i="4"/>
  <c r="AE188" i="4"/>
  <c r="AL187" i="4"/>
  <c r="AK187" i="4"/>
  <c r="AJ187" i="4"/>
  <c r="AI187" i="4"/>
  <c r="AH187" i="4"/>
  <c r="AG187" i="4"/>
  <c r="AF187" i="4"/>
  <c r="AE187" i="4"/>
  <c r="AL186" i="4"/>
  <c r="AK186" i="4"/>
  <c r="AJ186" i="4"/>
  <c r="AI186" i="4"/>
  <c r="AH186" i="4"/>
  <c r="AG186" i="4"/>
  <c r="AF186" i="4"/>
  <c r="AE186" i="4"/>
  <c r="AL185" i="4"/>
  <c r="AK185" i="4"/>
  <c r="AJ185" i="4"/>
  <c r="AI185" i="4"/>
  <c r="AH185" i="4"/>
  <c r="AG185" i="4"/>
  <c r="AF185" i="4"/>
  <c r="AE185" i="4"/>
  <c r="AL184" i="4"/>
  <c r="AK184" i="4"/>
  <c r="AJ184" i="4"/>
  <c r="AI184" i="4"/>
  <c r="AH184" i="4"/>
  <c r="AG184" i="4"/>
  <c r="AF184" i="4"/>
  <c r="AE184" i="4"/>
  <c r="AL183" i="4"/>
  <c r="AK183" i="4"/>
  <c r="AJ183" i="4"/>
  <c r="AI183" i="4"/>
  <c r="AH183" i="4"/>
  <c r="AG183" i="4"/>
  <c r="AF183" i="4"/>
  <c r="AE183" i="4"/>
  <c r="AL182" i="4"/>
  <c r="AK182" i="4"/>
  <c r="AJ182" i="4"/>
  <c r="AI182" i="4"/>
  <c r="AH182" i="4"/>
  <c r="AG182" i="4"/>
  <c r="AF182" i="4"/>
  <c r="AE182" i="4"/>
  <c r="AL181" i="4"/>
  <c r="AK181" i="4"/>
  <c r="AJ181" i="4"/>
  <c r="AI181" i="4"/>
  <c r="AH181" i="4"/>
  <c r="AG181" i="4"/>
  <c r="AF181" i="4"/>
  <c r="AE181" i="4"/>
  <c r="AL180" i="4"/>
  <c r="AK180" i="4"/>
  <c r="AJ180" i="4"/>
  <c r="AI180" i="4"/>
  <c r="AH180" i="4"/>
  <c r="AG180" i="4"/>
  <c r="AF180" i="4"/>
  <c r="AE180" i="4"/>
  <c r="AL179" i="4"/>
  <c r="AK179" i="4"/>
  <c r="AJ179" i="4"/>
  <c r="AI179" i="4"/>
  <c r="AH179" i="4"/>
  <c r="AG179" i="4"/>
  <c r="AF179" i="4"/>
  <c r="AE179" i="4"/>
  <c r="AL178" i="4"/>
  <c r="AK178" i="4"/>
  <c r="AJ178" i="4"/>
  <c r="AI178" i="4"/>
  <c r="AH178" i="4"/>
  <c r="AG178" i="4"/>
  <c r="AF178" i="4"/>
  <c r="AE178" i="4"/>
  <c r="AL177" i="4"/>
  <c r="AK177" i="4"/>
  <c r="AJ177" i="4"/>
  <c r="AI177" i="4"/>
  <c r="AH177" i="4"/>
  <c r="AG177" i="4"/>
  <c r="AF177" i="4"/>
  <c r="AE177" i="4"/>
  <c r="AL176" i="4"/>
  <c r="AK176" i="4"/>
  <c r="AJ176" i="4"/>
  <c r="AI176" i="4"/>
  <c r="AH176" i="4"/>
  <c r="AG176" i="4"/>
  <c r="AF176" i="4"/>
  <c r="AE176" i="4"/>
  <c r="AL175" i="4"/>
  <c r="AK175" i="4"/>
  <c r="AJ175" i="4"/>
  <c r="AI175" i="4"/>
  <c r="AH175" i="4"/>
  <c r="AG175" i="4"/>
  <c r="AF175" i="4"/>
  <c r="AE175" i="4"/>
  <c r="AL174" i="4"/>
  <c r="AK174" i="4"/>
  <c r="AJ174" i="4"/>
  <c r="AI174" i="4"/>
  <c r="AH174" i="4"/>
  <c r="AG174" i="4"/>
  <c r="AF174" i="4"/>
  <c r="AE174" i="4"/>
  <c r="AL173" i="4"/>
  <c r="AK173" i="4"/>
  <c r="AJ173" i="4"/>
  <c r="AI173" i="4"/>
  <c r="AH173" i="4"/>
  <c r="AG173" i="4"/>
  <c r="AF173" i="4"/>
  <c r="AE173" i="4"/>
  <c r="AL172" i="4"/>
  <c r="AK172" i="4"/>
  <c r="AJ172" i="4"/>
  <c r="AI172" i="4"/>
  <c r="AH172" i="4"/>
  <c r="AG172" i="4"/>
  <c r="AF172" i="4"/>
  <c r="AE172" i="4"/>
  <c r="AL171" i="4"/>
  <c r="AK171" i="4"/>
  <c r="AJ171" i="4"/>
  <c r="AI171" i="4"/>
  <c r="AH171" i="4"/>
  <c r="AG171" i="4"/>
  <c r="AF171" i="4"/>
  <c r="AE171" i="4"/>
  <c r="AL170" i="4"/>
  <c r="AK170" i="4"/>
  <c r="AJ170" i="4"/>
  <c r="AI170" i="4"/>
  <c r="AH170" i="4"/>
  <c r="AG170" i="4"/>
  <c r="AF170" i="4"/>
  <c r="AE170" i="4"/>
  <c r="AL169" i="4"/>
  <c r="AK169" i="4"/>
  <c r="AJ169" i="4"/>
  <c r="AI169" i="4"/>
  <c r="AH169" i="4"/>
  <c r="AG169" i="4"/>
  <c r="AF169" i="4"/>
  <c r="AE169" i="4"/>
  <c r="AL168" i="4"/>
  <c r="AK168" i="4"/>
  <c r="AJ168" i="4"/>
  <c r="AI168" i="4"/>
  <c r="AH168" i="4"/>
  <c r="AG168" i="4"/>
  <c r="AF168" i="4"/>
  <c r="AE168" i="4"/>
  <c r="AL167" i="4"/>
  <c r="AK167" i="4"/>
  <c r="AJ167" i="4"/>
  <c r="AI167" i="4"/>
  <c r="AH167" i="4"/>
  <c r="AG167" i="4"/>
  <c r="AF167" i="4"/>
  <c r="AE167" i="4"/>
  <c r="AL166" i="4"/>
  <c r="AK166" i="4"/>
  <c r="AJ166" i="4"/>
  <c r="AI166" i="4"/>
  <c r="AH166" i="4"/>
  <c r="AG166" i="4"/>
  <c r="AF166" i="4"/>
  <c r="AE166" i="4"/>
  <c r="AL165" i="4"/>
  <c r="AK165" i="4"/>
  <c r="AJ165" i="4"/>
  <c r="AI165" i="4"/>
  <c r="AH165" i="4"/>
  <c r="AG165" i="4"/>
  <c r="AF165" i="4"/>
  <c r="AE165" i="4"/>
  <c r="AL164" i="4"/>
  <c r="AK164" i="4"/>
  <c r="AJ164" i="4"/>
  <c r="AI164" i="4"/>
  <c r="AH164" i="4"/>
  <c r="AG164" i="4"/>
  <c r="AF164" i="4"/>
  <c r="AE164" i="4"/>
  <c r="AL163" i="4"/>
  <c r="AK163" i="4"/>
  <c r="AJ163" i="4"/>
  <c r="AI163" i="4"/>
  <c r="AH163" i="4"/>
  <c r="AG163" i="4"/>
  <c r="AF163" i="4"/>
  <c r="AE163" i="4"/>
  <c r="AL162" i="4"/>
  <c r="AK162" i="4"/>
  <c r="AJ162" i="4"/>
  <c r="AI162" i="4"/>
  <c r="AH162" i="4"/>
  <c r="AG162" i="4"/>
  <c r="AF162" i="4"/>
  <c r="AE162" i="4"/>
  <c r="AL161" i="4"/>
  <c r="AK161" i="4"/>
  <c r="AJ161" i="4"/>
  <c r="AI161" i="4"/>
  <c r="AH161" i="4"/>
  <c r="AG161" i="4"/>
  <c r="AF161" i="4"/>
  <c r="AE161" i="4"/>
  <c r="AL160" i="4"/>
  <c r="AK160" i="4"/>
  <c r="AJ160" i="4"/>
  <c r="AI160" i="4"/>
  <c r="AH160" i="4"/>
  <c r="AG160" i="4"/>
  <c r="AF160" i="4"/>
  <c r="AE160" i="4"/>
  <c r="AL159" i="4"/>
  <c r="AK159" i="4"/>
  <c r="AJ159" i="4"/>
  <c r="AI159" i="4"/>
  <c r="AH159" i="4"/>
  <c r="AG159" i="4"/>
  <c r="AF159" i="4"/>
  <c r="AE159" i="4"/>
  <c r="AL158" i="4"/>
  <c r="AK158" i="4"/>
  <c r="AJ158" i="4"/>
  <c r="AI158" i="4"/>
  <c r="AH158" i="4"/>
  <c r="AG158" i="4"/>
  <c r="AF158" i="4"/>
  <c r="AE158" i="4"/>
  <c r="AL157" i="4"/>
  <c r="AK157" i="4"/>
  <c r="AJ157" i="4"/>
  <c r="AI157" i="4"/>
  <c r="AH157" i="4"/>
  <c r="AG157" i="4"/>
  <c r="AF157" i="4"/>
  <c r="AE157" i="4"/>
  <c r="AL156" i="4"/>
  <c r="AK156" i="4"/>
  <c r="AJ156" i="4"/>
  <c r="AI156" i="4"/>
  <c r="AH156" i="4"/>
  <c r="AG156" i="4"/>
  <c r="AF156" i="4"/>
  <c r="AE156" i="4"/>
  <c r="AL155" i="4"/>
  <c r="AK155" i="4"/>
  <c r="AJ155" i="4"/>
  <c r="AI155" i="4"/>
  <c r="AH155" i="4"/>
  <c r="AG155" i="4"/>
  <c r="AF155" i="4"/>
  <c r="AE155" i="4"/>
  <c r="AL154" i="4"/>
  <c r="AK154" i="4"/>
  <c r="AJ154" i="4"/>
  <c r="AI154" i="4"/>
  <c r="AH154" i="4"/>
  <c r="AG154" i="4"/>
  <c r="AF154" i="4"/>
  <c r="AE154" i="4"/>
  <c r="AL153" i="4"/>
  <c r="AK153" i="4"/>
  <c r="AJ153" i="4"/>
  <c r="AI153" i="4"/>
  <c r="AH153" i="4"/>
  <c r="AG153" i="4"/>
  <c r="AF153" i="4"/>
  <c r="AE153" i="4"/>
  <c r="AL152" i="4"/>
  <c r="AK152" i="4"/>
  <c r="AJ152" i="4"/>
  <c r="AI152" i="4"/>
  <c r="AH152" i="4"/>
  <c r="AG152" i="4"/>
  <c r="AF152" i="4"/>
  <c r="AE152" i="4"/>
  <c r="AL151" i="4"/>
  <c r="AK151" i="4"/>
  <c r="AJ151" i="4"/>
  <c r="AI151" i="4"/>
  <c r="AH151" i="4"/>
  <c r="AG151" i="4"/>
  <c r="AF151" i="4"/>
  <c r="AE151" i="4"/>
  <c r="AL150" i="4"/>
  <c r="AK150" i="4"/>
  <c r="AJ150" i="4"/>
  <c r="AI150" i="4"/>
  <c r="AH150" i="4"/>
  <c r="AG150" i="4"/>
  <c r="AF150" i="4"/>
  <c r="AE150" i="4"/>
  <c r="AL149" i="4"/>
  <c r="AK149" i="4"/>
  <c r="AJ149" i="4"/>
  <c r="AI149" i="4"/>
  <c r="AH149" i="4"/>
  <c r="AG149" i="4"/>
  <c r="AF149" i="4"/>
  <c r="AE149" i="4"/>
  <c r="AL148" i="4"/>
  <c r="AK148" i="4"/>
  <c r="AJ148" i="4"/>
  <c r="AI148" i="4"/>
  <c r="AH148" i="4"/>
  <c r="AG148" i="4"/>
  <c r="AF148" i="4"/>
  <c r="AE148" i="4"/>
  <c r="AL147" i="4"/>
  <c r="AK147" i="4"/>
  <c r="AJ147" i="4"/>
  <c r="AI147" i="4"/>
  <c r="AH147" i="4"/>
  <c r="AG147" i="4"/>
  <c r="AF147" i="4"/>
  <c r="AE147" i="4"/>
  <c r="AL146" i="4"/>
  <c r="AK146" i="4"/>
  <c r="AJ146" i="4"/>
  <c r="AI146" i="4"/>
  <c r="AH146" i="4"/>
  <c r="AG146" i="4"/>
  <c r="AF146" i="4"/>
  <c r="AE146" i="4"/>
  <c r="AL145" i="4"/>
  <c r="AK145" i="4"/>
  <c r="AJ145" i="4"/>
  <c r="AI145" i="4"/>
  <c r="AH145" i="4"/>
  <c r="AG145" i="4"/>
  <c r="AF145" i="4"/>
  <c r="AE145" i="4"/>
  <c r="AL144" i="4"/>
  <c r="AK144" i="4"/>
  <c r="AJ144" i="4"/>
  <c r="AI144" i="4"/>
  <c r="AH144" i="4"/>
  <c r="AG144" i="4"/>
  <c r="AF144" i="4"/>
  <c r="AE144" i="4"/>
  <c r="AL143" i="4"/>
  <c r="AK143" i="4"/>
  <c r="AJ143" i="4"/>
  <c r="AI143" i="4"/>
  <c r="AH143" i="4"/>
  <c r="AG143" i="4"/>
  <c r="AF143" i="4"/>
  <c r="AE143" i="4"/>
  <c r="AL142" i="4"/>
  <c r="AK142" i="4"/>
  <c r="AJ142" i="4"/>
  <c r="AI142" i="4"/>
  <c r="AH142" i="4"/>
  <c r="AG142" i="4"/>
  <c r="AF142" i="4"/>
  <c r="AE142" i="4"/>
  <c r="AL141" i="4"/>
  <c r="AK141" i="4"/>
  <c r="AJ141" i="4"/>
  <c r="AI141" i="4"/>
  <c r="AH141" i="4"/>
  <c r="AG141" i="4"/>
  <c r="AF141" i="4"/>
  <c r="AE141" i="4"/>
  <c r="AL140" i="4"/>
  <c r="AK140" i="4"/>
  <c r="AJ140" i="4"/>
  <c r="AI140" i="4"/>
  <c r="AH140" i="4"/>
  <c r="AG140" i="4"/>
  <c r="AF140" i="4"/>
  <c r="AE140" i="4"/>
  <c r="AL139" i="4"/>
  <c r="AK139" i="4"/>
  <c r="AJ139" i="4"/>
  <c r="AI139" i="4"/>
  <c r="AH139" i="4"/>
  <c r="AG139" i="4"/>
  <c r="AF139" i="4"/>
  <c r="AE139" i="4"/>
  <c r="AL138" i="4"/>
  <c r="AK138" i="4"/>
  <c r="AJ138" i="4"/>
  <c r="AI138" i="4"/>
  <c r="AH138" i="4"/>
  <c r="AG138" i="4"/>
  <c r="AF138" i="4"/>
  <c r="AE138" i="4"/>
  <c r="AL137" i="4"/>
  <c r="AK137" i="4"/>
  <c r="AJ137" i="4"/>
  <c r="AI137" i="4"/>
  <c r="AH137" i="4"/>
  <c r="AG137" i="4"/>
  <c r="AF137" i="4"/>
  <c r="AE137" i="4"/>
  <c r="AL136" i="4"/>
  <c r="AK136" i="4"/>
  <c r="AJ136" i="4"/>
  <c r="AI136" i="4"/>
  <c r="AH136" i="4"/>
  <c r="AG136" i="4"/>
  <c r="AF136" i="4"/>
  <c r="AE136" i="4"/>
  <c r="AL135" i="4"/>
  <c r="AK135" i="4"/>
  <c r="AJ135" i="4"/>
  <c r="AI135" i="4"/>
  <c r="AH135" i="4"/>
  <c r="AG135" i="4"/>
  <c r="AF135" i="4"/>
  <c r="AE135" i="4"/>
  <c r="AL134" i="4"/>
  <c r="AK134" i="4"/>
  <c r="AJ134" i="4"/>
  <c r="AI134" i="4"/>
  <c r="AH134" i="4"/>
  <c r="AG134" i="4"/>
  <c r="AF134" i="4"/>
  <c r="AE134" i="4"/>
  <c r="AL133" i="4"/>
  <c r="AK133" i="4"/>
  <c r="AJ133" i="4"/>
  <c r="AI133" i="4"/>
  <c r="AH133" i="4"/>
  <c r="AG133" i="4"/>
  <c r="AF133" i="4"/>
  <c r="AE133" i="4"/>
  <c r="AL132" i="4"/>
  <c r="AK132" i="4"/>
  <c r="AJ132" i="4"/>
  <c r="AI132" i="4"/>
  <c r="AH132" i="4"/>
  <c r="AG132" i="4"/>
  <c r="AF132" i="4"/>
  <c r="AE132" i="4"/>
  <c r="AL131" i="4"/>
  <c r="AK131" i="4"/>
  <c r="AJ131" i="4"/>
  <c r="AI131" i="4"/>
  <c r="AH131" i="4"/>
  <c r="AG131" i="4"/>
  <c r="AF131" i="4"/>
  <c r="AE131" i="4"/>
  <c r="AL130" i="4"/>
  <c r="AK130" i="4"/>
  <c r="AJ130" i="4"/>
  <c r="AI130" i="4"/>
  <c r="AH130" i="4"/>
  <c r="AG130" i="4"/>
  <c r="AF130" i="4"/>
  <c r="AE130" i="4"/>
  <c r="AL129" i="4"/>
  <c r="AK129" i="4"/>
  <c r="AJ129" i="4"/>
  <c r="AI129" i="4"/>
  <c r="AH129" i="4"/>
  <c r="AG129" i="4"/>
  <c r="AF129" i="4"/>
  <c r="AE129" i="4"/>
  <c r="AL128" i="4"/>
  <c r="AK128" i="4"/>
  <c r="AJ128" i="4"/>
  <c r="AI128" i="4"/>
  <c r="AH128" i="4"/>
  <c r="AG128" i="4"/>
  <c r="AF128" i="4"/>
  <c r="AE128" i="4"/>
  <c r="AL127" i="4"/>
  <c r="AK127" i="4"/>
  <c r="AJ127" i="4"/>
  <c r="AI127" i="4"/>
  <c r="AH127" i="4"/>
  <c r="AG127" i="4"/>
  <c r="AF127" i="4"/>
  <c r="AE127" i="4"/>
  <c r="AL126" i="4"/>
  <c r="AK126" i="4"/>
  <c r="AJ126" i="4"/>
  <c r="AI126" i="4"/>
  <c r="AH126" i="4"/>
  <c r="AG126" i="4"/>
  <c r="AF126" i="4"/>
  <c r="AE126" i="4"/>
  <c r="AL125" i="4"/>
  <c r="AK125" i="4"/>
  <c r="AJ125" i="4"/>
  <c r="AI125" i="4"/>
  <c r="AH125" i="4"/>
  <c r="AG125" i="4"/>
  <c r="AF125" i="4"/>
  <c r="AE125" i="4"/>
  <c r="AL124" i="4"/>
  <c r="AK124" i="4"/>
  <c r="AJ124" i="4"/>
  <c r="AI124" i="4"/>
  <c r="AH124" i="4"/>
  <c r="AG124" i="4"/>
  <c r="AF124" i="4"/>
  <c r="AE124" i="4"/>
  <c r="AL123" i="4"/>
  <c r="AK123" i="4"/>
  <c r="AJ123" i="4"/>
  <c r="AI123" i="4"/>
  <c r="AH123" i="4"/>
  <c r="AG123" i="4"/>
  <c r="AF123" i="4"/>
  <c r="AE123" i="4"/>
  <c r="AL122" i="4"/>
  <c r="AK122" i="4"/>
  <c r="AJ122" i="4"/>
  <c r="AI122" i="4"/>
  <c r="AH122" i="4"/>
  <c r="AG122" i="4"/>
  <c r="AF122" i="4"/>
  <c r="AE122" i="4"/>
  <c r="AL121" i="4"/>
  <c r="AK121" i="4"/>
  <c r="AJ121" i="4"/>
  <c r="AI121" i="4"/>
  <c r="AH121" i="4"/>
  <c r="AG121" i="4"/>
  <c r="AF121" i="4"/>
  <c r="AE121" i="4"/>
  <c r="AL120" i="4"/>
  <c r="AK120" i="4"/>
  <c r="AJ120" i="4"/>
  <c r="AI120" i="4"/>
  <c r="AH120" i="4"/>
  <c r="AG120" i="4"/>
  <c r="AF120" i="4"/>
  <c r="AE120" i="4"/>
  <c r="AL119" i="4"/>
  <c r="AK119" i="4"/>
  <c r="AJ119" i="4"/>
  <c r="AI119" i="4"/>
  <c r="AH119" i="4"/>
  <c r="AG119" i="4"/>
  <c r="AF119" i="4"/>
  <c r="AE119" i="4"/>
  <c r="AL118" i="4"/>
  <c r="AK118" i="4"/>
  <c r="AJ118" i="4"/>
  <c r="AI118" i="4"/>
  <c r="AH118" i="4"/>
  <c r="AG118" i="4"/>
  <c r="AF118" i="4"/>
  <c r="AE118" i="4"/>
  <c r="AL117" i="4"/>
  <c r="AK117" i="4"/>
  <c r="AJ117" i="4"/>
  <c r="AI117" i="4"/>
  <c r="AH117" i="4"/>
  <c r="AG117" i="4"/>
  <c r="AF117" i="4"/>
  <c r="AE117" i="4"/>
  <c r="AL116" i="4"/>
  <c r="AK116" i="4"/>
  <c r="AJ116" i="4"/>
  <c r="AI116" i="4"/>
  <c r="AH116" i="4"/>
  <c r="AG116" i="4"/>
  <c r="AF116" i="4"/>
  <c r="AE116" i="4"/>
  <c r="AL115" i="4"/>
  <c r="AK115" i="4"/>
  <c r="AJ115" i="4"/>
  <c r="AI115" i="4"/>
  <c r="AH115" i="4"/>
  <c r="AG115" i="4"/>
  <c r="AF115" i="4"/>
  <c r="AE115" i="4"/>
  <c r="AL114" i="4"/>
  <c r="AK114" i="4"/>
  <c r="AJ114" i="4"/>
  <c r="AI114" i="4"/>
  <c r="AH114" i="4"/>
  <c r="AG114" i="4"/>
  <c r="AF114" i="4"/>
  <c r="AE114" i="4"/>
  <c r="AL113" i="4"/>
  <c r="AK113" i="4"/>
  <c r="AJ113" i="4"/>
  <c r="AI113" i="4"/>
  <c r="AH113" i="4"/>
  <c r="AG113" i="4"/>
  <c r="AF113" i="4"/>
  <c r="AE113" i="4"/>
  <c r="AL112" i="4"/>
  <c r="AK112" i="4"/>
  <c r="AJ112" i="4"/>
  <c r="AI112" i="4"/>
  <c r="AH112" i="4"/>
  <c r="AG112" i="4"/>
  <c r="AF112" i="4"/>
  <c r="AE112" i="4"/>
  <c r="AL111" i="4"/>
  <c r="AK111" i="4"/>
  <c r="AJ111" i="4"/>
  <c r="AI111" i="4"/>
  <c r="AH111" i="4"/>
  <c r="AG111" i="4"/>
  <c r="AF111" i="4"/>
  <c r="AE111" i="4"/>
  <c r="AL110" i="4"/>
  <c r="AK110" i="4"/>
  <c r="AJ110" i="4"/>
  <c r="AI110" i="4"/>
  <c r="AH110" i="4"/>
  <c r="AG110" i="4"/>
  <c r="AF110" i="4"/>
  <c r="AE110" i="4"/>
  <c r="AL109" i="4"/>
  <c r="AK109" i="4"/>
  <c r="AJ109" i="4"/>
  <c r="AI109" i="4"/>
  <c r="AH109" i="4"/>
  <c r="AG109" i="4"/>
  <c r="AF109" i="4"/>
  <c r="AE109" i="4"/>
  <c r="AL108" i="4"/>
  <c r="AK108" i="4"/>
  <c r="AJ108" i="4"/>
  <c r="AI108" i="4"/>
  <c r="AH108" i="4"/>
  <c r="AG108" i="4"/>
  <c r="AF108" i="4"/>
  <c r="AE108" i="4"/>
  <c r="AL107" i="4"/>
  <c r="AK107" i="4"/>
  <c r="AJ107" i="4"/>
  <c r="AI107" i="4"/>
  <c r="AH107" i="4"/>
  <c r="AG107" i="4"/>
  <c r="AF107" i="4"/>
  <c r="AE107" i="4"/>
  <c r="AL106" i="4"/>
  <c r="AK106" i="4"/>
  <c r="AJ106" i="4"/>
  <c r="AI106" i="4"/>
  <c r="AH106" i="4"/>
  <c r="AG106" i="4"/>
  <c r="AF106" i="4"/>
  <c r="AE106" i="4"/>
  <c r="AL105" i="4"/>
  <c r="AK105" i="4"/>
  <c r="AJ105" i="4"/>
  <c r="AI105" i="4"/>
  <c r="AH105" i="4"/>
  <c r="AG105" i="4"/>
  <c r="AF105" i="4"/>
  <c r="AE105" i="4"/>
  <c r="AL104" i="4"/>
  <c r="AK104" i="4"/>
  <c r="AJ104" i="4"/>
  <c r="AI104" i="4"/>
  <c r="AH104" i="4"/>
  <c r="AG104" i="4"/>
  <c r="AF104" i="4"/>
  <c r="AE104" i="4"/>
  <c r="AL103" i="4"/>
  <c r="AK103" i="4"/>
  <c r="AJ103" i="4"/>
  <c r="AI103" i="4"/>
  <c r="AH103" i="4"/>
  <c r="AG103" i="4"/>
  <c r="AF103" i="4"/>
  <c r="AE103" i="4"/>
  <c r="AL102" i="4"/>
  <c r="AK102" i="4"/>
  <c r="AJ102" i="4"/>
  <c r="AI102" i="4"/>
  <c r="AH102" i="4"/>
  <c r="AG102" i="4"/>
  <c r="AF102" i="4"/>
  <c r="AE102" i="4"/>
  <c r="AL101" i="4"/>
  <c r="AK101" i="4"/>
  <c r="AJ101" i="4"/>
  <c r="AI101" i="4"/>
  <c r="AH101" i="4"/>
  <c r="AG101" i="4"/>
  <c r="AF101" i="4"/>
  <c r="AE101" i="4"/>
  <c r="AL100" i="4"/>
  <c r="AK100" i="4"/>
  <c r="AJ100" i="4"/>
  <c r="AI100" i="4"/>
  <c r="AH100" i="4"/>
  <c r="AG100" i="4"/>
  <c r="AF100" i="4"/>
  <c r="AE100" i="4"/>
  <c r="AL99" i="4"/>
  <c r="AK99" i="4"/>
  <c r="AJ99" i="4"/>
  <c r="AI99" i="4"/>
  <c r="AH99" i="4"/>
  <c r="AG99" i="4"/>
  <c r="AF99" i="4"/>
  <c r="AE99" i="4"/>
  <c r="AL98" i="4"/>
  <c r="AK98" i="4"/>
  <c r="AJ98" i="4"/>
  <c r="AI98" i="4"/>
  <c r="AH98" i="4"/>
  <c r="AG98" i="4"/>
  <c r="AF98" i="4"/>
  <c r="AE98" i="4"/>
  <c r="AL97" i="4"/>
  <c r="AK97" i="4"/>
  <c r="AJ97" i="4"/>
  <c r="AI97" i="4"/>
  <c r="AH97" i="4"/>
  <c r="AG97" i="4"/>
  <c r="AF97" i="4"/>
  <c r="AE97" i="4"/>
  <c r="AL96" i="4"/>
  <c r="AK96" i="4"/>
  <c r="AJ96" i="4"/>
  <c r="AI96" i="4"/>
  <c r="AH96" i="4"/>
  <c r="AG96" i="4"/>
  <c r="AF96" i="4"/>
  <c r="AE96" i="4"/>
  <c r="AL95" i="4"/>
  <c r="AK95" i="4"/>
  <c r="AJ95" i="4"/>
  <c r="AI95" i="4"/>
  <c r="AH95" i="4"/>
  <c r="AG95" i="4"/>
  <c r="AF95" i="4"/>
  <c r="AE95" i="4"/>
  <c r="AL94" i="4"/>
  <c r="AK94" i="4"/>
  <c r="AJ94" i="4"/>
  <c r="AI94" i="4"/>
  <c r="AH94" i="4"/>
  <c r="AG94" i="4"/>
  <c r="AF94" i="4"/>
  <c r="AE94" i="4"/>
  <c r="AL93" i="4"/>
  <c r="AK93" i="4"/>
  <c r="AJ93" i="4"/>
  <c r="AI93" i="4"/>
  <c r="AH93" i="4"/>
  <c r="AG93" i="4"/>
  <c r="AF93" i="4"/>
  <c r="AE93" i="4"/>
  <c r="AL92" i="4"/>
  <c r="AK92" i="4"/>
  <c r="AJ92" i="4"/>
  <c r="AI92" i="4"/>
  <c r="AH92" i="4"/>
  <c r="AG92" i="4"/>
  <c r="AF92" i="4"/>
  <c r="AE92" i="4"/>
  <c r="AL91" i="4"/>
  <c r="AK91" i="4"/>
  <c r="AJ91" i="4"/>
  <c r="AI91" i="4"/>
  <c r="AH91" i="4"/>
  <c r="AG91" i="4"/>
  <c r="AF91" i="4"/>
  <c r="AE91" i="4"/>
  <c r="AL90" i="4"/>
  <c r="AK90" i="4"/>
  <c r="AJ90" i="4"/>
  <c r="AI90" i="4"/>
  <c r="AH90" i="4"/>
  <c r="AG90" i="4"/>
  <c r="AF90" i="4"/>
  <c r="AE90" i="4"/>
  <c r="AL89" i="4"/>
  <c r="AK89" i="4"/>
  <c r="AJ89" i="4"/>
  <c r="AI89" i="4"/>
  <c r="AH89" i="4"/>
  <c r="AG89" i="4"/>
  <c r="AF89" i="4"/>
  <c r="AE89" i="4"/>
  <c r="AL88" i="4"/>
  <c r="AK88" i="4"/>
  <c r="AJ88" i="4"/>
  <c r="AI88" i="4"/>
  <c r="AH88" i="4"/>
  <c r="AG88" i="4"/>
  <c r="AF88" i="4"/>
  <c r="AE88" i="4"/>
  <c r="AL87" i="4"/>
  <c r="AK87" i="4"/>
  <c r="AJ87" i="4"/>
  <c r="AI87" i="4"/>
  <c r="AH87" i="4"/>
  <c r="AG87" i="4"/>
  <c r="AF87" i="4"/>
  <c r="AE87" i="4"/>
  <c r="AL86" i="4"/>
  <c r="AK86" i="4"/>
  <c r="AJ86" i="4"/>
  <c r="AI86" i="4"/>
  <c r="AH86" i="4"/>
  <c r="AG86" i="4"/>
  <c r="AF86" i="4"/>
  <c r="AE86" i="4"/>
  <c r="AL85" i="4"/>
  <c r="AK85" i="4"/>
  <c r="AJ85" i="4"/>
  <c r="AI85" i="4"/>
  <c r="AH85" i="4"/>
  <c r="AG85" i="4"/>
  <c r="AF85" i="4"/>
  <c r="AE85" i="4"/>
  <c r="AL84" i="4"/>
  <c r="AK84" i="4"/>
  <c r="AJ84" i="4"/>
  <c r="AI84" i="4"/>
  <c r="AH84" i="4"/>
  <c r="AG84" i="4"/>
  <c r="AF84" i="4"/>
  <c r="AE84" i="4"/>
  <c r="AL83" i="4"/>
  <c r="AK83" i="4"/>
  <c r="AJ83" i="4"/>
  <c r="AI83" i="4"/>
  <c r="AH83" i="4"/>
  <c r="AG83" i="4"/>
  <c r="AF83" i="4"/>
  <c r="AE83" i="4"/>
  <c r="AL82" i="4"/>
  <c r="AK82" i="4"/>
  <c r="AJ82" i="4"/>
  <c r="AI82" i="4"/>
  <c r="AH82" i="4"/>
  <c r="AG82" i="4"/>
  <c r="AF82" i="4"/>
  <c r="AE82" i="4"/>
  <c r="AL81" i="4"/>
  <c r="AK81" i="4"/>
  <c r="AJ81" i="4"/>
  <c r="AI81" i="4"/>
  <c r="AH81" i="4"/>
  <c r="AG81" i="4"/>
  <c r="AF81" i="4"/>
  <c r="AE81" i="4"/>
  <c r="AL80" i="4"/>
  <c r="AK80" i="4"/>
  <c r="AJ80" i="4"/>
  <c r="AI80" i="4"/>
  <c r="AH80" i="4"/>
  <c r="AG80" i="4"/>
  <c r="AF80" i="4"/>
  <c r="AE80" i="4"/>
  <c r="AL79" i="4"/>
  <c r="AK79" i="4"/>
  <c r="AJ79" i="4"/>
  <c r="AI79" i="4"/>
  <c r="AH79" i="4"/>
  <c r="AG79" i="4"/>
  <c r="AF79" i="4"/>
  <c r="AE79" i="4"/>
  <c r="AL78" i="4"/>
  <c r="AK78" i="4"/>
  <c r="AJ78" i="4"/>
  <c r="AI78" i="4"/>
  <c r="AH78" i="4"/>
  <c r="AG78" i="4"/>
  <c r="AF78" i="4"/>
  <c r="AE78" i="4"/>
  <c r="AL77" i="4"/>
  <c r="AK77" i="4"/>
  <c r="AJ77" i="4"/>
  <c r="AI77" i="4"/>
  <c r="AH77" i="4"/>
  <c r="AG77" i="4"/>
  <c r="AF77" i="4"/>
  <c r="AE77" i="4"/>
  <c r="AL76" i="4"/>
  <c r="AK76" i="4"/>
  <c r="AJ76" i="4"/>
  <c r="AI76" i="4"/>
  <c r="AH76" i="4"/>
  <c r="AG76" i="4"/>
  <c r="AF76" i="4"/>
  <c r="AE76" i="4"/>
  <c r="AL75" i="4"/>
  <c r="AK75" i="4"/>
  <c r="AJ75" i="4"/>
  <c r="AI75" i="4"/>
  <c r="AH75" i="4"/>
  <c r="AG75" i="4"/>
  <c r="AF75" i="4"/>
  <c r="AE75" i="4"/>
  <c r="AL74" i="4"/>
  <c r="AK74" i="4"/>
  <c r="AJ74" i="4"/>
  <c r="AI74" i="4"/>
  <c r="AH74" i="4"/>
  <c r="AG74" i="4"/>
  <c r="AF74" i="4"/>
  <c r="AE74" i="4"/>
  <c r="AL73" i="4"/>
  <c r="AK73" i="4"/>
  <c r="AJ73" i="4"/>
  <c r="AI73" i="4"/>
  <c r="AH73" i="4"/>
  <c r="AG73" i="4"/>
  <c r="AF73" i="4"/>
  <c r="AE73" i="4"/>
  <c r="AL72" i="4"/>
  <c r="AK72" i="4"/>
  <c r="AJ72" i="4"/>
  <c r="AI72" i="4"/>
  <c r="AH72" i="4"/>
  <c r="AG72" i="4"/>
  <c r="AF72" i="4"/>
  <c r="AE72" i="4"/>
  <c r="AL71" i="4"/>
  <c r="AK71" i="4"/>
  <c r="AJ71" i="4"/>
  <c r="AI71" i="4"/>
  <c r="AH71" i="4"/>
  <c r="AG71" i="4"/>
  <c r="AF71" i="4"/>
  <c r="AE71" i="4"/>
  <c r="AL70" i="4"/>
  <c r="AK70" i="4"/>
  <c r="AJ70" i="4"/>
  <c r="AI70" i="4"/>
  <c r="AH70" i="4"/>
  <c r="AG70" i="4"/>
  <c r="AF70" i="4"/>
  <c r="AE70" i="4"/>
  <c r="AL69" i="4"/>
  <c r="AK69" i="4"/>
  <c r="AJ69" i="4"/>
  <c r="AI69" i="4"/>
  <c r="AH69" i="4"/>
  <c r="AG69" i="4"/>
  <c r="AF69" i="4"/>
  <c r="AE69" i="4"/>
  <c r="AL68" i="4"/>
  <c r="AK68" i="4"/>
  <c r="AJ68" i="4"/>
  <c r="AI68" i="4"/>
  <c r="AH68" i="4"/>
  <c r="AG68" i="4"/>
  <c r="AF68" i="4"/>
  <c r="AE68" i="4"/>
  <c r="AL67" i="4"/>
  <c r="AK67" i="4"/>
  <c r="AJ67" i="4"/>
  <c r="AI67" i="4"/>
  <c r="AH67" i="4"/>
  <c r="AG67" i="4"/>
  <c r="AF67" i="4"/>
  <c r="AE67" i="4"/>
  <c r="AL66" i="4"/>
  <c r="AK66" i="4"/>
  <c r="AJ66" i="4"/>
  <c r="AI66" i="4"/>
  <c r="AH66" i="4"/>
  <c r="AG66" i="4"/>
  <c r="AF66" i="4"/>
  <c r="AE66" i="4"/>
  <c r="AL65" i="4"/>
  <c r="AK65" i="4"/>
  <c r="AJ65" i="4"/>
  <c r="AI65" i="4"/>
  <c r="AH65" i="4"/>
  <c r="AG65" i="4"/>
  <c r="AF65" i="4"/>
  <c r="AE65" i="4"/>
  <c r="AL64" i="4"/>
  <c r="AK64" i="4"/>
  <c r="AJ64" i="4"/>
  <c r="AI64" i="4"/>
  <c r="AH64" i="4"/>
  <c r="AG64" i="4"/>
  <c r="AF64" i="4"/>
  <c r="AE64" i="4"/>
  <c r="AL63" i="4"/>
  <c r="AK63" i="4"/>
  <c r="AJ63" i="4"/>
  <c r="AI63" i="4"/>
  <c r="AH63" i="4"/>
  <c r="AG63" i="4"/>
  <c r="AF63" i="4"/>
  <c r="AE63" i="4"/>
  <c r="AL62" i="4"/>
  <c r="AK62" i="4"/>
  <c r="AJ62" i="4"/>
  <c r="AI62" i="4"/>
  <c r="AH62" i="4"/>
  <c r="AG62" i="4"/>
  <c r="AF62" i="4"/>
  <c r="AE62" i="4"/>
  <c r="AL61" i="4"/>
  <c r="AK61" i="4"/>
  <c r="AJ61" i="4"/>
  <c r="AI61" i="4"/>
  <c r="AH61" i="4"/>
  <c r="AG61" i="4"/>
  <c r="AF61" i="4"/>
  <c r="AE61" i="4"/>
  <c r="AL60" i="4"/>
  <c r="AK60" i="4"/>
  <c r="AJ60" i="4"/>
  <c r="AI60" i="4"/>
  <c r="AH60" i="4"/>
  <c r="AG60" i="4"/>
  <c r="AF60" i="4"/>
  <c r="AE60" i="4"/>
  <c r="AL59" i="4"/>
  <c r="AK59" i="4"/>
  <c r="AJ59" i="4"/>
  <c r="AI59" i="4"/>
  <c r="AH59" i="4"/>
  <c r="AG59" i="4"/>
  <c r="AF59" i="4"/>
  <c r="AE59" i="4"/>
  <c r="AL58" i="4"/>
  <c r="AK58" i="4"/>
  <c r="AJ58" i="4"/>
  <c r="AI58" i="4"/>
  <c r="AH58" i="4"/>
  <c r="AG58" i="4"/>
  <c r="AF58" i="4"/>
  <c r="AE58" i="4"/>
  <c r="AL57" i="4"/>
  <c r="AK57" i="4"/>
  <c r="AJ57" i="4"/>
  <c r="AI57" i="4"/>
  <c r="AH57" i="4"/>
  <c r="AG57" i="4"/>
  <c r="AF57" i="4"/>
  <c r="AE57" i="4"/>
  <c r="AL56" i="4"/>
  <c r="AK56" i="4"/>
  <c r="AJ56" i="4"/>
  <c r="AI56" i="4"/>
  <c r="AH56" i="4"/>
  <c r="AG56" i="4"/>
  <c r="AF56" i="4"/>
  <c r="AE56" i="4"/>
  <c r="AL55" i="4"/>
  <c r="AK55" i="4"/>
  <c r="AJ55" i="4"/>
  <c r="AI55" i="4"/>
  <c r="AH55" i="4"/>
  <c r="AG55" i="4"/>
  <c r="AF55" i="4"/>
  <c r="AE55" i="4"/>
  <c r="AL54" i="4"/>
  <c r="AK54" i="4"/>
  <c r="AJ54" i="4"/>
  <c r="AI54" i="4"/>
  <c r="AH54" i="4"/>
  <c r="AG54" i="4"/>
  <c r="AF54" i="4"/>
  <c r="AE54" i="4"/>
  <c r="AL53" i="4"/>
  <c r="AK53" i="4"/>
  <c r="AJ53" i="4"/>
  <c r="AI53" i="4"/>
  <c r="AH53" i="4"/>
  <c r="AG53" i="4"/>
  <c r="AF53" i="4"/>
  <c r="AE53" i="4"/>
  <c r="AL52" i="4"/>
  <c r="AK52" i="4"/>
  <c r="AJ52" i="4"/>
  <c r="AI52" i="4"/>
  <c r="AH52" i="4"/>
  <c r="AG52" i="4"/>
  <c r="AF52" i="4"/>
  <c r="AE52" i="4"/>
  <c r="AL51" i="4"/>
  <c r="AK51" i="4"/>
  <c r="AJ51" i="4"/>
  <c r="AI51" i="4"/>
  <c r="AH51" i="4"/>
  <c r="AG51" i="4"/>
  <c r="AF51" i="4"/>
  <c r="AE51" i="4"/>
  <c r="AL50" i="4"/>
  <c r="AK50" i="4"/>
  <c r="AJ50" i="4"/>
  <c r="AI50" i="4"/>
  <c r="AH50" i="4"/>
  <c r="AG50" i="4"/>
  <c r="AF50" i="4"/>
  <c r="AE50" i="4"/>
  <c r="AL49" i="4"/>
  <c r="AK49" i="4"/>
  <c r="AJ49" i="4"/>
  <c r="AI49" i="4"/>
  <c r="AH49" i="4"/>
  <c r="AG49" i="4"/>
  <c r="AF49" i="4"/>
  <c r="AE49" i="4"/>
  <c r="AL48" i="4"/>
  <c r="AK48" i="4"/>
  <c r="AJ48" i="4"/>
  <c r="AI48" i="4"/>
  <c r="AH48" i="4"/>
  <c r="AG48" i="4"/>
  <c r="AF48" i="4"/>
  <c r="AE48" i="4"/>
  <c r="AL47" i="4"/>
  <c r="AK47" i="4"/>
  <c r="AJ47" i="4"/>
  <c r="AI47" i="4"/>
  <c r="AH47" i="4"/>
  <c r="AG47" i="4"/>
  <c r="AF47" i="4"/>
  <c r="AE47" i="4"/>
  <c r="AL46" i="4"/>
  <c r="AK46" i="4"/>
  <c r="AJ46" i="4"/>
  <c r="AI46" i="4"/>
  <c r="AH46" i="4"/>
  <c r="AG46" i="4"/>
  <c r="AF46" i="4"/>
  <c r="AE46" i="4"/>
  <c r="AL45" i="4"/>
  <c r="AK45" i="4"/>
  <c r="AJ45" i="4"/>
  <c r="AI45" i="4"/>
  <c r="AH45" i="4"/>
  <c r="AG45" i="4"/>
  <c r="AF45" i="4"/>
  <c r="AE45" i="4"/>
  <c r="AL44" i="4"/>
  <c r="AK44" i="4"/>
  <c r="AJ44" i="4"/>
  <c r="AI44" i="4"/>
  <c r="AH44" i="4"/>
  <c r="AG44" i="4"/>
  <c r="AF44" i="4"/>
  <c r="AE44" i="4"/>
  <c r="AL43" i="4"/>
  <c r="AK43" i="4"/>
  <c r="AJ43" i="4"/>
  <c r="AI43" i="4"/>
  <c r="AH43" i="4"/>
  <c r="AG43" i="4"/>
  <c r="AF43" i="4"/>
  <c r="AE43" i="4"/>
  <c r="AL42" i="4"/>
  <c r="AK42" i="4"/>
  <c r="AJ42" i="4"/>
  <c r="AI42" i="4"/>
  <c r="AH42" i="4"/>
  <c r="AG42" i="4"/>
  <c r="AF42" i="4"/>
  <c r="AE42" i="4"/>
  <c r="AL41" i="4"/>
  <c r="AK41" i="4"/>
  <c r="AJ41" i="4"/>
  <c r="AI41" i="4"/>
  <c r="AH41" i="4"/>
  <c r="AG41" i="4"/>
  <c r="AF41" i="4"/>
  <c r="AE41" i="4"/>
  <c r="AL40" i="4"/>
  <c r="AK40" i="4"/>
  <c r="AJ40" i="4"/>
  <c r="AI40" i="4"/>
  <c r="AH40" i="4"/>
  <c r="AG40" i="4"/>
  <c r="AF40" i="4"/>
  <c r="AE40" i="4"/>
  <c r="AL39" i="4"/>
  <c r="AK39" i="4"/>
  <c r="AJ39" i="4"/>
  <c r="AI39" i="4"/>
  <c r="AH39" i="4"/>
  <c r="AG39" i="4"/>
  <c r="AF39" i="4"/>
  <c r="AE39" i="4"/>
  <c r="AL38" i="4"/>
  <c r="AK38" i="4"/>
  <c r="AJ38" i="4"/>
  <c r="AI38" i="4"/>
  <c r="AH38" i="4"/>
  <c r="AG38" i="4"/>
  <c r="AF38" i="4"/>
  <c r="AE38" i="4"/>
  <c r="AL37" i="4"/>
  <c r="AK37" i="4"/>
  <c r="AJ37" i="4"/>
  <c r="AI37" i="4"/>
  <c r="AH37" i="4"/>
  <c r="AG37" i="4"/>
  <c r="AF37" i="4"/>
  <c r="AE37" i="4"/>
  <c r="AL36" i="4"/>
  <c r="AK36" i="4"/>
  <c r="AJ36" i="4"/>
  <c r="AI36" i="4"/>
  <c r="AH36" i="4"/>
  <c r="AG36" i="4"/>
  <c r="AF36" i="4"/>
  <c r="AE36" i="4"/>
  <c r="AL35" i="4"/>
  <c r="AK35" i="4"/>
  <c r="AJ35" i="4"/>
  <c r="AI35" i="4"/>
  <c r="AH35" i="4"/>
  <c r="AG35" i="4"/>
  <c r="AF35" i="4"/>
  <c r="AE35" i="4"/>
  <c r="AL34" i="4"/>
  <c r="AK34" i="4"/>
  <c r="AJ34" i="4"/>
  <c r="AI34" i="4"/>
  <c r="AH34" i="4"/>
  <c r="AG34" i="4"/>
  <c r="AF34" i="4"/>
  <c r="AE34" i="4"/>
  <c r="AL33" i="4"/>
  <c r="AK33" i="4"/>
  <c r="AJ33" i="4"/>
  <c r="AI33" i="4"/>
  <c r="AH33" i="4"/>
  <c r="AG33" i="4"/>
  <c r="AF33" i="4"/>
  <c r="AE33" i="4"/>
  <c r="AL32" i="4"/>
  <c r="AK32" i="4"/>
  <c r="AJ32" i="4"/>
  <c r="AI32" i="4"/>
  <c r="AH32" i="4"/>
  <c r="AG32" i="4"/>
  <c r="AF32" i="4"/>
  <c r="AE32" i="4"/>
  <c r="AL31" i="4"/>
  <c r="AK31" i="4"/>
  <c r="AJ31" i="4"/>
  <c r="AI31" i="4"/>
  <c r="AH31" i="4"/>
  <c r="AG31" i="4"/>
  <c r="AF31" i="4"/>
  <c r="AE31" i="4"/>
  <c r="AL30" i="4"/>
  <c r="AK30" i="4"/>
  <c r="AJ30" i="4"/>
  <c r="AI30" i="4"/>
  <c r="AH30" i="4"/>
  <c r="AG30" i="4"/>
  <c r="AF30" i="4"/>
  <c r="AE30" i="4"/>
  <c r="AL29" i="4"/>
  <c r="AK29" i="4"/>
  <c r="AJ29" i="4"/>
  <c r="AI29" i="4"/>
  <c r="AH29" i="4"/>
  <c r="AG29" i="4"/>
  <c r="AF29" i="4"/>
  <c r="AE29" i="4"/>
  <c r="AL28" i="4"/>
  <c r="AK28" i="4"/>
  <c r="AJ28" i="4"/>
  <c r="AI28" i="4"/>
  <c r="AH28" i="4"/>
  <c r="AG28" i="4"/>
  <c r="AF28" i="4"/>
  <c r="AE28" i="4"/>
  <c r="AL27" i="4"/>
  <c r="AK27" i="4"/>
  <c r="AJ27" i="4"/>
  <c r="AI27" i="4"/>
  <c r="AH27" i="4"/>
  <c r="AG27" i="4"/>
  <c r="AF27" i="4"/>
  <c r="AE27" i="4"/>
  <c r="AL26" i="4"/>
  <c r="AK26" i="4"/>
  <c r="AJ26" i="4"/>
  <c r="AI26" i="4"/>
  <c r="AH26" i="4"/>
  <c r="AG26" i="4"/>
  <c r="AF26" i="4"/>
  <c r="AE26" i="4"/>
  <c r="AL25" i="4"/>
  <c r="AK25" i="4"/>
  <c r="AJ25" i="4"/>
  <c r="AI25" i="4"/>
  <c r="AH25" i="4"/>
  <c r="AG25" i="4"/>
  <c r="AF25" i="4"/>
  <c r="AE25" i="4"/>
  <c r="AL24" i="4"/>
  <c r="AK24" i="4"/>
  <c r="AJ24" i="4"/>
  <c r="AI24" i="4"/>
  <c r="AH24" i="4"/>
  <c r="AG24" i="4"/>
  <c r="AF24" i="4"/>
  <c r="AE24" i="4"/>
  <c r="AL23" i="4"/>
  <c r="AK23" i="4"/>
  <c r="AJ23" i="4"/>
  <c r="AI23" i="4"/>
  <c r="AH23" i="4"/>
  <c r="AG23" i="4"/>
  <c r="AF23" i="4"/>
  <c r="AE23" i="4"/>
  <c r="AL22" i="4"/>
  <c r="AK22" i="4"/>
  <c r="AJ22" i="4"/>
  <c r="AI22" i="4"/>
  <c r="AH22" i="4"/>
  <c r="AG22" i="4"/>
  <c r="AF22" i="4"/>
  <c r="AE22" i="4"/>
  <c r="AL21" i="4"/>
  <c r="AK21" i="4"/>
  <c r="AJ21" i="4"/>
  <c r="AI21" i="4"/>
  <c r="AH21" i="4"/>
  <c r="AG21" i="4"/>
  <c r="AF21" i="4"/>
  <c r="AE21" i="4"/>
  <c r="AL20" i="4"/>
  <c r="AK20" i="4"/>
  <c r="AJ20" i="4"/>
  <c r="AI20" i="4"/>
  <c r="AH20" i="4"/>
  <c r="AG20" i="4"/>
  <c r="AF20" i="4"/>
  <c r="AE20" i="4"/>
  <c r="AL19" i="4"/>
  <c r="AK19" i="4"/>
  <c r="AJ19" i="4"/>
  <c r="AI19" i="4"/>
  <c r="AH19" i="4"/>
  <c r="AG19" i="4"/>
  <c r="AF19" i="4"/>
  <c r="AE19" i="4"/>
  <c r="AL18" i="4"/>
  <c r="AK18" i="4"/>
  <c r="AJ18" i="4"/>
  <c r="AI18" i="4"/>
  <c r="AH18" i="4"/>
  <c r="AG18" i="4"/>
  <c r="AF18" i="4"/>
  <c r="AE18" i="4"/>
  <c r="AL17" i="4"/>
  <c r="AK17" i="4"/>
  <c r="AJ17" i="4"/>
  <c r="AI17" i="4"/>
  <c r="AH17" i="4"/>
  <c r="AG17" i="4"/>
  <c r="AF17" i="4"/>
  <c r="AE17" i="4"/>
  <c r="AL16" i="4"/>
  <c r="AK16" i="4"/>
  <c r="AJ16" i="4"/>
  <c r="AI16" i="4"/>
  <c r="AH16" i="4"/>
  <c r="AG16" i="4"/>
  <c r="AF16" i="4"/>
  <c r="AE16" i="4"/>
  <c r="AL15" i="4"/>
  <c r="AK15" i="4"/>
  <c r="AJ15" i="4"/>
  <c r="AI15" i="4"/>
  <c r="AH15" i="4"/>
  <c r="AG15" i="4"/>
  <c r="AF15" i="4"/>
  <c r="AE15" i="4"/>
  <c r="AL14" i="4"/>
  <c r="AK14" i="4"/>
  <c r="AJ14" i="4"/>
  <c r="AI14" i="4"/>
  <c r="AH14" i="4"/>
  <c r="AG14" i="4"/>
  <c r="AF14" i="4"/>
  <c r="AE14" i="4"/>
  <c r="AL13" i="4"/>
  <c r="AK13" i="4"/>
  <c r="AJ13" i="4"/>
  <c r="AI13" i="4"/>
  <c r="AH13" i="4"/>
  <c r="AG13" i="4"/>
  <c r="AF13" i="4"/>
  <c r="AE13" i="4"/>
  <c r="AL12" i="4"/>
  <c r="AK12" i="4"/>
  <c r="AJ12" i="4"/>
  <c r="AI12" i="4"/>
  <c r="AH12" i="4"/>
  <c r="AG12" i="4"/>
  <c r="AF12" i="4"/>
  <c r="AE12" i="4"/>
  <c r="AL11" i="4"/>
  <c r="AK11" i="4"/>
  <c r="AJ11" i="4"/>
  <c r="AI11" i="4"/>
  <c r="AH11" i="4"/>
  <c r="AG11" i="4"/>
  <c r="AF11" i="4"/>
  <c r="AE11" i="4"/>
  <c r="AL10" i="4"/>
  <c r="AK10" i="4"/>
  <c r="AJ10" i="4"/>
  <c r="AI10" i="4"/>
  <c r="AH10" i="4"/>
  <c r="AG10" i="4"/>
  <c r="AF10" i="4"/>
  <c r="AE10" i="4"/>
  <c r="AL9" i="4"/>
  <c r="AK9" i="4"/>
  <c r="AJ9" i="4"/>
  <c r="AI9" i="4"/>
  <c r="AH9" i="4"/>
  <c r="AG9" i="4"/>
  <c r="AF9" i="4"/>
  <c r="AE9" i="4"/>
  <c r="AL8" i="4"/>
  <c r="AK8" i="4"/>
  <c r="AJ8" i="4"/>
  <c r="AI8" i="4"/>
  <c r="AH8" i="4"/>
  <c r="AG8" i="4"/>
  <c r="AF8" i="4"/>
  <c r="AE8" i="4"/>
  <c r="AL7" i="4"/>
  <c r="AK7" i="4"/>
  <c r="AJ7" i="4"/>
  <c r="AI7" i="4"/>
  <c r="AH7" i="4"/>
  <c r="AG7" i="4"/>
  <c r="AF7" i="4"/>
  <c r="AE7" i="4"/>
  <c r="AL6" i="4"/>
  <c r="AK6" i="4"/>
  <c r="AJ6" i="4"/>
  <c r="AI6" i="4"/>
  <c r="AH6" i="4"/>
  <c r="AG6" i="4"/>
  <c r="AF6" i="4"/>
  <c r="AE6" i="4"/>
  <c r="AL5" i="4"/>
  <c r="AK5" i="4"/>
  <c r="AJ5" i="4"/>
  <c r="AI5" i="4"/>
  <c r="AH5" i="4"/>
  <c r="AG5" i="4"/>
  <c r="AF5" i="4"/>
  <c r="AE5" i="4"/>
  <c r="AL4" i="4"/>
  <c r="AK4" i="4"/>
  <c r="AJ4" i="4"/>
  <c r="AI4" i="4"/>
  <c r="AH4" i="4"/>
  <c r="AG4" i="4"/>
  <c r="AF4" i="4"/>
  <c r="AE4" i="4"/>
  <c r="AL3" i="4"/>
  <c r="AK3" i="4"/>
  <c r="AJ3" i="4"/>
  <c r="AI3" i="4"/>
  <c r="AH3" i="4"/>
  <c r="AG3" i="4"/>
  <c r="AF3" i="4"/>
  <c r="AE3" i="4"/>
  <c r="AL2" i="4"/>
  <c r="AK2" i="4"/>
  <c r="AJ2" i="4"/>
  <c r="AI2" i="4"/>
  <c r="AH2" i="4"/>
  <c r="AG2" i="4"/>
  <c r="AF2" i="4"/>
  <c r="AE2" i="4"/>
  <c r="AD271" i="2"/>
  <c r="AC271" i="2"/>
  <c r="AB271" i="2"/>
  <c r="AA271" i="2"/>
  <c r="Z271" i="2"/>
  <c r="Y271" i="2"/>
  <c r="X271" i="2"/>
  <c r="W271" i="2"/>
  <c r="V271" i="2"/>
  <c r="U271" i="2"/>
  <c r="T271" i="2"/>
  <c r="S271" i="2"/>
  <c r="R271" i="2"/>
  <c r="Q271" i="2"/>
  <c r="P271" i="2"/>
  <c r="O271" i="2"/>
  <c r="N271" i="2"/>
  <c r="M271" i="2"/>
  <c r="L271" i="2"/>
  <c r="K271" i="2"/>
  <c r="J271" i="2"/>
  <c r="I271" i="2"/>
  <c r="H271" i="2"/>
  <c r="G271" i="2"/>
  <c r="F271" i="2"/>
  <c r="E271" i="2"/>
  <c r="D271" i="2"/>
  <c r="AD270" i="2"/>
  <c r="AC270" i="2"/>
  <c r="AB270" i="2"/>
  <c r="AA270" i="2"/>
  <c r="Z270" i="2"/>
  <c r="Y270" i="2"/>
  <c r="X270" i="2"/>
  <c r="W270" i="2"/>
  <c r="V270" i="2"/>
  <c r="U270" i="2"/>
  <c r="T270" i="2"/>
  <c r="S270" i="2"/>
  <c r="R270" i="2"/>
  <c r="Q270" i="2"/>
  <c r="P270" i="2"/>
  <c r="O270" i="2"/>
  <c r="N270" i="2"/>
  <c r="M270" i="2"/>
  <c r="L270" i="2"/>
  <c r="K270" i="2"/>
  <c r="J270" i="2"/>
  <c r="I270" i="2"/>
  <c r="H270" i="2"/>
  <c r="G270" i="2"/>
  <c r="F270" i="2"/>
  <c r="E270" i="2"/>
  <c r="D270" i="2"/>
  <c r="AD269" i="2"/>
  <c r="AC269" i="2"/>
  <c r="AB269" i="2"/>
  <c r="AA269" i="2"/>
  <c r="Z269" i="2"/>
  <c r="Y269" i="2"/>
  <c r="X269" i="2"/>
  <c r="W269" i="2"/>
  <c r="V269" i="2"/>
  <c r="U269" i="2"/>
  <c r="T269" i="2"/>
  <c r="S269" i="2"/>
  <c r="R269" i="2"/>
  <c r="Q269" i="2"/>
  <c r="P269" i="2"/>
  <c r="O269" i="2"/>
  <c r="N269" i="2"/>
  <c r="M269" i="2"/>
  <c r="L269" i="2"/>
  <c r="K269" i="2"/>
  <c r="J269" i="2"/>
  <c r="I269" i="2"/>
  <c r="H269" i="2"/>
  <c r="G269" i="2"/>
  <c r="F269" i="2"/>
  <c r="E269" i="2"/>
  <c r="D269" i="2"/>
  <c r="AD268" i="2"/>
  <c r="AC268" i="2"/>
  <c r="AB268" i="2"/>
  <c r="AA268" i="2"/>
  <c r="Z268" i="2"/>
  <c r="Y268" i="2"/>
  <c r="W268" i="2"/>
  <c r="V268" i="2"/>
  <c r="U268" i="2"/>
  <c r="T268" i="2"/>
  <c r="S268" i="2"/>
  <c r="R268" i="2"/>
  <c r="Q268" i="2"/>
  <c r="O268" i="2"/>
  <c r="E268" i="2"/>
  <c r="AD267" i="2"/>
  <c r="AC267" i="2"/>
  <c r="AB267" i="2"/>
  <c r="AA267" i="2"/>
  <c r="Z267" i="2"/>
  <c r="Y267" i="2"/>
  <c r="W267" i="2"/>
  <c r="V267" i="2"/>
  <c r="U267" i="2"/>
  <c r="T267" i="2"/>
  <c r="S267" i="2"/>
  <c r="R267" i="2"/>
  <c r="Q267" i="2"/>
  <c r="O267" i="2"/>
  <c r="E267" i="2"/>
  <c r="AD266" i="2"/>
  <c r="AC266" i="2"/>
  <c r="AB266" i="2"/>
  <c r="AA266" i="2"/>
  <c r="Z266" i="2"/>
  <c r="Y266" i="2"/>
  <c r="W266" i="2"/>
  <c r="V266" i="2"/>
  <c r="U266" i="2"/>
  <c r="T266" i="2"/>
  <c r="S266" i="2"/>
  <c r="R266" i="2"/>
  <c r="Q266" i="2"/>
  <c r="O266" i="2"/>
  <c r="E266" i="2"/>
  <c r="AD4" i="2"/>
  <c r="AC4" i="2"/>
  <c r="AB4" i="2"/>
  <c r="AA4" i="2"/>
  <c r="Z4" i="2"/>
  <c r="Y4" i="2"/>
  <c r="X4" i="2"/>
  <c r="W4" i="2"/>
  <c r="V4" i="2"/>
  <c r="U4" i="2"/>
  <c r="T4" i="2"/>
  <c r="S4" i="2"/>
  <c r="R4" i="2"/>
  <c r="Q4" i="2"/>
  <c r="P4" i="2"/>
  <c r="O4" i="2"/>
  <c r="N4" i="2"/>
  <c r="M4" i="2"/>
  <c r="L4" i="2"/>
  <c r="K4" i="2"/>
  <c r="J4" i="2"/>
  <c r="I4" i="2"/>
  <c r="H4" i="2"/>
  <c r="G4" i="2"/>
  <c r="F4" i="2"/>
  <c r="E4" i="2"/>
  <c r="D4" i="2"/>
  <c r="AD3" i="2"/>
  <c r="AC3" i="2"/>
  <c r="AB3" i="2"/>
  <c r="AA3" i="2"/>
  <c r="Z3" i="2"/>
  <c r="Y3" i="2"/>
  <c r="X3" i="2"/>
  <c r="W3" i="2"/>
  <c r="V3" i="2"/>
  <c r="U3" i="2"/>
  <c r="T3" i="2"/>
  <c r="S3" i="2"/>
  <c r="R3" i="2"/>
  <c r="Q3" i="2"/>
  <c r="P3" i="2"/>
  <c r="O3" i="2"/>
  <c r="N3" i="2"/>
  <c r="M3" i="2"/>
  <c r="L3" i="2"/>
  <c r="K3" i="2"/>
  <c r="J3" i="2"/>
  <c r="I3" i="2"/>
  <c r="H3" i="2"/>
  <c r="G3" i="2"/>
  <c r="F3" i="2"/>
  <c r="E3" i="2"/>
  <c r="D3" i="2"/>
  <c r="AD2" i="2"/>
  <c r="AC2" i="2"/>
  <c r="AB2" i="2"/>
  <c r="AA2" i="2"/>
  <c r="Z2" i="2"/>
  <c r="Y2" i="2"/>
  <c r="X2" i="2"/>
  <c r="W2" i="2"/>
  <c r="V2" i="2"/>
  <c r="U2" i="2"/>
  <c r="T2" i="2"/>
  <c r="S2" i="2"/>
  <c r="R2" i="2"/>
  <c r="Q2" i="2"/>
  <c r="P2" i="2"/>
  <c r="O2" i="2"/>
  <c r="N2" i="2"/>
  <c r="M2" i="2"/>
  <c r="L2" i="2"/>
  <c r="K2" i="2"/>
  <c r="J2" i="2"/>
  <c r="I2" i="2"/>
  <c r="H2" i="2"/>
  <c r="G2" i="2"/>
  <c r="F2" i="2"/>
  <c r="E2" i="2"/>
  <c r="D2" i="2"/>
  <c r="AD1" i="2"/>
  <c r="AC1" i="2"/>
  <c r="AB1" i="2"/>
  <c r="AA1" i="2"/>
  <c r="Z1" i="2"/>
  <c r="Y1" i="2"/>
  <c r="X1" i="2"/>
  <c r="W1" i="2"/>
  <c r="V1" i="2"/>
  <c r="U1" i="2"/>
  <c r="T1" i="2"/>
  <c r="S1" i="2"/>
  <c r="R1" i="2"/>
  <c r="Q1" i="2"/>
  <c r="P1" i="2"/>
  <c r="O1" i="2"/>
  <c r="N1" i="2"/>
  <c r="M1" i="2"/>
  <c r="L1" i="2"/>
  <c r="K1" i="2"/>
  <c r="J1" i="2"/>
  <c r="I1" i="2"/>
  <c r="H1" i="2"/>
  <c r="G1" i="2"/>
  <c r="F1" i="2"/>
  <c r="E1" i="2"/>
  <c r="D1" i="2"/>
  <c r="Y18" i="11" l="1"/>
  <c r="AC18" i="11"/>
  <c r="AG18" i="11"/>
  <c r="Y19" i="11"/>
  <c r="AC19" i="11"/>
  <c r="AG19" i="11"/>
  <c r="Y20" i="11"/>
  <c r="AC20" i="11"/>
  <c r="AG20" i="11"/>
  <c r="Y21" i="11"/>
  <c r="AC21" i="11"/>
  <c r="AG21" i="11"/>
  <c r="Y22" i="11"/>
  <c r="AC22" i="11"/>
  <c r="AG22" i="11"/>
  <c r="W23" i="11"/>
  <c r="AA23" i="11"/>
  <c r="AE23" i="11"/>
  <c r="AI23" i="11"/>
  <c r="Y24" i="11"/>
  <c r="AC24" i="11"/>
  <c r="AG24" i="11"/>
  <c r="X25" i="11"/>
  <c r="AB25" i="11"/>
  <c r="AF25" i="11"/>
  <c r="Y26" i="11"/>
  <c r="AC26" i="11"/>
  <c r="AG26" i="11"/>
  <c r="Z27" i="11"/>
  <c r="AD27" i="11"/>
  <c r="AH27" i="11"/>
  <c r="W28" i="11"/>
  <c r="AA28" i="11"/>
  <c r="AE28" i="11"/>
  <c r="AI28" i="11"/>
  <c r="X29" i="11"/>
  <c r="AB29" i="11"/>
  <c r="AF29" i="11"/>
  <c r="X31" i="11"/>
  <c r="AB31" i="11"/>
  <c r="AF31" i="11"/>
  <c r="Y32" i="11"/>
  <c r="AC32" i="11"/>
  <c r="AG32" i="11"/>
  <c r="Z33" i="11"/>
  <c r="AD33" i="11"/>
  <c r="AH33" i="11"/>
  <c r="W34" i="11"/>
  <c r="AA34" i="11"/>
  <c r="AE34" i="11"/>
  <c r="AI34" i="11"/>
  <c r="X35" i="11"/>
  <c r="AB35" i="11"/>
  <c r="AF35" i="11"/>
  <c r="H27" i="11"/>
  <c r="L27" i="11"/>
  <c r="P27" i="11"/>
  <c r="G28" i="11"/>
  <c r="K28" i="11"/>
  <c r="O28" i="11"/>
  <c r="S28" i="11"/>
  <c r="J29" i="11"/>
  <c r="N29" i="11"/>
  <c r="R29" i="11"/>
  <c r="Z18" i="11"/>
  <c r="AD18" i="11"/>
  <c r="AH18" i="11"/>
  <c r="Z19" i="11"/>
  <c r="AD19" i="11"/>
  <c r="AH19" i="11"/>
  <c r="Z20" i="11"/>
  <c r="AD20" i="11"/>
  <c r="AH20" i="11"/>
  <c r="Z21" i="11"/>
  <c r="AD21" i="11"/>
  <c r="AH21" i="11"/>
  <c r="Z22" i="11"/>
  <c r="AD22" i="11"/>
  <c r="AH22" i="11"/>
  <c r="X23" i="11"/>
  <c r="AB23" i="11"/>
  <c r="AF23" i="11"/>
  <c r="Z24" i="11"/>
  <c r="AD24" i="11"/>
  <c r="AH24" i="11"/>
  <c r="Y25" i="11"/>
  <c r="AC25" i="11"/>
  <c r="AG25" i="11"/>
  <c r="Z26" i="11"/>
  <c r="AD26" i="11"/>
  <c r="AH26" i="11"/>
  <c r="W27" i="11"/>
  <c r="AA27" i="11"/>
  <c r="AE27" i="11"/>
  <c r="AI27" i="11"/>
  <c r="X28" i="11"/>
  <c r="AB28" i="11"/>
  <c r="AF28" i="11"/>
  <c r="Y29" i="11"/>
  <c r="AC29" i="11"/>
  <c r="AG29" i="11"/>
  <c r="Y31" i="11"/>
  <c r="AC31" i="11"/>
  <c r="AG31" i="11"/>
  <c r="Z32" i="11"/>
  <c r="AD32" i="11"/>
  <c r="AH32" i="11"/>
  <c r="W33" i="11"/>
  <c r="AA33" i="11"/>
  <c r="AE33" i="11"/>
  <c r="AI33" i="11"/>
  <c r="X34" i="11"/>
  <c r="AB34" i="11"/>
  <c r="AF34" i="11"/>
  <c r="Y35" i="11"/>
  <c r="AC35" i="11"/>
  <c r="AG35" i="11"/>
  <c r="I27" i="11"/>
  <c r="M27" i="11"/>
  <c r="Q27" i="11"/>
  <c r="H28" i="11"/>
  <c r="L28" i="11"/>
  <c r="P28" i="11"/>
  <c r="G29" i="11"/>
  <c r="K29" i="11"/>
  <c r="O29" i="11"/>
  <c r="S29" i="11"/>
  <c r="AI18" i="11"/>
  <c r="W19" i="11"/>
  <c r="AA19" i="11"/>
  <c r="AE19" i="11"/>
  <c r="AI19" i="11"/>
  <c r="W20" i="11"/>
  <c r="AA20" i="11"/>
  <c r="AE20" i="11"/>
  <c r="AI20" i="11"/>
  <c r="W21" i="11"/>
  <c r="AA21" i="11"/>
  <c r="AE21" i="11"/>
  <c r="AI21" i="11"/>
  <c r="W22" i="11"/>
  <c r="AA22" i="11"/>
  <c r="AE22" i="11"/>
  <c r="AI22" i="11"/>
  <c r="Y23" i="11"/>
  <c r="AC23" i="11"/>
  <c r="AG23" i="11"/>
  <c r="W24" i="11"/>
  <c r="AA24" i="11"/>
  <c r="AE24" i="11"/>
  <c r="AI24" i="11"/>
  <c r="Z25" i="11"/>
  <c r="AD25" i="11"/>
  <c r="AH25" i="11"/>
  <c r="W26" i="11"/>
  <c r="AA26" i="11"/>
  <c r="AE26" i="11"/>
  <c r="AI26" i="11"/>
  <c r="X27" i="11"/>
  <c r="AB27" i="11"/>
  <c r="AF27" i="11"/>
  <c r="Y28" i="11"/>
  <c r="AC28" i="11"/>
  <c r="AG28" i="11"/>
  <c r="Z29" i="11"/>
  <c r="AD29" i="11"/>
  <c r="AH29" i="11"/>
  <c r="Z31" i="11"/>
  <c r="AD31" i="11"/>
  <c r="AH31" i="11"/>
  <c r="W32" i="11"/>
  <c r="AA32" i="11"/>
  <c r="AE32" i="11"/>
  <c r="AI32" i="11"/>
  <c r="X33" i="11"/>
  <c r="AB33" i="11"/>
  <c r="AF33" i="11"/>
  <c r="Y34" i="11"/>
  <c r="AC34" i="11"/>
  <c r="AG34" i="11"/>
  <c r="Z35" i="11"/>
  <c r="AD35" i="11"/>
  <c r="J27" i="11"/>
  <c r="N27" i="11"/>
  <c r="I28" i="11"/>
  <c r="M28" i="11"/>
  <c r="H29" i="11"/>
  <c r="L29" i="11"/>
  <c r="A4"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FC5903-7EC9-4A0A-A052-C0A30BB919F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<sst xmlns="http://schemas.openxmlformats.org/spreadsheetml/2006/main" count="3243" uniqueCount="174">
  <si>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</si>
  <si>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</si>
  <si>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</si>
  <si>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</si>
  <si>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</si>
  <si>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</si>
  <si>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</si>
  <si>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</si>
  <si>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</si>
  <si>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</si>
  <si>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</si>
  <si>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</si>
  <si>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</si>
  <si>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</si>
  <si>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</si>
  <si>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</si>
  <si>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</si>
  <si>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</si>
  <si>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</si>
  <si>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</si>
  <si>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</si>
  <si>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</si>
  <si>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</si>
  <si>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</si>
  <si>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</si>
  <si>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</si>
  <si>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</si>
  <si>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</si>
  <si>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</si>
  <si>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</si>
  <si>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</si>
  <si>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</si>
  <si>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</si>
  <si>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</si>
  <si>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</si>
  <si>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</si>
  <si>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</si>
  <si>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</si>
  <si>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</si>
  <si>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</si>
  <si>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</si>
  <si>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</si>
  <si>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</si>
  <si>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</si>
  <si>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</si>
  <si>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</si>
  <si>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</si>
  <si>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</si>
  <si>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</si>
  <si>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Mean</t>
  </si>
  <si>
    <t>Mode</t>
  </si>
  <si>
    <t>Standard Deviation</t>
  </si>
  <si>
    <t>Sum</t>
  </si>
  <si>
    <t>Food</t>
  </si>
  <si>
    <t>Clothing &amp; Footwear</t>
  </si>
  <si>
    <t>Essential services</t>
  </si>
  <si>
    <t>Energy</t>
  </si>
  <si>
    <t>Healthcare</t>
  </si>
  <si>
    <t>FOOD</t>
  </si>
  <si>
    <t>CLOTHING</t>
  </si>
  <si>
    <t>ESSENTIAL SERVICES</t>
  </si>
  <si>
    <t>HEALTHCARE</t>
  </si>
  <si>
    <t>ENERGY</t>
  </si>
  <si>
    <t>LUXURY &amp; OTHER</t>
  </si>
  <si>
    <t>CATEGORIES</t>
  </si>
  <si>
    <t>Luxury &amp;Other Thing</t>
  </si>
  <si>
    <t>Sum of Clothing &amp; Footwear</t>
  </si>
  <si>
    <t>Sum of Essential services</t>
  </si>
  <si>
    <t>Sum of Energy</t>
  </si>
  <si>
    <t>Sum of Healthcare</t>
  </si>
  <si>
    <t>Sum of Luxury &amp;Other Thing</t>
  </si>
  <si>
    <t>Boader Categories</t>
  </si>
  <si>
    <t>Essential Services</t>
  </si>
  <si>
    <t xml:space="preserve">Luxury &amp; otherthing </t>
  </si>
  <si>
    <t>Cereals &amp; Products</t>
  </si>
  <si>
    <t>Meat &amp; Fish</t>
  </si>
  <si>
    <t>Milk &amp; Products</t>
  </si>
  <si>
    <t>Oils &amp; Fats</t>
  </si>
  <si>
    <t>Pluses &amp; Products</t>
  </si>
  <si>
    <t>Sugar &amp; Confectionary</t>
  </si>
  <si>
    <t>Prepared meals, snacks, sweets</t>
  </si>
  <si>
    <t>Food &amp; beverages</t>
  </si>
  <si>
    <t>Housing Good &amp; Service</t>
  </si>
  <si>
    <t>Transport &amp; Communcation</t>
  </si>
  <si>
    <t xml:space="preserve"> </t>
  </si>
  <si>
    <t>Fuel &amp; Light</t>
  </si>
  <si>
    <t>Personal care &amp; Effect</t>
  </si>
  <si>
    <t>Recreation &amp; Amusement</t>
  </si>
  <si>
    <t>Pan, Tabacco, &amp; Intoxic</t>
  </si>
  <si>
    <t>Average</t>
  </si>
  <si>
    <t>% Of Contribution</t>
  </si>
  <si>
    <t>Sr No.</t>
  </si>
  <si>
    <t>Sum of Food</t>
  </si>
  <si>
    <t xml:space="preserve"> Food</t>
  </si>
  <si>
    <t>Essential Service</t>
  </si>
  <si>
    <t>Luxury &amp; Other Thing</t>
  </si>
  <si>
    <t>Total</t>
  </si>
  <si>
    <t>Catergroies</t>
  </si>
  <si>
    <t>Index value</t>
  </si>
  <si>
    <t>% Contribution</t>
  </si>
  <si>
    <t>Months</t>
  </si>
  <si>
    <t>Categories</t>
  </si>
  <si>
    <t>Index value Over year's</t>
  </si>
  <si>
    <t>Luxury &amp; Other thing</t>
  </si>
  <si>
    <t>All indexs</t>
  </si>
  <si>
    <t>Grand Total</t>
  </si>
  <si>
    <t>Sum of All indexs</t>
  </si>
  <si>
    <t>Years</t>
  </si>
  <si>
    <t>Sectors</t>
  </si>
  <si>
    <t>12 months</t>
  </si>
  <si>
    <t>Total Food and beverages</t>
  </si>
  <si>
    <t>Total Non-alcoholic beverages</t>
  </si>
  <si>
    <t>Total Spices</t>
  </si>
  <si>
    <t>Total Sugar and Confectionery</t>
  </si>
  <si>
    <t>Total Prepared meals, snacks, sweets etc.</t>
  </si>
  <si>
    <t>Total Pulses and products</t>
  </si>
  <si>
    <t>Total Vegetables</t>
  </si>
  <si>
    <t>Total Fruits</t>
  </si>
  <si>
    <t>Total Oils and fats</t>
  </si>
  <si>
    <t>Total Milk and products</t>
  </si>
  <si>
    <t>Total Eggs</t>
  </si>
  <si>
    <t>Total Meat and fish</t>
  </si>
  <si>
    <t>Total Cereals and products</t>
  </si>
  <si>
    <t>Year &amp; Months</t>
  </si>
  <si>
    <t>Food Month sum</t>
  </si>
  <si>
    <t>Milk Product</t>
  </si>
  <si>
    <t>Vegtables</t>
  </si>
  <si>
    <t>Pulse &amp; Products</t>
  </si>
  <si>
    <t>Prepared Meals, Snacks</t>
  </si>
  <si>
    <t>Non-alcohoilc</t>
  </si>
  <si>
    <t>Food &amp; Beverages</t>
  </si>
  <si>
    <t>Month &amp; Year</t>
  </si>
  <si>
    <t>Total of Food</t>
  </si>
  <si>
    <t>Correlation</t>
  </si>
  <si>
    <t>Imported Oil</t>
  </si>
  <si>
    <t>All Indexs Excep Energy</t>
  </si>
  <si>
    <t>Sum of All Indexs Excep Energy</t>
  </si>
  <si>
    <t>Row Labels</t>
  </si>
  <si>
    <t>Rural / Urban</t>
  </si>
  <si>
    <t xml:space="preserve">Corelation </t>
  </si>
  <si>
    <t>2025 Months</t>
  </si>
  <si>
    <t>All Index value</t>
  </si>
  <si>
    <t>CPI rates</t>
  </si>
  <si>
    <t>Clothing &amp; footwear</t>
  </si>
  <si>
    <t xml:space="preserve">Healthcare </t>
  </si>
  <si>
    <t>Luxury &amp; other things</t>
  </si>
  <si>
    <t xml:space="preserve"> Luxury &amp;Other Thing</t>
  </si>
  <si>
    <t>CPI</t>
  </si>
  <si>
    <t>CPI Rate</t>
  </si>
  <si>
    <t>Essential service</t>
  </si>
  <si>
    <t>Effect</t>
  </si>
  <si>
    <t>SUM OF ALL</t>
  </si>
  <si>
    <t>Food Category</t>
  </si>
  <si>
    <t>SUM =</t>
  </si>
  <si>
    <t>FOOD Category</t>
  </si>
  <si>
    <t xml:space="preserve">Percentage = </t>
  </si>
  <si>
    <t>Sustained high prices</t>
  </si>
  <si>
    <t>Partial easing</t>
  </si>
  <si>
    <t>Global demand adjustment</t>
  </si>
  <si>
    <t>Octorber</t>
  </si>
  <si>
    <t>Annual</t>
  </si>
  <si>
    <t>Global Event</t>
  </si>
  <si>
    <t>Post-Covid Low (2021) / War moderation (2023)</t>
  </si>
  <si>
    <t>pre-invasion tension (2022)</t>
  </si>
  <si>
    <t>Russia- Ukraine Invasion (PEAK 2022)</t>
  </si>
  <si>
    <t>OPEC+Response</t>
  </si>
  <si>
    <t>Highsest Point in 2022</t>
  </si>
  <si>
    <t>Indian start Russian Oil Imports</t>
  </si>
  <si>
    <t>steady recovery</t>
  </si>
  <si>
    <t>winter demand</t>
  </si>
  <si>
    <t>year end moderation</t>
  </si>
  <si>
    <t>Volatitity highest in 2022</t>
  </si>
  <si>
    <t>Indexs Excep Energy</t>
  </si>
  <si>
    <t>Correlation with Oil Prices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</si>
</sst>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4"/>
      <color theme="1"/>
      <name val="Calibri"/>
      <family val="2"/>
      <scheme val="minor"/>
    </font>
    <font>
      <sz val="8"/>
      <name val="Calibri"/>
      <family val="2"/>
      <scheme val="minor"/>
    </font>
    <font>
      <b/>
      <sz val="12"/>
      <color theme="1"/>
      <name val="Calibri"/>
      <family val="2"/>
      <scheme val="minor"/>
    </font>
  </fonts>
  <fills count="5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FF3300"/>
        <bgColor indexed="64"/>
      </patternFill>
    </fill>
    <fill>
      <patternFill patternType="solid">
        <fgColor theme="7"/>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FF6600"/>
        <bgColor indexed="64"/>
      </patternFill>
    </fill>
    <fill>
      <patternFill patternType="solid">
        <fgColor theme="9" tint="0.59999389629810485"/>
        <bgColor indexed="64"/>
      </patternFill>
    </fill>
    <fill>
      <patternFill patternType="solid">
        <fgColor theme="5"/>
        <bgColor indexed="64"/>
      </patternFill>
    </fill>
    <fill>
      <patternFill patternType="solid">
        <fgColor theme="5"/>
        <bgColor theme="4" tint="0.79998168889431442"/>
      </patternFill>
    </fill>
    <fill>
      <patternFill patternType="solid">
        <fgColor theme="0"/>
        <bgColor indexed="64"/>
      </patternFill>
    </fill>
    <fill>
      <patternFill patternType="solid">
        <fgColor rgb="FFFFFF00"/>
        <bgColor indexed="64"/>
      </patternFill>
    </fill>
    <fill>
      <patternFill patternType="solid">
        <fgColor rgb="FFFF505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85">
    <xf numFmtId="0" fontId="0" fillId="0" borderId="0" xfId="0"/>
    <xf numFmtId="0" fontId="0" fillId="33" borderId="0" xfId="0" applyFill="1"/>
    <xf numFmtId="165" fontId="0" fillId="0" borderId="0" xfId="0" applyNumberFormat="1"/>
    <xf numFmtId="0" fontId="0" fillId="0" borderId="0" xfId="0" applyAlignment="1">
      <alignment horizontal="center"/>
    </xf>
    <xf numFmtId="0" fontId="0" fillId="41" borderId="0" xfId="0" applyFill="1"/>
    <xf numFmtId="0" fontId="0" fillId="34" borderId="10" xfId="0" applyFill="1" applyBorder="1" applyAlignment="1">
      <alignment horizontal="center"/>
    </xf>
    <xf numFmtId="165" fontId="0" fillId="0" borderId="10" xfId="0" applyNumberFormat="1" applyBorder="1"/>
    <xf numFmtId="0" fontId="0" fillId="0" borderId="10" xfId="0" applyBorder="1"/>
    <xf numFmtId="164" fontId="0" fillId="0" borderId="10" xfId="0" applyNumberFormat="1" applyBorder="1"/>
    <xf numFmtId="0" fontId="0" fillId="41" borderId="10" xfId="0" applyFill="1" applyBorder="1" applyAlignment="1">
      <alignment horizontal="center"/>
    </xf>
    <xf numFmtId="0" fontId="0" fillId="39" borderId="10" xfId="0" applyFill="1" applyBorder="1" applyAlignment="1">
      <alignment horizontal="center"/>
    </xf>
    <xf numFmtId="0" fontId="0" fillId="40" borderId="10" xfId="0" applyFill="1" applyBorder="1" applyAlignment="1">
      <alignment horizontal="center"/>
    </xf>
    <xf numFmtId="0" fontId="0" fillId="0" borderId="0" xfId="0" applyAlignment="1">
      <alignment horizontal="right"/>
    </xf>
    <xf numFmtId="0" fontId="19" fillId="0" borderId="0" xfId="0" applyFont="1"/>
    <xf numFmtId="0" fontId="0" fillId="0" borderId="10" xfId="0" applyBorder="1" applyAlignment="1">
      <alignment horizontal="center"/>
    </xf>
    <xf numFmtId="0" fontId="18" fillId="42" borderId="10" xfId="0" applyFont="1" applyFill="1" applyBorder="1" applyAlignment="1">
      <alignment horizontal="center"/>
    </xf>
    <xf numFmtId="0" fontId="0" fillId="36" borderId="10" xfId="0" applyFill="1" applyBorder="1" applyAlignment="1">
      <alignment horizontal="center"/>
    </xf>
    <xf numFmtId="0" fontId="0" fillId="43" borderId="10" xfId="0" applyFill="1" applyBorder="1" applyAlignment="1">
      <alignment horizontal="center"/>
    </xf>
    <xf numFmtId="0" fontId="0" fillId="44" borderId="10" xfId="0" applyFill="1" applyBorder="1" applyAlignment="1">
      <alignment horizontal="center"/>
    </xf>
    <xf numFmtId="0" fontId="0" fillId="41" borderId="10" xfId="0" applyFill="1" applyBorder="1"/>
    <xf numFmtId="9" fontId="0" fillId="0" borderId="10" xfId="42" applyFont="1" applyBorder="1"/>
    <xf numFmtId="0" fontId="0" fillId="0" borderId="0" xfId="0" pivotButton="1"/>
    <xf numFmtId="0" fontId="16" fillId="0" borderId="10" xfId="0" applyFont="1" applyBorder="1" applyAlignment="1">
      <alignment horizontal="center"/>
    </xf>
    <xf numFmtId="10" fontId="0" fillId="0" borderId="10" xfId="0" applyNumberFormat="1" applyBorder="1"/>
    <xf numFmtId="2" fontId="0" fillId="0" borderId="0" xfId="0" applyNumberFormat="1"/>
    <xf numFmtId="0" fontId="0" fillId="0" borderId="0" xfId="0" applyAlignment="1">
      <alignment horizontal="left"/>
    </xf>
    <xf numFmtId="0" fontId="0" fillId="0" borderId="10" xfId="0" applyBorder="1" applyAlignment="1">
      <alignment horizontal="left"/>
    </xf>
    <xf numFmtId="0" fontId="0" fillId="0" borderId="0" xfId="0" applyAlignment="1">
      <alignment horizontal="left" indent="1"/>
    </xf>
    <xf numFmtId="0" fontId="21" fillId="0" borderId="10" xfId="0" applyFont="1" applyBorder="1"/>
    <xf numFmtId="0" fontId="0" fillId="0" borderId="10" xfId="0" applyBorder="1" applyAlignment="1">
      <alignment horizontal="left" indent="1"/>
    </xf>
    <xf numFmtId="0" fontId="0" fillId="0" borderId="10" xfId="0" pivotButton="1" applyBorder="1"/>
    <xf numFmtId="0" fontId="16" fillId="34" borderId="10" xfId="0" applyFont="1" applyFill="1" applyBorder="1"/>
    <xf numFmtId="0" fontId="16" fillId="34" borderId="10" xfId="0" applyFont="1" applyFill="1" applyBorder="1" applyAlignment="1">
      <alignment horizontal="center"/>
    </xf>
    <xf numFmtId="9" fontId="0" fillId="34" borderId="10" xfId="0" applyNumberFormat="1" applyFill="1" applyBorder="1"/>
    <xf numFmtId="0" fontId="0" fillId="47" borderId="0" xfId="0" applyFill="1"/>
    <xf numFmtId="2" fontId="0" fillId="0" borderId="10" xfId="0" applyNumberFormat="1" applyBorder="1"/>
    <xf numFmtId="0" fontId="0" fillId="0" borderId="14" xfId="0" applyBorder="1"/>
    <xf numFmtId="0" fontId="0" fillId="0" borderId="14" xfId="0" applyBorder="1" applyAlignment="1">
      <alignment horizontal="left"/>
    </xf>
    <xf numFmtId="0" fontId="0" fillId="0" borderId="14" xfId="0" applyBorder="1" applyAlignment="1">
      <alignment horizontal="left" indent="1"/>
    </xf>
    <xf numFmtId="0" fontId="16" fillId="45" borderId="0" xfId="0" applyFont="1" applyFill="1" applyAlignment="1">
      <alignment horizontal="center"/>
    </xf>
    <xf numFmtId="9" fontId="0" fillId="0" borderId="0" xfId="42" applyFont="1"/>
    <xf numFmtId="0" fontId="0" fillId="45" borderId="0" xfId="0" applyFill="1"/>
    <xf numFmtId="0" fontId="16" fillId="46" borderId="0" xfId="0" applyFont="1" applyFill="1"/>
    <xf numFmtId="9" fontId="0" fillId="0" borderId="0" xfId="42" applyFont="1" applyBorder="1"/>
    <xf numFmtId="0" fontId="0" fillId="0" borderId="11" xfId="0" applyBorder="1"/>
    <xf numFmtId="0" fontId="0" fillId="0" borderId="15" xfId="0" pivotButton="1" applyBorder="1"/>
    <xf numFmtId="0" fontId="0" fillId="34" borderId="10" xfId="0" applyFill="1" applyBorder="1"/>
    <xf numFmtId="166" fontId="0" fillId="0" borderId="10" xfId="0" applyNumberFormat="1" applyBorder="1"/>
    <xf numFmtId="166" fontId="0" fillId="34" borderId="10" xfId="0" applyNumberFormat="1" applyFill="1" applyBorder="1"/>
    <xf numFmtId="0" fontId="21" fillId="34" borderId="10" xfId="0" applyFont="1" applyFill="1" applyBorder="1"/>
    <xf numFmtId="0" fontId="0" fillId="0" borderId="10" xfId="0" pivotButton="1" applyBorder="1" applyAlignment="1">
      <alignment horizontal="center"/>
    </xf>
    <xf numFmtId="0" fontId="0" fillId="45" borderId="0" xfId="0" applyFill="1" applyAlignment="1">
      <alignment horizontal="center"/>
    </xf>
    <xf numFmtId="0" fontId="0" fillId="45" borderId="0" xfId="0" applyFill="1" applyAlignment="1">
      <alignment horizontal="left"/>
    </xf>
    <xf numFmtId="10" fontId="1" fillId="47" borderId="0" xfId="42" applyNumberFormat="1" applyFont="1" applyFill="1" applyBorder="1"/>
    <xf numFmtId="17" fontId="0" fillId="0" borderId="0" xfId="0" applyNumberFormat="1"/>
    <xf numFmtId="10" fontId="0" fillId="0" borderId="0" xfId="42" applyNumberFormat="1" applyFont="1" applyBorder="1"/>
    <xf numFmtId="10" fontId="0" fillId="47" borderId="0" xfId="42" applyNumberFormat="1" applyFont="1" applyFill="1" applyBorder="1"/>
    <xf numFmtId="0" fontId="16" fillId="0" borderId="0" xfId="0" applyFont="1" applyAlignment="1">
      <alignment horizontal="center"/>
    </xf>
    <xf numFmtId="0" fontId="16" fillId="0" borderId="0" xfId="0" applyFont="1"/>
    <xf numFmtId="9" fontId="16" fillId="0" borderId="0" xfId="0" applyNumberFormat="1" applyFont="1"/>
    <xf numFmtId="10" fontId="0" fillId="0" borderId="0" xfId="0" applyNumberFormat="1"/>
    <xf numFmtId="9" fontId="0" fillId="0" borderId="0" xfId="0" applyNumberFormat="1"/>
    <xf numFmtId="0" fontId="16" fillId="45" borderId="0" xfId="0" applyFont="1" applyFill="1"/>
    <xf numFmtId="0" fontId="0" fillId="49" borderId="0" xfId="0" applyFill="1"/>
    <xf numFmtId="9" fontId="0" fillId="45" borderId="0" xfId="42" applyFont="1" applyFill="1"/>
    <xf numFmtId="0" fontId="16" fillId="45" borderId="11" xfId="0" applyFont="1" applyFill="1" applyBorder="1" applyAlignment="1">
      <alignment horizontal="center"/>
    </xf>
    <xf numFmtId="16" fontId="0" fillId="0" borderId="11" xfId="0" applyNumberFormat="1" applyBorder="1"/>
    <xf numFmtId="0" fontId="16" fillId="48" borderId="11" xfId="0" applyFont="1" applyFill="1" applyBorder="1"/>
    <xf numFmtId="0" fontId="16" fillId="47" borderId="11" xfId="0" applyFont="1" applyFill="1" applyBorder="1"/>
    <xf numFmtId="0" fontId="0" fillId="47" borderId="11" xfId="0" applyFill="1" applyBorder="1"/>
    <xf numFmtId="0" fontId="16" fillId="48" borderId="0" xfId="0" applyFont="1" applyFill="1"/>
    <xf numFmtId="0" fontId="16" fillId="47" borderId="0" xfId="0" applyFont="1" applyFill="1"/>
    <xf numFmtId="0" fontId="0" fillId="34" borderId="10" xfId="0" applyFill="1" applyBorder="1" applyAlignment="1">
      <alignment horizontal="center"/>
    </xf>
    <xf numFmtId="0" fontId="18" fillId="35" borderId="10" xfId="0" applyFont="1" applyFill="1" applyBorder="1" applyAlignment="1">
      <alignment horizontal="center"/>
    </xf>
    <xf numFmtId="0" fontId="18" fillId="36" borderId="10" xfId="0" applyFont="1" applyFill="1" applyBorder="1" applyAlignment="1">
      <alignment horizontal="center"/>
    </xf>
    <xf numFmtId="0" fontId="0" fillId="37" borderId="10" xfId="0" applyFill="1" applyBorder="1" applyAlignment="1">
      <alignment horizontal="center"/>
    </xf>
    <xf numFmtId="0" fontId="0" fillId="38" borderId="10" xfId="0" applyFill="1" applyBorder="1" applyAlignment="1">
      <alignment horizontal="center"/>
    </xf>
    <xf numFmtId="0" fontId="0" fillId="40" borderId="10" xfId="0" applyFill="1" applyBorder="1" applyAlignment="1">
      <alignment horizontal="center"/>
    </xf>
    <xf numFmtId="0" fontId="0" fillId="41" borderId="10" xfId="0" applyFill="1" applyBorder="1" applyAlignment="1">
      <alignment horizontal="center"/>
    </xf>
    <xf numFmtId="0" fontId="19" fillId="41" borderId="11" xfId="0" applyFont="1" applyFill="1" applyBorder="1" applyAlignment="1">
      <alignment horizontal="center"/>
    </xf>
    <xf numFmtId="0" fontId="19" fillId="41" borderId="12" xfId="0" applyFont="1" applyFill="1" applyBorder="1" applyAlignment="1">
      <alignment horizontal="center"/>
    </xf>
    <xf numFmtId="0" fontId="19" fillId="41" borderId="13" xfId="0" applyFont="1" applyFill="1" applyBorder="1" applyAlignment="1">
      <alignment horizontal="center"/>
    </xf>
    <xf numFmtId="0" fontId="0" fillId="45" borderId="0" xfId="0" applyFill="1" applyAlignment="1">
      <alignment horizontal="center"/>
    </xf>
    <xf numFmtId="0" fontId="0" fillId="0" borderId="0" xfId="0" applyNumberFormat="1"/>
    <xf numFmtId="2"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21">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0.0"/>
    </dxf>
    <dxf>
      <numFmt numFmtId="0" formatCode="General"/>
    </dxf>
    <dxf>
      <numFmt numFmtId="0" formatCode="General"/>
    </dxf>
    <dxf>
      <numFmt numFmtId="0" formatCode="General"/>
    </dxf>
    <dxf>
      <numFmt numFmtId="0" formatCode="General"/>
    </dxf>
    <dxf>
      <fill>
        <patternFill patternType="solid">
          <fgColor indexed="64"/>
          <bgColor theme="4" tint="0.39997558519241921"/>
        </patternFill>
      </fill>
    </dxf>
  </dxfs>
  <tableStyles count="0" defaultTableStyle="TableStyleMedium2" defaultPivotStyle="PivotStyleLight16"/>
  <colors>
    <mruColors>
      <color rgb="FFFF5050"/>
      <color rgb="FFFF3300"/>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Index</a:t>
            </a:r>
            <a:r>
              <a:rPr lang="en-US" baseline="0"/>
              <a:t> value Contribution to Recent Month's</a:t>
            </a:r>
          </a:p>
        </c:rich>
      </c:tx>
      <c:layout>
        <c:manualLayout>
          <c:xMode val="edge"/>
          <c:yMode val="edge"/>
          <c:x val="0.16056830601092895"/>
          <c:y val="2.780996185436728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'Insight 1'!$B$2</c:f>
              <c:strCache>
                <c:ptCount val="1"/>
                <c:pt idx="0">
                  <c:v>Index value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14A-4749-BA4C-F3DEB328DFB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14A-4749-BA4C-F3DEB328DFB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14A-4749-BA4C-F3DEB328DFB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14A-4749-BA4C-F3DEB328DFB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14A-4749-BA4C-F3DEB328DFB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914A-4749-BA4C-F3DEB328DFBD}"/>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'Insight 1'!$A$3:$A$8</c:f>
              <c:strCache>
                <c:ptCount val="6"/>
                <c:pt idx="0">
                  <c:v> Food</c:v>
                </c:pt>
                <c:pt idx="1">
                  <c:v>Clothing &amp; Footwear</c:v>
                </c:pt>
                <c:pt idx="2">
                  <c:v>Essential Service</c:v>
                </c:pt>
                <c:pt idx="3">
                  <c:v>Energy</c:v>
                </c:pt>
                <c:pt idx="4">
                  <c:v>Healthcare</c:v>
                </c:pt>
                <c:pt idx="5">
                  <c:v>Luxury &amp; Other Thing</c:v>
                </c:pt>
              </c:strCache>
            </c:strRef>
          </c:cat>
          <c:val>
            <c:numRef>
              <c:f>'Insight 1'!$B$3:$B$8</c:f>
              <c:numCache>
                <c:formatCode>General</c:formatCode>
                <c:ptCount val="6"/>
                <c:pt idx="0">
                  <c:v>34396.700000000004</c:v>
                </c:pt>
                <c:pt idx="1">
                  <c:v>8214.2000000000007</c:v>
                </c:pt>
                <c:pt idx="2">
                  <c:v>32152</c:v>
                </c:pt>
                <c:pt idx="3">
                  <c:v>2731.7</c:v>
                </c:pt>
                <c:pt idx="4">
                  <c:v>5488.5</c:v>
                </c:pt>
                <c:pt idx="5">
                  <c:v>13549.1</c:v>
                </c:pt>
              </c:numCache>
            </c:numRef>
          </c:val>
          <c:extLst>
            <c:ext xmlns:c16="http://schemas.microsoft.com/office/drawing/2014/chart" uri="{C3380CC4-5D6E-409C-BE32-E72D297353CC}">
              <c16:uniqueId val="{00000000-413A-4AE5-A8DF-5F26AE4F9441}"/>
            </c:ext>
          </c:extLst>
        </c:ser>
        <c:ser>
          <c:idx val="1"/>
          <c:order val="1"/>
          <c:tx>
            <c:strRef>
              <c:f>'Insight 1'!$C$2</c:f>
              <c:strCache>
                <c:ptCount val="1"/>
                <c:pt idx="0">
                  <c:v>% Contribution</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914A-4749-BA4C-F3DEB328DFB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914A-4749-BA4C-F3DEB328DFB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914A-4749-BA4C-F3DEB328DFB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914A-4749-BA4C-F3DEB328DFB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914A-4749-BA4C-F3DEB328DFB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914A-4749-BA4C-F3DEB328DFBD}"/>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'Insight 1'!$A$3:$A$8</c:f>
              <c:strCache>
                <c:ptCount val="6"/>
                <c:pt idx="0">
                  <c:v> Food</c:v>
                </c:pt>
                <c:pt idx="1">
                  <c:v>Clothing &amp; Footwear</c:v>
                </c:pt>
                <c:pt idx="2">
                  <c:v>Essential Service</c:v>
                </c:pt>
                <c:pt idx="3">
                  <c:v>Energy</c:v>
                </c:pt>
                <c:pt idx="4">
                  <c:v>Healthcare</c:v>
                </c:pt>
                <c:pt idx="5">
                  <c:v>Luxury &amp; Other Thing</c:v>
                </c:pt>
              </c:strCache>
            </c:strRef>
          </c:cat>
          <c:val>
            <c:numRef>
              <c:f>'Insight 1'!$C$3:$C$8</c:f>
              <c:numCache>
                <c:formatCode>0.00%</c:formatCode>
                <c:ptCount val="6"/>
                <c:pt idx="0">
                  <c:v>0.35632358943440634</c:v>
                </c:pt>
                <c:pt idx="1">
                  <c:v>8.5092849846994056E-2</c:v>
                </c:pt>
                <c:pt idx="2">
                  <c:v>0.3330702086972015</c:v>
                </c:pt>
                <c:pt idx="3">
                  <c:v>2.8298329469337687E-2</c:v>
                </c:pt>
                <c:pt idx="4">
                  <c:v>5.6856675803514257E-2</c:v>
                </c:pt>
                <c:pt idx="5">
                  <c:v>0.14035834674854608</c:v>
                </c:pt>
              </c:numCache>
            </c:numRef>
          </c:val>
          <c:extLst>
            <c:ext xmlns:c16="http://schemas.microsoft.com/office/drawing/2014/chart" uri="{C3380CC4-5D6E-409C-BE32-E72D297353CC}">
              <c16:uniqueId val="{00000001-413A-4AE5-A8DF-5F26AE4F944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'Insight 1'!$B$12</c:f>
              <c:strCache>
                <c:ptCount val="1"/>
                <c:pt idx="0">
                  <c:v>All Index value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'Insight 1'!$A$13:$A$17</c:f>
              <c:strCache>
                <c:ptCount val="5"/>
                <c:pt idx="0">
                  <c:v>January</c:v>
                </c:pt>
                <c:pt idx="1">
                  <c:v>February</c:v>
                </c:pt>
                <c:pt idx="2">
                  <c:v>March</c:v>
                </c:pt>
                <c:pt idx="3">
                  <c:v>April</c:v>
                </c:pt>
                <c:pt idx="4">
                  <c:v>May</c:v>
                </c:pt>
              </c:strCache>
            </c:strRef>
          </c:cat>
          <c:val>
            <c:numRef>
              <c:f>'Insight 1'!$B$13:$B$17</c:f>
              <c:numCache>
                <c:formatCode>General</c:formatCode>
                <c:ptCount val="5"/>
                <c:pt idx="0">
                  <c:v>18671.599999999999</c:v>
                </c:pt>
                <c:pt idx="1">
                  <c:v>18714.5</c:v>
                </c:pt>
                <c:pt idx="2">
                  <c:v>18713.7</c:v>
                </c:pt>
                <c:pt idx="3">
                  <c:v>18803.7</c:v>
                </c:pt>
                <c:pt idx="4">
                  <c:v>18897</c:v>
                </c:pt>
              </c:numCache>
            </c:numRef>
          </c:val>
          <c:smooth val="0"/>
          <c:extLst>
            <c:ext xmlns:c16="http://schemas.microsoft.com/office/drawing/2014/chart" uri="{C3380CC4-5D6E-409C-BE32-E72D297353CC}">
              <c16:uniqueId val="{00000000-98BB-4A03-8930-B347027934F4}"/>
            </c:ext>
          </c:extLst>
        </c:ser>
        <c:dLbls>
          <c:showLegendKey val="0"/>
          <c:showVal val="0"/>
          <c:showCatName val="0"/>
          <c:showSerName val="0"/>
          <c:showPercent val="0"/>
          <c:showBubbleSize val="0"/>
        </c:dLbls>
        <c:marker val="1"/>
        <c:smooth val="0"/>
        <c:axId val="678004512"/>
        <c:axId val="678007392"/>
      </c:lineChart>
      <c:catAx>
        <c:axId val="67800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007392"/>
        <c:crosses val="autoZero"/>
        <c:auto val="1"/>
        <c:lblAlgn val="ctr"/>
        <c:lblOffset val="100"/>
        <c:noMultiLvlLbl val="0"/>
      </c:catAx>
      <c:valAx>
        <c:axId val="67800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00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3250000000000002"/>
          <c:y val="2.7777777777777776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'Insight 2'!$B$15</c:f>
              <c:strCache>
                <c:ptCount val="1"/>
                <c:pt idx="0">
                  <c:v>Rural+Urban</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xVal>
            <c:numRef>
              <c:f>'Insight 2'!$A$16:$A$22</c:f>
              <c:numCache>
                <c:formatCode>General</c:formatCode>
                <c:ptCount val="7"/>
                <c:pt idx="0">
                  <c:v>2017</c:v>
                </c:pt>
                <c:pt idx="1">
                  <c:v>2018</c:v>
                </c:pt>
                <c:pt idx="2">
                  <c:v>2019</c:v>
                </c:pt>
                <c:pt idx="3">
                  <c:v>2020</c:v>
                </c:pt>
                <c:pt idx="4">
                  <c:v>2021</c:v>
                </c:pt>
                <c:pt idx="5">
                  <c:v>2022</c:v>
                </c:pt>
                <c:pt idx="6">
                  <c:v>2023</c:v>
                </c:pt>
              </c:numCache>
            </c:numRef>
          </c:xVal>
          <c:yVal>
            <c:numRef>
              <c:f>'Insight 2'!$B$16:$B$22</c:f>
              <c:numCache>
                <c:formatCode>General</c:formatCode>
                <c:ptCount val="7"/>
                <c:pt idx="0">
                  <c:v>57650.8</c:v>
                </c:pt>
                <c:pt idx="1">
                  <c:v>59940.100000000006</c:v>
                </c:pt>
                <c:pt idx="2">
                  <c:v>56910.30000000001</c:v>
                </c:pt>
                <c:pt idx="3">
                  <c:v>65635.895473251032</c:v>
                </c:pt>
                <c:pt idx="4">
                  <c:v>70067.799999999988</c:v>
                </c:pt>
                <c:pt idx="5">
                  <c:v>74766.3</c:v>
                </c:pt>
                <c:pt idx="6">
                  <c:v>32235.8</c:v>
                </c:pt>
              </c:numCache>
            </c:numRef>
          </c:yVal>
          <c:smooth val="0"/>
          <c:extLst>
            <c:ext xmlns:c16="http://schemas.microsoft.com/office/drawing/2014/chart" uri="{C3380CC4-5D6E-409C-BE32-E72D297353CC}">
              <c16:uniqueId val="{00000000-85D4-4FF2-845F-4F5C7CF39ED6}"/>
            </c:ext>
          </c:extLst>
        </c:ser>
        <c:dLbls>
          <c:showLegendKey val="0"/>
          <c:showVal val="0"/>
          <c:showCatName val="0"/>
          <c:showSerName val="0"/>
          <c:showPercent val="0"/>
          <c:showBubbleSize val="0"/>
        </c:dLbls>
        <c:axId val="14613568"/>
        <c:axId val="14598208"/>
      </c:scatterChart>
      <c:valAx>
        <c:axId val="14613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4598208"/>
        <c:crosses val="autoZero"/>
        <c:crossBetween val="midCat"/>
      </c:valAx>
      <c:valAx>
        <c:axId val="1459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3568"/>
        <c:crosses val="autoZero"/>
        <c:crossBetween val="midCat"/>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Rural</a:t>
            </a:r>
            <a:r>
              <a:rPr lang="en-US" baseline="0"/>
              <a:t> vs Urban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'Insight 2'!$B$24</c:f>
              <c:strCache>
                <c:ptCount val="1"/>
                <c:pt idx="0">
                  <c:v>Rural</c:v>
                </c:pt>
              </c:strCache>
            </c:strRef>
          </c:tx>
          <c:spPr>
            <a:solidFill>
              <a:schemeClr val="accent1"/>
            </a:solidFill>
            <a:ln>
              <a:noFill/>
            </a:ln>
            <a:effectLst/>
          </c:spPr>
          <c:invertIfNegative val="0"/>
          <c:cat>
            <c:numRef>
              <c:f>'Insight 2'!$A$25:$A$31</c:f>
              <c:numCache>
                <c:formatCode>General</c:formatCode>
                <c:ptCount val="7"/>
                <c:pt idx="0">
                  <c:v>2017</c:v>
                </c:pt>
                <c:pt idx="1">
                  <c:v>2018</c:v>
                </c:pt>
                <c:pt idx="2">
                  <c:v>2019</c:v>
                </c:pt>
                <c:pt idx="3">
                  <c:v>2020</c:v>
                </c:pt>
                <c:pt idx="4">
                  <c:v>2021</c:v>
                </c:pt>
                <c:pt idx="5">
                  <c:v>2022</c:v>
                </c:pt>
                <c:pt idx="6">
                  <c:v>2023</c:v>
                </c:pt>
              </c:numCache>
            </c:numRef>
          </c:cat>
          <c:val>
            <c:numRef>
              <c:f>'Insight 2'!$B$25:$B$31</c:f>
              <c:numCache>
                <c:formatCode>General</c:formatCode>
                <c:ptCount val="7"/>
                <c:pt idx="0">
                  <c:v>57109.899999999994</c:v>
                </c:pt>
                <c:pt idx="1">
                  <c:v>59332.5</c:v>
                </c:pt>
                <c:pt idx="2">
                  <c:v>56123.1</c:v>
                </c:pt>
                <c:pt idx="3">
                  <c:v>64319.707407407404</c:v>
                </c:pt>
                <c:pt idx="4">
                  <c:v>68523</c:v>
                </c:pt>
                <c:pt idx="5">
                  <c:v>72951.199999999983</c:v>
                </c:pt>
                <c:pt idx="6">
                  <c:v>31383.800000000003</c:v>
                </c:pt>
              </c:numCache>
            </c:numRef>
          </c:val>
          <c:extLst>
            <c:ext xmlns:c16="http://schemas.microsoft.com/office/drawing/2014/chart" uri="{C3380CC4-5D6E-409C-BE32-E72D297353CC}">
              <c16:uniqueId val="{00000000-9103-482B-855D-9447A7EED45F}"/>
            </c:ext>
          </c:extLst>
        </c:ser>
        <c:ser>
          <c:idx val="1"/>
          <c:order val="1"/>
          <c:tx>
            <c:strRef>
              <c:f>'Insight 2'!$C$24</c:f>
              <c:strCache>
                <c:ptCount val="1"/>
                <c:pt idx="0">
                  <c:v>Urban</c:v>
                </c:pt>
              </c:strCache>
            </c:strRef>
          </c:tx>
          <c:spPr>
            <a:solidFill>
              <a:schemeClr val="accent2"/>
            </a:solidFill>
            <a:ln>
              <a:noFill/>
            </a:ln>
            <a:effectLst/>
          </c:spPr>
          <c:invertIfNegative val="0"/>
          <c:cat>
            <c:numRef>
              <c:f>'Insight 2'!$A$25:$A$31</c:f>
              <c:numCache>
                <c:formatCode>General</c:formatCode>
                <c:ptCount val="7"/>
                <c:pt idx="0">
                  <c:v>2017</c:v>
                </c:pt>
                <c:pt idx="1">
                  <c:v>2018</c:v>
                </c:pt>
                <c:pt idx="2">
                  <c:v>2019</c:v>
                </c:pt>
                <c:pt idx="3">
                  <c:v>2020</c:v>
                </c:pt>
                <c:pt idx="4">
                  <c:v>2021</c:v>
                </c:pt>
                <c:pt idx="5">
                  <c:v>2022</c:v>
                </c:pt>
                <c:pt idx="6">
                  <c:v>2023</c:v>
                </c:pt>
              </c:numCache>
            </c:numRef>
          </c:cat>
          <c:val>
            <c:numRef>
              <c:f>'Insight 2'!$C$25:$C$31</c:f>
              <c:numCache>
                <c:formatCode>General</c:formatCode>
                <c:ptCount val="7"/>
                <c:pt idx="0">
                  <c:v>54838.6</c:v>
                </c:pt>
                <c:pt idx="1">
                  <c:v>56722.8</c:v>
                </c:pt>
                <c:pt idx="2">
                  <c:v>54362.600000000006</c:v>
                </c:pt>
                <c:pt idx="3">
                  <c:v>63299.676543209884</c:v>
                </c:pt>
                <c:pt idx="4">
                  <c:v>67540.7</c:v>
                </c:pt>
                <c:pt idx="5">
                  <c:v>72012.499999999985</c:v>
                </c:pt>
                <c:pt idx="6">
                  <c:v>31091.399999999998</c:v>
                </c:pt>
              </c:numCache>
            </c:numRef>
          </c:val>
          <c:extLst>
            <c:ext xmlns:c16="http://schemas.microsoft.com/office/drawing/2014/chart" uri="{C3380CC4-5D6E-409C-BE32-E72D297353CC}">
              <c16:uniqueId val="{00000001-9103-482B-855D-9447A7EED45F}"/>
            </c:ext>
          </c:extLst>
        </c:ser>
        <c:dLbls>
          <c:showLegendKey val="0"/>
          <c:showVal val="0"/>
          <c:showCatName val="0"/>
          <c:showSerName val="0"/>
          <c:showPercent val="0"/>
          <c:showBubbleSize val="0"/>
        </c:dLbls>
        <c:gapWidth val="150"/>
        <c:overlap val="100"/>
        <c:axId val="678032832"/>
        <c:axId val="678037632"/>
      </c:barChart>
      <c:catAx>
        <c:axId val="67803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037632"/>
        <c:crosses val="autoZero"/>
        <c:auto val="1"/>
        <c:lblAlgn val="ctr"/>
        <c:lblOffset val="100"/>
        <c:noMultiLvlLbl val="0"/>
      </c:catAx>
      <c:valAx>
        <c:axId val="67803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032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'Insight 2'!$F$15</c:f>
              <c:strCache>
                <c:ptCount val="1"/>
                <c:pt idx="0">
                  <c:v>Index value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'Insight 2'!$D$16:$E$21</c:f>
              <c:multiLvlStrCache>
                <c:ptCount val="6"/>
                <c:lvl>
                  <c:pt idx="0">
                    <c:v>Food</c:v>
                  </c:pt>
                  <c:pt idx="1">
                    <c:v>Clothing &amp; footwear</c:v>
                  </c:pt>
                  <c:pt idx="2">
                    <c:v>Essential Services</c:v>
                  </c:pt>
                  <c:pt idx="3">
                    <c:v>Healthcare </c:v>
                  </c:pt>
                  <c:pt idx="4">
                    <c:v>Luxury &amp; other things</c:v>
                  </c:pt>
                  <c:pt idx="5">
                    <c:v>Energy</c:v>
                  </c:pt>
                </c:lvl>
                <c:lvl>
                  <c:pt idx="0">
                    <c:v>2022</c:v>
                  </c:pt>
                </c:lvl>
              </c:multiLvlStrCache>
            </c:multiLvlStrRef>
          </c:cat>
          <c:val>
            <c:numRef>
              <c:f>'Insight 2'!$F$16:$F$21</c:f>
              <c:numCache>
                <c:formatCode>General</c:formatCode>
                <c:ptCount val="6"/>
                <c:pt idx="0">
                  <c:v>26918.6</c:v>
                </c:pt>
                <c:pt idx="1">
                  <c:v>6280.8</c:v>
                </c:pt>
                <c:pt idx="2">
                  <c:v>24841.5</c:v>
                </c:pt>
                <c:pt idx="3">
                  <c:v>4145.6000000000004</c:v>
                </c:pt>
                <c:pt idx="4">
                  <c:v>10478.200000000001</c:v>
                </c:pt>
                <c:pt idx="5">
                  <c:v>2101.6</c:v>
                </c:pt>
              </c:numCache>
            </c:numRef>
          </c:val>
          <c:smooth val="0"/>
          <c:extLst>
            <c:ext xmlns:c16="http://schemas.microsoft.com/office/drawing/2014/chart" uri="{C3380CC4-5D6E-409C-BE32-E72D297353CC}">
              <c16:uniqueId val="{00000000-1FA6-4421-B366-76BA14E9F569}"/>
            </c:ext>
          </c:extLst>
        </c:ser>
        <c:dLbls>
          <c:showLegendKey val="0"/>
          <c:showVal val="0"/>
          <c:showCatName val="0"/>
          <c:showSerName val="0"/>
          <c:showPercent val="0"/>
          <c:showBubbleSize val="0"/>
        </c:dLbls>
        <c:marker val="1"/>
        <c:smooth val="0"/>
        <c:axId val="203043792"/>
        <c:axId val="203047632"/>
      </c:lineChart>
      <c:catAx>
        <c:axId val="20304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47632"/>
        <c:crosses val="autoZero"/>
        <c:auto val="1"/>
        <c:lblAlgn val="ctr"/>
        <c:lblOffset val="100"/>
        <c:noMultiLvlLbl val="0"/>
      </c:catAx>
      <c:valAx>
        <c:axId val="20304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4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'Insight 2'!$C$15</c:f>
              <c:strCache>
                <c:ptCount val="1"/>
                <c:pt idx="0">
                  <c:v>CPI Rate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'Insight 2'!$C$16:$C$22</c:f>
              <c:numCache>
                <c:formatCode>General</c:formatCode>
                <c:ptCount val="7"/>
                <c:pt idx="0">
                  <c:v>3.2352178000000002E-2</c:v>
                </c:pt>
                <c:pt idx="1">
                  <c:v>3.9709769855752267E-2</c:v>
                </c:pt>
                <c:pt idx="2">
                  <c:v>-5.0547129551001671E-2</c:v>
                </c:pt>
                <c:pt idx="3">
                  <c:v>0.15332190259497877</c:v>
                </c:pt>
                <c:pt idx="4">
                  <c:v>6.7522572744590892E-2</c:v>
                </c:pt>
                <c:pt idx="5">
                  <c:v>6.705647958120585E-2</c:v>
                </c:pt>
                <c:pt idx="6">
                  <c:v>-0.56884585702381951</c:v>
                </c:pt>
              </c:numCache>
            </c:numRef>
          </c:yVal>
          <c:smooth val="0"/>
          <c:extLst>
            <c:ext xmlns:c16="http://schemas.microsoft.com/office/drawing/2014/chart" uri="{C3380CC4-5D6E-409C-BE32-E72D297353CC}">
              <c16:uniqueId val="{00000000-7053-4690-AB5B-CF07EAF7F7E4}"/>
            </c:ext>
          </c:extLst>
        </c:ser>
        <c:dLbls>
          <c:showLegendKey val="0"/>
          <c:showVal val="0"/>
          <c:showCatName val="0"/>
          <c:showSerName val="0"/>
          <c:showPercent val="0"/>
          <c:showBubbleSize val="0"/>
        </c:dLbls>
        <c:axId val="311502336"/>
        <c:axId val="311497536"/>
      </c:scatterChart>
      <c:valAx>
        <c:axId val="31150233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497536"/>
        <c:crosses val="autoZero"/>
        <c:crossBetween val="midCat"/>
      </c:valAx>
      <c:valAx>
        <c:axId val="31149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502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[All_India_Index_Upto_April23.xlsx]Insight 3!PivotTable24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 3'!$B$2:$B$3</c:f>
              <c:strCache>
                <c:ptCount val="1"/>
                <c:pt idx="0">
                  <c:v>2022</c:v>
                </c:pt>
              </c:strCache>
            </c:strRef>
          </c:tx>
          <c:spPr>
            <a:solidFill>
              <a:schemeClr val="accent1"/>
            </a:solidFill>
            <a:ln>
              <a:noFill/>
            </a:ln>
            <a:effectLst/>
          </c:spPr>
          <c:invertIfNegative val="0"/>
          <c:cat>
            <c:strRef>
              <c:f>'Insight 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'Insight 3'!$B$4:$B$16</c:f>
              <c:numCache>
                <c:formatCode>General</c:formatCode>
                <c:ptCount val="12"/>
                <c:pt idx="0">
                  <c:v>6503.9</c:v>
                </c:pt>
                <c:pt idx="1">
                  <c:v>6495.1</c:v>
                </c:pt>
                <c:pt idx="2">
                  <c:v>6559.6</c:v>
                </c:pt>
                <c:pt idx="3">
                  <c:v>6651.3000000000011</c:v>
                </c:pt>
                <c:pt idx="4">
                  <c:v>6727.9000000000005</c:v>
                </c:pt>
                <c:pt idx="5">
                  <c:v>6797.7</c:v>
                </c:pt>
                <c:pt idx="6">
                  <c:v>6810.4</c:v>
                </c:pt>
                <c:pt idx="7">
                  <c:v>6818.6999999999989</c:v>
                </c:pt>
                <c:pt idx="8">
                  <c:v>6855.1</c:v>
                </c:pt>
                <c:pt idx="9">
                  <c:v>6904.1</c:v>
                </c:pt>
                <c:pt idx="10">
                  <c:v>6898.9000000000005</c:v>
                </c:pt>
                <c:pt idx="11">
                  <c:v>6856.2999999999993</c:v>
                </c:pt>
              </c:numCache>
            </c:numRef>
          </c:val>
          <c:extLst>
            <c:ext xmlns:c16="http://schemas.microsoft.com/office/drawing/2014/chart" uri="{C3380CC4-5D6E-409C-BE32-E72D297353CC}">
              <c16:uniqueId val="{00000000-AD61-408B-8117-7158541E4394}"/>
            </c:ext>
          </c:extLst>
        </c:ser>
        <c:ser>
          <c:idx val="1"/>
          <c:order val="1"/>
          <c:tx>
            <c:strRef>
              <c:f>'Insight 3'!$C$2:$C$3</c:f>
              <c:strCache>
                <c:ptCount val="1"/>
                <c:pt idx="0">
                  <c:v>2023</c:v>
                </c:pt>
              </c:strCache>
            </c:strRef>
          </c:tx>
          <c:spPr>
            <a:solidFill>
              <a:schemeClr val="accent2"/>
            </a:solidFill>
            <a:ln>
              <a:noFill/>
            </a:ln>
            <a:effectLst/>
          </c:spPr>
          <c:invertIfNegative val="0"/>
          <c:cat>
            <c:strRef>
              <c:f>'Insight 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'Insight 3'!$C$4:$C$16</c:f>
              <c:numCache>
                <c:formatCode>General</c:formatCode>
                <c:ptCount val="12"/>
                <c:pt idx="0">
                  <c:v>6886.1</c:v>
                </c:pt>
                <c:pt idx="1">
                  <c:v>6847.9999999999991</c:v>
                </c:pt>
                <c:pt idx="2">
                  <c:v>6848.4000000000005</c:v>
                </c:pt>
                <c:pt idx="3">
                  <c:v>6881.5000000000009</c:v>
                </c:pt>
                <c:pt idx="4">
                  <c:v>6932.7000000000007</c:v>
                </c:pt>
              </c:numCache>
            </c:numRef>
          </c:val>
          <c:extLst>
            <c:ext xmlns:c16="http://schemas.microsoft.com/office/drawing/2014/chart" uri="{C3380CC4-5D6E-409C-BE32-E72D297353CC}">
              <c16:uniqueId val="{00000001-AD61-408B-8117-7158541E4394}"/>
            </c:ext>
          </c:extLst>
        </c:ser>
        <c:dLbls>
          <c:showLegendKey val="0"/>
          <c:showVal val="0"/>
          <c:showCatName val="0"/>
          <c:showSerName val="0"/>
          <c:showPercent val="0"/>
          <c:showBubbleSize val="0"/>
        </c:dLbls>
        <c:gapWidth val="219"/>
        <c:overlap val="-27"/>
        <c:axId val="114080351"/>
        <c:axId val="114078911"/>
      </c:barChart>
      <c:catAx>
        <c:axId val="11408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78911"/>
        <c:crosses val="autoZero"/>
        <c:auto val="1"/>
        <c:lblAlgn val="ctr"/>
        <c:lblOffset val="100"/>
        <c:noMultiLvlLbl val="0"/>
      </c:catAx>
      <c:valAx>
        <c:axId val="114078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80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Food</a:t>
            </a:r>
            <a:r>
              <a:rPr lang="en-US" baseline="0"/>
              <a:t> Category contributor</a:t>
            </a:r>
          </a:p>
        </c:rich>
      </c:tx>
      <c:layout>
        <c:manualLayout>
          <c:xMode val="edge"/>
          <c:yMode val="edge"/>
          <c:x val="0.3034652230971128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'Insight 3'!$A$42</c:f>
              <c:strCache>
                <c:ptCount val="1"/>
                <c:pt idx="0">
                  <c:v>Percentage = </c:v>
                </c:pt>
              </c:strCache>
            </c:strRef>
          </c:tx>
          <c:spPr>
            <a:solidFill>
              <a:schemeClr val="accent1"/>
            </a:solidFill>
            <a:ln>
              <a:noFill/>
            </a:ln>
            <a:effectLst/>
          </c:spPr>
          <c:invertIfNegative val="0"/>
          <c:cat>
            <c:strRef>
              <c:f>'Insight 3'!$B$41:$N$41</c:f>
              <c:strCache>
                <c:ptCount val="13"/>
                <c:pt idx="0">
                  <c:v>Total Cereals and products</c:v>
                </c:pt>
                <c:pt idx="1">
                  <c:v>Total Meat and fish</c:v>
                </c:pt>
                <c:pt idx="2">
                  <c:v>Total Eggs</c:v>
                </c:pt>
                <c:pt idx="3">
                  <c:v>Total Milk and products</c:v>
                </c:pt>
                <c:pt idx="4">
                  <c:v>Total Oils and fats</c:v>
                </c:pt>
                <c:pt idx="5">
                  <c:v>Total Fruits</c:v>
                </c:pt>
                <c:pt idx="6">
                  <c:v>Total Vegetables</c:v>
                </c:pt>
                <c:pt idx="7">
                  <c:v>Total Pulses and products</c:v>
                </c:pt>
                <c:pt idx="8">
                  <c:v>Total Prepared meals, snacks, sweets etc.</c:v>
                </c:pt>
                <c:pt idx="9">
                  <c:v>Total Sugar and Confectionery</c:v>
                </c:pt>
                <c:pt idx="10">
                  <c:v>Total Spices</c:v>
                </c:pt>
                <c:pt idx="11">
                  <c:v>Total Non-alcoholic beverages</c:v>
                </c:pt>
                <c:pt idx="12">
                  <c:v>Total Food and beverages</c:v>
                </c:pt>
              </c:strCache>
            </c:strRef>
          </c:cat>
          <c:val>
            <c:numRef>
              <c:f>'Insight 3'!$B$42:$N$42</c:f>
              <c:numCache>
                <c:formatCode>0%</c:formatCode>
                <c:ptCount val="13"/>
                <c:pt idx="0">
                  <c:v>7.2081973911240632E-2</c:v>
                </c:pt>
                <c:pt idx="1">
                  <c:v>9.3091605602915461E-2</c:v>
                </c:pt>
                <c:pt idx="2">
                  <c:v>7.723570535680982E-2</c:v>
                </c:pt>
                <c:pt idx="3">
                  <c:v>7.5135522924605971E-2</c:v>
                </c:pt>
                <c:pt idx="4">
                  <c:v>8.2607175666684324E-2</c:v>
                </c:pt>
                <c:pt idx="5">
                  <c:v>7.3426576459739573E-2</c:v>
                </c:pt>
                <c:pt idx="6">
                  <c:v>7.7629543780692742E-2</c:v>
                </c:pt>
                <c:pt idx="7">
                  <c:v>7.441204000496203E-2</c:v>
                </c:pt>
                <c:pt idx="8">
                  <c:v>8.2653152398987836E-2</c:v>
                </c:pt>
                <c:pt idx="9">
                  <c:v>5.3454457444196843E-2</c:v>
                </c:pt>
                <c:pt idx="10">
                  <c:v>8.6232397634540506E-2</c:v>
                </c:pt>
                <c:pt idx="11">
                  <c:v>7.4499656041993254E-2</c:v>
                </c:pt>
                <c:pt idx="12">
                  <c:v>7.7540192772631189E-2</c:v>
                </c:pt>
              </c:numCache>
            </c:numRef>
          </c:val>
          <c:extLst>
            <c:ext xmlns:c16="http://schemas.microsoft.com/office/drawing/2014/chart" uri="{C3380CC4-5D6E-409C-BE32-E72D297353CC}">
              <c16:uniqueId val="{00000000-EF27-4228-B31F-A60A996FCD87}"/>
            </c:ext>
          </c:extLst>
        </c:ser>
        <c:dLbls>
          <c:showLegendKey val="0"/>
          <c:showVal val="0"/>
          <c:showCatName val="0"/>
          <c:showSerName val="0"/>
          <c:showPercent val="0"/>
          <c:showBubbleSize val="0"/>
        </c:dLbls>
        <c:gapWidth val="219"/>
        <c:overlap val="-27"/>
        <c:axId val="1724007920"/>
        <c:axId val="1724023280"/>
      </c:barChart>
      <c:catAx>
        <c:axId val="172400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023280"/>
        <c:crosses val="autoZero"/>
        <c:auto val="1"/>
        <c:lblAlgn val="ctr"/>
        <c:lblOffset val="100"/>
        <c:noMultiLvlLbl val="0"/>
      </c:catAx>
      <c:valAx>
        <c:axId val="17240232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00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Monthly</a:t>
            </a:r>
            <a:r>
              <a:rPr lang="en-US" baseline="0"/>
              <a:t> Index</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'Insight 4'!$A$4:$A$18</c:f>
              <c:strCache>
                <c:ptCount val="15"/>
                <c:pt idx="0">
                  <c:v>September</c:v>
                </c:pt>
                <c:pt idx="1">
                  <c:v>October</c:v>
                </c:pt>
                <c:pt idx="2">
                  <c:v>November</c:v>
                </c:pt>
                <c:pt idx="3">
                  <c:v>December</c:v>
                </c:pt>
                <c:pt idx="4">
                  <c:v>January</c:v>
                </c:pt>
                <c:pt idx="5">
                  <c:v>February</c:v>
                </c:pt>
                <c:pt idx="7">
                  <c:v>March</c:v>
                </c:pt>
                <c:pt idx="9">
                  <c:v>April</c:v>
                </c:pt>
                <c:pt idx="10">
                  <c:v>May</c:v>
                </c:pt>
                <c:pt idx="11">
                  <c:v>June</c:v>
                </c:pt>
                <c:pt idx="12">
                  <c:v>July</c:v>
                </c:pt>
                <c:pt idx="13">
                  <c:v>August</c:v>
                </c:pt>
                <c:pt idx="14">
                  <c:v>September</c:v>
                </c:pt>
              </c:strCache>
            </c:strRef>
          </c:cat>
          <c:val>
            <c:numRef>
              <c:f>'Insight 4'!$B$4:$B$18</c:f>
              <c:numCache>
                <c:formatCode>General</c:formatCode>
                <c:ptCount val="15"/>
                <c:pt idx="0">
                  <c:v>5581.3</c:v>
                </c:pt>
                <c:pt idx="1">
                  <c:v>5665.1</c:v>
                </c:pt>
                <c:pt idx="2">
                  <c:v>5739.5</c:v>
                </c:pt>
                <c:pt idx="3">
                  <c:v>5843.8</c:v>
                </c:pt>
                <c:pt idx="4">
                  <c:v>5824.4</c:v>
                </c:pt>
                <c:pt idx="5">
                  <c:v>5738</c:v>
                </c:pt>
                <c:pt idx="7">
                  <c:v>5688.5</c:v>
                </c:pt>
                <c:pt idx="9">
                  <c:v>5854.12</c:v>
                </c:pt>
                <c:pt idx="10">
                  <c:v>5857.84</c:v>
                </c:pt>
                <c:pt idx="11">
                  <c:v>5912.8</c:v>
                </c:pt>
                <c:pt idx="12">
                  <c:v>5912.8</c:v>
                </c:pt>
                <c:pt idx="13">
                  <c:v>5998.7</c:v>
                </c:pt>
                <c:pt idx="14">
                  <c:v>6036</c:v>
                </c:pt>
              </c:numCache>
            </c:numRef>
          </c:val>
          <c:extLst>
            <c:ext xmlns:c16="http://schemas.microsoft.com/office/drawing/2014/chart" uri="{C3380CC4-5D6E-409C-BE32-E72D297353CC}">
              <c16:uniqueId val="{00000000-0F42-4EDC-9CCF-6D06AD59D594}"/>
            </c:ext>
          </c:extLst>
        </c:ser>
        <c:ser>
          <c:idx val="1"/>
          <c:order val="1"/>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'Insight 4'!$A$4:$A$18</c:f>
              <c:strCache>
                <c:ptCount val="15"/>
                <c:pt idx="0">
                  <c:v>September</c:v>
                </c:pt>
                <c:pt idx="1">
                  <c:v>October</c:v>
                </c:pt>
                <c:pt idx="2">
                  <c:v>November</c:v>
                </c:pt>
                <c:pt idx="3">
                  <c:v>December</c:v>
                </c:pt>
                <c:pt idx="4">
                  <c:v>January</c:v>
                </c:pt>
                <c:pt idx="5">
                  <c:v>February</c:v>
                </c:pt>
                <c:pt idx="7">
                  <c:v>March</c:v>
                </c:pt>
                <c:pt idx="9">
                  <c:v>April</c:v>
                </c:pt>
                <c:pt idx="10">
                  <c:v>May</c:v>
                </c:pt>
                <c:pt idx="11">
                  <c:v>June</c:v>
                </c:pt>
                <c:pt idx="12">
                  <c:v>July</c:v>
                </c:pt>
                <c:pt idx="13">
                  <c:v>August</c:v>
                </c:pt>
                <c:pt idx="14">
                  <c:v>September</c:v>
                </c:pt>
              </c:strCache>
            </c:strRef>
          </c:cat>
          <c:val>
            <c:numRef>
              <c:f>'Insight 4'!$C$4:$C$18</c:f>
              <c:numCache>
                <c:formatCode>General</c:formatCode>
                <c:ptCount val="15"/>
                <c:pt idx="0">
                  <c:v>863.2</c:v>
                </c:pt>
                <c:pt idx="1">
                  <c:v>865.3</c:v>
                </c:pt>
                <c:pt idx="2">
                  <c:v>867.7</c:v>
                </c:pt>
                <c:pt idx="3">
                  <c:v>869.6</c:v>
                </c:pt>
                <c:pt idx="4">
                  <c:v>877.6</c:v>
                </c:pt>
                <c:pt idx="5">
                  <c:v>882.6</c:v>
                </c:pt>
                <c:pt idx="7">
                  <c:v>889.6</c:v>
                </c:pt>
                <c:pt idx="9">
                  <c:v>885.44</c:v>
                </c:pt>
                <c:pt idx="10">
                  <c:v>883.76</c:v>
                </c:pt>
                <c:pt idx="11">
                  <c:v>915.7</c:v>
                </c:pt>
                <c:pt idx="12">
                  <c:v>915.7</c:v>
                </c:pt>
                <c:pt idx="13">
                  <c:v>925.6</c:v>
                </c:pt>
                <c:pt idx="14">
                  <c:v>940.3</c:v>
                </c:pt>
              </c:numCache>
            </c:numRef>
          </c:val>
          <c:extLst>
            <c:ext xmlns:c16="http://schemas.microsoft.com/office/drawing/2014/chart" uri="{C3380CC4-5D6E-409C-BE32-E72D297353CC}">
              <c16:uniqueId val="{00000001-0F42-4EDC-9CCF-6D06AD59D594}"/>
            </c:ext>
          </c:extLst>
        </c:ser>
        <c:ser>
          <c:idx val="2"/>
          <c:order val="2"/>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'Insight 4'!$A$4:$A$18</c:f>
              <c:strCache>
                <c:ptCount val="15"/>
                <c:pt idx="0">
                  <c:v>September</c:v>
                </c:pt>
                <c:pt idx="1">
                  <c:v>October</c:v>
                </c:pt>
                <c:pt idx="2">
                  <c:v>November</c:v>
                </c:pt>
                <c:pt idx="3">
                  <c:v>December</c:v>
                </c:pt>
                <c:pt idx="4">
                  <c:v>January</c:v>
                </c:pt>
                <c:pt idx="5">
                  <c:v>February</c:v>
                </c:pt>
                <c:pt idx="7">
                  <c:v>March</c:v>
                </c:pt>
                <c:pt idx="9">
                  <c:v>April</c:v>
                </c:pt>
                <c:pt idx="10">
                  <c:v>May</c:v>
                </c:pt>
                <c:pt idx="11">
                  <c:v>June</c:v>
                </c:pt>
                <c:pt idx="12">
                  <c:v>July</c:v>
                </c:pt>
                <c:pt idx="13">
                  <c:v>August</c:v>
                </c:pt>
                <c:pt idx="14">
                  <c:v>September</c:v>
                </c:pt>
              </c:strCache>
            </c:strRef>
          </c:cat>
          <c:val>
            <c:numRef>
              <c:f>'Insight 4'!$D$4:$D$18</c:f>
              <c:numCache>
                <c:formatCode>General</c:formatCode>
                <c:ptCount val="15"/>
                <c:pt idx="0">
                  <c:v>5233</c:v>
                </c:pt>
                <c:pt idx="1">
                  <c:v>5248.9</c:v>
                </c:pt>
                <c:pt idx="2">
                  <c:v>5267.2</c:v>
                </c:pt>
                <c:pt idx="3">
                  <c:v>5289.3</c:v>
                </c:pt>
                <c:pt idx="4">
                  <c:v>5313.5</c:v>
                </c:pt>
                <c:pt idx="5">
                  <c:v>5334.1</c:v>
                </c:pt>
                <c:pt idx="7">
                  <c:v>5351.9</c:v>
                </c:pt>
                <c:pt idx="9">
                  <c:v>5336.84</c:v>
                </c:pt>
                <c:pt idx="10">
                  <c:v>5334.36</c:v>
                </c:pt>
                <c:pt idx="11">
                  <c:v>5442</c:v>
                </c:pt>
                <c:pt idx="12">
                  <c:v>5442</c:v>
                </c:pt>
                <c:pt idx="13">
                  <c:v>5470.7</c:v>
                </c:pt>
                <c:pt idx="14">
                  <c:v>5498.8</c:v>
                </c:pt>
              </c:numCache>
            </c:numRef>
          </c:val>
          <c:extLst>
            <c:ext xmlns:c16="http://schemas.microsoft.com/office/drawing/2014/chart" uri="{C3380CC4-5D6E-409C-BE32-E72D297353CC}">
              <c16:uniqueId val="{00000002-0F42-4EDC-9CCF-6D06AD59D594}"/>
            </c:ext>
          </c:extLst>
        </c:ser>
        <c:ser>
          <c:idx val="3"/>
          <c:order val="3"/>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'Insight 4'!$A$4:$A$18</c:f>
              <c:strCache>
                <c:ptCount val="15"/>
                <c:pt idx="0">
                  <c:v>September</c:v>
                </c:pt>
                <c:pt idx="1">
                  <c:v>October</c:v>
                </c:pt>
                <c:pt idx="2">
                  <c:v>November</c:v>
                </c:pt>
                <c:pt idx="3">
                  <c:v>December</c:v>
                </c:pt>
                <c:pt idx="4">
                  <c:v>January</c:v>
                </c:pt>
                <c:pt idx="5">
                  <c:v>February</c:v>
                </c:pt>
                <c:pt idx="7">
                  <c:v>March</c:v>
                </c:pt>
                <c:pt idx="9">
                  <c:v>April</c:v>
                </c:pt>
                <c:pt idx="10">
                  <c:v>May</c:v>
                </c:pt>
                <c:pt idx="11">
                  <c:v>June</c:v>
                </c:pt>
                <c:pt idx="12">
                  <c:v>July</c:v>
                </c:pt>
                <c:pt idx="13">
                  <c:v>August</c:v>
                </c:pt>
                <c:pt idx="14">
                  <c:v>September</c:v>
                </c:pt>
              </c:strCache>
            </c:strRef>
          </c:cat>
          <c:val>
            <c:numRef>
              <c:f>'Insight 4'!#REF!</c:f>
              <c:numCache>
                <c:formatCode>General</c:formatCode>
                <c:ptCount val="1"/>
                <c:pt idx="0">
                  <c:v>1</c:v>
                </c:pt>
              </c:numCache>
            </c:numRef>
          </c:val>
          <c:extLst>
            <c:ext xmlns:c16="http://schemas.microsoft.com/office/drawing/2014/chart" uri="{C3380CC4-5D6E-409C-BE32-E72D297353CC}">
              <c16:uniqueId val="{00000003-0F42-4EDC-9CCF-6D06AD59D594}"/>
            </c:ext>
          </c:extLst>
        </c:ser>
        <c:dLbls>
          <c:showLegendKey val="0"/>
          <c:showVal val="0"/>
          <c:showCatName val="0"/>
          <c:showSerName val="0"/>
          <c:showPercent val="0"/>
          <c:showBubbleSize val="0"/>
        </c:dLbls>
        <c:gapWidth val="164"/>
        <c:overlap val="-22"/>
        <c:axId val="1504709007"/>
        <c:axId val="1505153535"/>
      </c:barChart>
      <c:catAx>
        <c:axId val="150470900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153535"/>
        <c:crosses val="autoZero"/>
        <c:auto val="1"/>
        <c:lblAlgn val="ctr"/>
        <c:lblOffset val="100"/>
        <c:noMultiLvlLbl val="0"/>
      </c:catAx>
      <c:valAx>
        <c:axId val="1505153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7090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line analyses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'Insight 4'!$A$4:$A$18</c:f>
              <c:strCache>
                <c:ptCount val="15"/>
                <c:pt idx="0">
                  <c:v>September</c:v>
                </c:pt>
                <c:pt idx="1">
                  <c:v>October</c:v>
                </c:pt>
                <c:pt idx="2">
                  <c:v>November</c:v>
                </c:pt>
                <c:pt idx="3">
                  <c:v>December</c:v>
                </c:pt>
                <c:pt idx="4">
                  <c:v>January</c:v>
                </c:pt>
                <c:pt idx="5">
                  <c:v>February</c:v>
                </c:pt>
                <c:pt idx="7">
                  <c:v>March</c:v>
                </c:pt>
                <c:pt idx="9">
                  <c:v>April</c:v>
                </c:pt>
                <c:pt idx="10">
                  <c:v>May</c:v>
                </c:pt>
                <c:pt idx="11">
                  <c:v>June</c:v>
                </c:pt>
                <c:pt idx="12">
                  <c:v>July</c:v>
                </c:pt>
                <c:pt idx="13">
                  <c:v>August</c:v>
                </c:pt>
                <c:pt idx="14">
                  <c:v>September</c:v>
                </c:pt>
              </c:strCache>
            </c:strRef>
          </c:cat>
          <c:val>
            <c:numRef>
              <c:f>'Insight 4'!$B$4:$B$18</c:f>
              <c:numCache>
                <c:formatCode>General</c:formatCode>
                <c:ptCount val="15"/>
                <c:pt idx="0">
                  <c:v>5581.3</c:v>
                </c:pt>
                <c:pt idx="1">
                  <c:v>5665.1</c:v>
                </c:pt>
                <c:pt idx="2">
                  <c:v>5739.5</c:v>
                </c:pt>
                <c:pt idx="3">
                  <c:v>5843.8</c:v>
                </c:pt>
                <c:pt idx="4">
                  <c:v>5824.4</c:v>
                </c:pt>
                <c:pt idx="5">
                  <c:v>5738</c:v>
                </c:pt>
                <c:pt idx="7">
                  <c:v>5688.5</c:v>
                </c:pt>
                <c:pt idx="9">
                  <c:v>5854.12</c:v>
                </c:pt>
                <c:pt idx="10">
                  <c:v>5857.84</c:v>
                </c:pt>
                <c:pt idx="11">
                  <c:v>5912.8</c:v>
                </c:pt>
                <c:pt idx="12">
                  <c:v>5912.8</c:v>
                </c:pt>
                <c:pt idx="13">
                  <c:v>5998.7</c:v>
                </c:pt>
                <c:pt idx="14">
                  <c:v>6036</c:v>
                </c:pt>
              </c:numCache>
            </c:numRef>
          </c:val>
          <c:smooth val="0"/>
          <c:extLst>
            <c:ext xmlns:c16="http://schemas.microsoft.com/office/drawing/2014/chart" uri="{C3380CC4-5D6E-409C-BE32-E72D297353CC}">
              <c16:uniqueId val="{00000000-E50E-49DF-AC4B-4DD1F229558E}"/>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'Insight 4'!$A$4:$A$18</c:f>
              <c:strCache>
                <c:ptCount val="15"/>
                <c:pt idx="0">
                  <c:v>September</c:v>
                </c:pt>
                <c:pt idx="1">
                  <c:v>October</c:v>
                </c:pt>
                <c:pt idx="2">
                  <c:v>November</c:v>
                </c:pt>
                <c:pt idx="3">
                  <c:v>December</c:v>
                </c:pt>
                <c:pt idx="4">
                  <c:v>January</c:v>
                </c:pt>
                <c:pt idx="5">
                  <c:v>February</c:v>
                </c:pt>
                <c:pt idx="7">
                  <c:v>March</c:v>
                </c:pt>
                <c:pt idx="9">
                  <c:v>April</c:v>
                </c:pt>
                <c:pt idx="10">
                  <c:v>May</c:v>
                </c:pt>
                <c:pt idx="11">
                  <c:v>June</c:v>
                </c:pt>
                <c:pt idx="12">
                  <c:v>July</c:v>
                </c:pt>
                <c:pt idx="13">
                  <c:v>August</c:v>
                </c:pt>
                <c:pt idx="14">
                  <c:v>September</c:v>
                </c:pt>
              </c:strCache>
            </c:strRef>
          </c:cat>
          <c:val>
            <c:numRef>
              <c:f>'Insight 4'!$C$4:$C$18</c:f>
              <c:numCache>
                <c:formatCode>General</c:formatCode>
                <c:ptCount val="15"/>
                <c:pt idx="0">
                  <c:v>863.2</c:v>
                </c:pt>
                <c:pt idx="1">
                  <c:v>865.3</c:v>
                </c:pt>
                <c:pt idx="2">
                  <c:v>867.7</c:v>
                </c:pt>
                <c:pt idx="3">
                  <c:v>869.6</c:v>
                </c:pt>
                <c:pt idx="4">
                  <c:v>877.6</c:v>
                </c:pt>
                <c:pt idx="5">
                  <c:v>882.6</c:v>
                </c:pt>
                <c:pt idx="7">
                  <c:v>889.6</c:v>
                </c:pt>
                <c:pt idx="9">
                  <c:v>885.44</c:v>
                </c:pt>
                <c:pt idx="10">
                  <c:v>883.76</c:v>
                </c:pt>
                <c:pt idx="11">
                  <c:v>915.7</c:v>
                </c:pt>
                <c:pt idx="12">
                  <c:v>915.7</c:v>
                </c:pt>
                <c:pt idx="13">
                  <c:v>925.6</c:v>
                </c:pt>
                <c:pt idx="14">
                  <c:v>940.3</c:v>
                </c:pt>
              </c:numCache>
            </c:numRef>
          </c:val>
          <c:smooth val="0"/>
          <c:extLst>
            <c:ext xmlns:c16="http://schemas.microsoft.com/office/drawing/2014/chart" uri="{C3380CC4-5D6E-409C-BE32-E72D297353CC}">
              <c16:uniqueId val="{00000001-E50E-49DF-AC4B-4DD1F229558E}"/>
            </c:ext>
          </c:extLst>
        </c:ser>
        <c:ser>
          <c:idx val="2"/>
          <c:order val="2"/>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'Insight 4'!$A$4:$A$18</c:f>
              <c:strCache>
                <c:ptCount val="15"/>
                <c:pt idx="0">
                  <c:v>September</c:v>
                </c:pt>
                <c:pt idx="1">
                  <c:v>October</c:v>
                </c:pt>
                <c:pt idx="2">
                  <c:v>November</c:v>
                </c:pt>
                <c:pt idx="3">
                  <c:v>December</c:v>
                </c:pt>
                <c:pt idx="4">
                  <c:v>January</c:v>
                </c:pt>
                <c:pt idx="5">
                  <c:v>February</c:v>
                </c:pt>
                <c:pt idx="7">
                  <c:v>March</c:v>
                </c:pt>
                <c:pt idx="9">
                  <c:v>April</c:v>
                </c:pt>
                <c:pt idx="10">
                  <c:v>May</c:v>
                </c:pt>
                <c:pt idx="11">
                  <c:v>June</c:v>
                </c:pt>
                <c:pt idx="12">
                  <c:v>July</c:v>
                </c:pt>
                <c:pt idx="13">
                  <c:v>August</c:v>
                </c:pt>
                <c:pt idx="14">
                  <c:v>September</c:v>
                </c:pt>
              </c:strCache>
            </c:strRef>
          </c:cat>
          <c:val>
            <c:numRef>
              <c:f>'Insight 4'!$D$4:$D$18</c:f>
              <c:numCache>
                <c:formatCode>General</c:formatCode>
                <c:ptCount val="15"/>
                <c:pt idx="0">
                  <c:v>5233</c:v>
                </c:pt>
                <c:pt idx="1">
                  <c:v>5248.9</c:v>
                </c:pt>
                <c:pt idx="2">
                  <c:v>5267.2</c:v>
                </c:pt>
                <c:pt idx="3">
                  <c:v>5289.3</c:v>
                </c:pt>
                <c:pt idx="4">
                  <c:v>5313.5</c:v>
                </c:pt>
                <c:pt idx="5">
                  <c:v>5334.1</c:v>
                </c:pt>
                <c:pt idx="7">
                  <c:v>5351.9</c:v>
                </c:pt>
                <c:pt idx="9">
                  <c:v>5336.84</c:v>
                </c:pt>
                <c:pt idx="10">
                  <c:v>5334.36</c:v>
                </c:pt>
                <c:pt idx="11">
                  <c:v>5442</c:v>
                </c:pt>
                <c:pt idx="12">
                  <c:v>5442</c:v>
                </c:pt>
                <c:pt idx="13">
                  <c:v>5470.7</c:v>
                </c:pt>
                <c:pt idx="14">
                  <c:v>5498.8</c:v>
                </c:pt>
              </c:numCache>
            </c:numRef>
          </c:val>
          <c:smooth val="0"/>
          <c:extLst>
            <c:ext xmlns:c16="http://schemas.microsoft.com/office/drawing/2014/chart" uri="{C3380CC4-5D6E-409C-BE32-E72D297353CC}">
              <c16:uniqueId val="{00000002-E50E-49DF-AC4B-4DD1F229558E}"/>
            </c:ext>
          </c:extLst>
        </c:ser>
        <c:dLbls>
          <c:showLegendKey val="0"/>
          <c:showVal val="0"/>
          <c:showCatName val="0"/>
          <c:showSerName val="0"/>
          <c:showPercent val="0"/>
          <c:showBubbleSize val="0"/>
        </c:dLbls>
        <c:marker val="1"/>
        <c:smooth val="0"/>
        <c:axId val="313424511"/>
        <c:axId val="313420191"/>
      </c:lineChart>
      <c:catAx>
        <c:axId val="31342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420191"/>
        <c:crosses val="autoZero"/>
        <c:auto val="1"/>
        <c:lblAlgn val="ctr"/>
        <c:lblOffset val="100"/>
        <c:noMultiLvlLbl val="0"/>
      </c:catAx>
      <c:valAx>
        <c:axId val="313420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424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Before</a:t>
            </a:r>
            <a:r>
              <a:rPr lang="en-US" baseline="0"/>
              <a:t> Covid-19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'Insight 4'!$A$4:$A$9</c:f>
              <c:strCache>
                <c:ptCount val="6"/>
                <c:pt idx="0">
                  <c:v>September</c:v>
                </c:pt>
                <c:pt idx="1">
                  <c:v>October</c:v>
                </c:pt>
                <c:pt idx="2">
                  <c:v>November</c:v>
                </c:pt>
                <c:pt idx="3">
                  <c:v>December</c:v>
                </c:pt>
                <c:pt idx="4">
                  <c:v>January</c:v>
                </c:pt>
                <c:pt idx="5">
                  <c:v>February</c:v>
                </c:pt>
              </c:strCache>
            </c:strRef>
          </c:cat>
          <c:val>
            <c:numRef>
              <c:f>'Insight 4'!$B$4:$B$9</c:f>
              <c:numCache>
                <c:formatCode>General</c:formatCode>
                <c:ptCount val="6"/>
                <c:pt idx="0">
                  <c:v>5581.3</c:v>
                </c:pt>
                <c:pt idx="1">
                  <c:v>5665.1</c:v>
                </c:pt>
                <c:pt idx="2">
                  <c:v>5739.5</c:v>
                </c:pt>
                <c:pt idx="3">
                  <c:v>5843.8</c:v>
                </c:pt>
                <c:pt idx="4">
                  <c:v>5824.4</c:v>
                </c:pt>
                <c:pt idx="5">
                  <c:v>5738</c:v>
                </c:pt>
              </c:numCache>
            </c:numRef>
          </c:val>
          <c:extLst>
            <c:ext xmlns:c16="http://schemas.microsoft.com/office/drawing/2014/chart" uri="{C3380CC4-5D6E-409C-BE32-E72D297353CC}">
              <c16:uniqueId val="{00000000-4F49-4C02-94E2-63F3DEF85FB5}"/>
            </c:ext>
          </c:extLst>
        </c:ser>
        <c:ser>
          <c:idx val="1"/>
          <c:order val="1"/>
          <c:spPr>
            <a:solidFill>
              <a:schemeClr val="accent2"/>
            </a:solidFill>
            <a:ln>
              <a:noFill/>
            </a:ln>
            <a:effectLst/>
          </c:spPr>
          <c:invertIfNegative val="0"/>
          <c:cat>
            <c:strRef>
              <c:f>'Insight 4'!$A$4:$A$9</c:f>
              <c:strCache>
                <c:ptCount val="6"/>
                <c:pt idx="0">
                  <c:v>September</c:v>
                </c:pt>
                <c:pt idx="1">
                  <c:v>October</c:v>
                </c:pt>
                <c:pt idx="2">
                  <c:v>November</c:v>
                </c:pt>
                <c:pt idx="3">
                  <c:v>December</c:v>
                </c:pt>
                <c:pt idx="4">
                  <c:v>January</c:v>
                </c:pt>
                <c:pt idx="5">
                  <c:v>February</c:v>
                </c:pt>
              </c:strCache>
            </c:strRef>
          </c:cat>
          <c:val>
            <c:numRef>
              <c:f>'Insight 4'!$C$4:$C$9</c:f>
              <c:numCache>
                <c:formatCode>General</c:formatCode>
                <c:ptCount val="6"/>
                <c:pt idx="0">
                  <c:v>863.2</c:v>
                </c:pt>
                <c:pt idx="1">
                  <c:v>865.3</c:v>
                </c:pt>
                <c:pt idx="2">
                  <c:v>867.7</c:v>
                </c:pt>
                <c:pt idx="3">
                  <c:v>869.6</c:v>
                </c:pt>
                <c:pt idx="4">
                  <c:v>877.6</c:v>
                </c:pt>
                <c:pt idx="5">
                  <c:v>882.6</c:v>
                </c:pt>
              </c:numCache>
            </c:numRef>
          </c:val>
          <c:extLst>
            <c:ext xmlns:c16="http://schemas.microsoft.com/office/drawing/2014/chart" uri="{C3380CC4-5D6E-409C-BE32-E72D297353CC}">
              <c16:uniqueId val="{00000001-4F49-4C02-94E2-63F3DEF85FB5}"/>
            </c:ext>
          </c:extLst>
        </c:ser>
        <c:dLbls>
          <c:showLegendKey val="0"/>
          <c:showVal val="0"/>
          <c:showCatName val="0"/>
          <c:showSerName val="0"/>
          <c:showPercent val="0"/>
          <c:showBubbleSize val="0"/>
        </c:dLbls>
        <c:gapWidth val="219"/>
        <c:overlap val="-27"/>
        <c:axId val="1672436671"/>
        <c:axId val="1672433791"/>
      </c:barChart>
      <c:lineChart>
        <c:grouping val="standard"/>
        <c:varyColors val="0"/>
        <c:ser>
          <c:idx val="2"/>
          <c:order val="2"/>
          <c:spPr>
            <a:ln w="28575" cap="rnd">
              <a:solidFill>
                <a:schemeClr val="accent3"/>
              </a:solidFill>
              <a:round/>
            </a:ln>
            <a:effectLst/>
          </c:spPr>
          <c:marker>
            <c:symbol val="none"/>
          </c:marker>
          <c:cat>
            <c:strRef>
              <c:f>'Insight 4'!$A$4:$A$9</c:f>
              <c:strCache>
                <c:ptCount val="6"/>
                <c:pt idx="0">
                  <c:v>September</c:v>
                </c:pt>
                <c:pt idx="1">
                  <c:v>October</c:v>
                </c:pt>
                <c:pt idx="2">
                  <c:v>November</c:v>
                </c:pt>
                <c:pt idx="3">
                  <c:v>December</c:v>
                </c:pt>
                <c:pt idx="4">
                  <c:v>January</c:v>
                </c:pt>
                <c:pt idx="5">
                  <c:v>February</c:v>
                </c:pt>
              </c:strCache>
            </c:strRef>
          </c:cat>
          <c:val>
            <c:numRef>
              <c:f>'Insight 4'!$D$4:$D$9</c:f>
              <c:numCache>
                <c:formatCode>General</c:formatCode>
                <c:ptCount val="6"/>
                <c:pt idx="0">
                  <c:v>5233</c:v>
                </c:pt>
                <c:pt idx="1">
                  <c:v>5248.9</c:v>
                </c:pt>
                <c:pt idx="2">
                  <c:v>5267.2</c:v>
                </c:pt>
                <c:pt idx="3">
                  <c:v>5289.3</c:v>
                </c:pt>
                <c:pt idx="4">
                  <c:v>5313.5</c:v>
                </c:pt>
                <c:pt idx="5">
                  <c:v>5334.1</c:v>
                </c:pt>
              </c:numCache>
            </c:numRef>
          </c:val>
          <c:smooth val="0"/>
          <c:extLst>
            <c:ext xmlns:c16="http://schemas.microsoft.com/office/drawing/2014/chart" uri="{C3380CC4-5D6E-409C-BE32-E72D297353CC}">
              <c16:uniqueId val="{00000002-4F49-4C02-94E2-63F3DEF85FB5}"/>
            </c:ext>
          </c:extLst>
        </c:ser>
        <c:dLbls>
          <c:showLegendKey val="0"/>
          <c:showVal val="0"/>
          <c:showCatName val="0"/>
          <c:showSerName val="0"/>
          <c:showPercent val="0"/>
          <c:showBubbleSize val="0"/>
        </c:dLbls>
        <c:marker val="1"/>
        <c:smooth val="0"/>
        <c:axId val="1508116511"/>
        <c:axId val="1508116991"/>
      </c:lineChart>
      <c:catAx>
        <c:axId val="167243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33791"/>
        <c:crosses val="autoZero"/>
        <c:auto val="1"/>
        <c:lblAlgn val="ctr"/>
        <c:lblOffset val="100"/>
        <c:noMultiLvlLbl val="0"/>
      </c:catAx>
      <c:valAx>
        <c:axId val="1672433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36671"/>
        <c:crosses val="autoZero"/>
        <c:crossBetween val="between"/>
      </c:valAx>
      <c:valAx>
        <c:axId val="15081169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116511"/>
        <c:crosses val="max"/>
        <c:crossBetween val="between"/>
      </c:valAx>
      <c:catAx>
        <c:axId val="1508116511"/>
        <c:scaling>
          <c:orientation val="minMax"/>
        </c:scaling>
        <c:delete val="1"/>
        <c:axPos val="b"/>
        <c:numFmt formatCode="General" sourceLinked="1"/>
        <c:majorTickMark val="out"/>
        <c:minorTickMark val="none"/>
        <c:tickLblPos val="nextTo"/>
        <c:crossAx val="150811699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After</a:t>
            </a:r>
            <a:r>
              <a:rPr lang="en-US" baseline="0"/>
              <a:t> Covid-19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'Insight 4'!$A$13:$A$18</c:f>
              <c:strCache>
                <c:ptCount val="6"/>
                <c:pt idx="0">
                  <c:v>April</c:v>
                </c:pt>
                <c:pt idx="1">
                  <c:v>May</c:v>
                </c:pt>
                <c:pt idx="2">
                  <c:v>June</c:v>
                </c:pt>
                <c:pt idx="3">
                  <c:v>July</c:v>
                </c:pt>
                <c:pt idx="4">
                  <c:v>August</c:v>
                </c:pt>
                <c:pt idx="5">
                  <c:v>September</c:v>
                </c:pt>
              </c:strCache>
            </c:strRef>
          </c:cat>
          <c:val>
            <c:numRef>
              <c:f>'Insight 4'!$B$13:$B$18</c:f>
              <c:numCache>
                <c:formatCode>General</c:formatCode>
                <c:ptCount val="6"/>
                <c:pt idx="0">
                  <c:v>5854.12</c:v>
                </c:pt>
                <c:pt idx="1">
                  <c:v>5857.84</c:v>
                </c:pt>
                <c:pt idx="2">
                  <c:v>5912.8</c:v>
                </c:pt>
                <c:pt idx="3">
                  <c:v>5912.8</c:v>
                </c:pt>
                <c:pt idx="4">
                  <c:v>5998.7</c:v>
                </c:pt>
                <c:pt idx="5">
                  <c:v>6036</c:v>
                </c:pt>
              </c:numCache>
            </c:numRef>
          </c:val>
          <c:extLst>
            <c:ext xmlns:c16="http://schemas.microsoft.com/office/drawing/2014/chart" uri="{C3380CC4-5D6E-409C-BE32-E72D297353CC}">
              <c16:uniqueId val="{00000000-97BF-40AD-A9FC-E58364A210BD}"/>
            </c:ext>
          </c:extLst>
        </c:ser>
        <c:ser>
          <c:idx val="1"/>
          <c:order val="1"/>
          <c:spPr>
            <a:solidFill>
              <a:schemeClr val="accent2"/>
            </a:solidFill>
            <a:ln>
              <a:noFill/>
            </a:ln>
            <a:effectLst/>
          </c:spPr>
          <c:invertIfNegative val="0"/>
          <c:cat>
            <c:strRef>
              <c:f>'Insight 4'!$A$13:$A$18</c:f>
              <c:strCache>
                <c:ptCount val="6"/>
                <c:pt idx="0">
                  <c:v>April</c:v>
                </c:pt>
                <c:pt idx="1">
                  <c:v>May</c:v>
                </c:pt>
                <c:pt idx="2">
                  <c:v>June</c:v>
                </c:pt>
                <c:pt idx="3">
                  <c:v>July</c:v>
                </c:pt>
                <c:pt idx="4">
                  <c:v>August</c:v>
                </c:pt>
                <c:pt idx="5">
                  <c:v>September</c:v>
                </c:pt>
              </c:strCache>
            </c:strRef>
          </c:cat>
          <c:val>
            <c:numRef>
              <c:f>'Insight 4'!$C$13:$C$18</c:f>
              <c:numCache>
                <c:formatCode>General</c:formatCode>
                <c:ptCount val="6"/>
                <c:pt idx="0">
                  <c:v>885.44</c:v>
                </c:pt>
                <c:pt idx="1">
                  <c:v>883.76</c:v>
                </c:pt>
                <c:pt idx="2">
                  <c:v>915.7</c:v>
                </c:pt>
                <c:pt idx="3">
                  <c:v>915.7</c:v>
                </c:pt>
                <c:pt idx="4">
                  <c:v>925.6</c:v>
                </c:pt>
                <c:pt idx="5">
                  <c:v>940.3</c:v>
                </c:pt>
              </c:numCache>
            </c:numRef>
          </c:val>
          <c:extLst>
            <c:ext xmlns:c16="http://schemas.microsoft.com/office/drawing/2014/chart" uri="{C3380CC4-5D6E-409C-BE32-E72D297353CC}">
              <c16:uniqueId val="{00000001-97BF-40AD-A9FC-E58364A210BD}"/>
            </c:ext>
          </c:extLst>
        </c:ser>
        <c:dLbls>
          <c:showLegendKey val="0"/>
          <c:showVal val="0"/>
          <c:showCatName val="0"/>
          <c:showSerName val="0"/>
          <c:showPercent val="0"/>
          <c:showBubbleSize val="0"/>
        </c:dLbls>
        <c:gapWidth val="219"/>
        <c:overlap val="-27"/>
        <c:axId val="313428351"/>
        <c:axId val="313431231"/>
      </c:barChart>
      <c:lineChart>
        <c:grouping val="standard"/>
        <c:varyColors val="0"/>
        <c:ser>
          <c:idx val="2"/>
          <c:order val="2"/>
          <c:spPr>
            <a:ln w="28575" cap="rnd">
              <a:solidFill>
                <a:schemeClr val="accent3"/>
              </a:solidFill>
              <a:round/>
            </a:ln>
            <a:effectLst/>
          </c:spPr>
          <c:marker>
            <c:symbol val="none"/>
          </c:marker>
          <c:cat>
            <c:strRef>
              <c:f>'Insight 4'!$A$13:$A$18</c:f>
              <c:strCache>
                <c:ptCount val="6"/>
                <c:pt idx="0">
                  <c:v>April</c:v>
                </c:pt>
                <c:pt idx="1">
                  <c:v>May</c:v>
                </c:pt>
                <c:pt idx="2">
                  <c:v>June</c:v>
                </c:pt>
                <c:pt idx="3">
                  <c:v>July</c:v>
                </c:pt>
                <c:pt idx="4">
                  <c:v>August</c:v>
                </c:pt>
                <c:pt idx="5">
                  <c:v>September</c:v>
                </c:pt>
              </c:strCache>
            </c:strRef>
          </c:cat>
          <c:val>
            <c:numRef>
              <c:f>'Insight 4'!$D$13:$D$18</c:f>
              <c:numCache>
                <c:formatCode>General</c:formatCode>
                <c:ptCount val="6"/>
                <c:pt idx="0">
                  <c:v>5336.84</c:v>
                </c:pt>
                <c:pt idx="1">
                  <c:v>5334.36</c:v>
                </c:pt>
                <c:pt idx="2">
                  <c:v>5442</c:v>
                </c:pt>
                <c:pt idx="3">
                  <c:v>5442</c:v>
                </c:pt>
                <c:pt idx="4">
                  <c:v>5470.7</c:v>
                </c:pt>
                <c:pt idx="5">
                  <c:v>5498.8</c:v>
                </c:pt>
              </c:numCache>
            </c:numRef>
          </c:val>
          <c:smooth val="0"/>
          <c:extLst>
            <c:ext xmlns:c16="http://schemas.microsoft.com/office/drawing/2014/chart" uri="{C3380CC4-5D6E-409C-BE32-E72D297353CC}">
              <c16:uniqueId val="{00000002-97BF-40AD-A9FC-E58364A210BD}"/>
            </c:ext>
          </c:extLst>
        </c:ser>
        <c:dLbls>
          <c:showLegendKey val="0"/>
          <c:showVal val="0"/>
          <c:showCatName val="0"/>
          <c:showSerName val="0"/>
          <c:showPercent val="0"/>
          <c:showBubbleSize val="0"/>
        </c:dLbls>
        <c:marker val="1"/>
        <c:smooth val="0"/>
        <c:axId val="313439871"/>
        <c:axId val="313431711"/>
      </c:lineChart>
      <c:catAx>
        <c:axId val="31342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431231"/>
        <c:crosses val="autoZero"/>
        <c:auto val="1"/>
        <c:lblAlgn val="ctr"/>
        <c:lblOffset val="100"/>
        <c:noMultiLvlLbl val="0"/>
      </c:catAx>
      <c:valAx>
        <c:axId val="313431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428351"/>
        <c:crosses val="autoZero"/>
        <c:crossBetween val="between"/>
      </c:valAx>
      <c:valAx>
        <c:axId val="3134317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439871"/>
        <c:crosses val="max"/>
        <c:crossBetween val="between"/>
      </c:valAx>
      <c:catAx>
        <c:axId val="313439871"/>
        <c:scaling>
          <c:orientation val="minMax"/>
        </c:scaling>
        <c:delete val="1"/>
        <c:axPos val="b"/>
        <c:numFmt formatCode="General" sourceLinked="1"/>
        <c:majorTickMark val="out"/>
        <c:minorTickMark val="none"/>
        <c:tickLblPos val="nextTo"/>
        <c:crossAx val="3134317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Essential serviceTrends by CPI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415547034315876E-2"/>
          <c:y val="0.12845021645021645"/>
          <c:w val="0.87827962025192952"/>
          <c:h val="0.83345454545454545"/>
        </c:manualLayout>
      </c:layout>
      <c:barChart>
        <c:barDir val="col"/>
        <c:grouping val="clustered"/>
        <c:varyColors val="0"/>
        <c:ser>
          <c:idx val="0"/>
          <c:order val="0"/>
          <c:tx>
            <c:v>Total</c:v>
          </c:tx>
          <c:spPr>
            <a:solidFill>
              <a:schemeClr val="accent1"/>
            </a:solidFill>
            <a:ln>
              <a:noFill/>
            </a:ln>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4.5752746110070928E-3</c:v>
              </c:pt>
              <c:pt idx="1">
                <c:v>3.8769172861579681E-3</c:v>
              </c:pt>
              <c:pt idx="2">
                <c:v>3.3370203033312594E-3</c:v>
              </c:pt>
              <c:pt idx="3">
                <c:v>-2.8139539229057888E-3</c:v>
              </c:pt>
              <c:pt idx="4">
                <c:v>-4.6469446339040947E-4</c:v>
              </c:pt>
              <c:pt idx="5">
                <c:v>1.970454426214761E-2</c:v>
              </c:pt>
              <c:pt idx="6">
                <c:v>2.0178615616493888E-2</c:v>
              </c:pt>
              <c:pt idx="7">
                <c:v>5.2737963983829142E-3</c:v>
              </c:pt>
              <c:pt idx="8">
                <c:v>1.0437339213524473E-2</c:v>
              </c:pt>
              <c:pt idx="9">
                <c:v>3.0384100898145682E-3</c:v>
              </c:pt>
              <c:pt idx="10">
                <c:v>3.4864447789060915E-3</c:v>
              </c:pt>
              <c:pt idx="11">
                <c:v>4.1957776427704215E-3</c:v>
              </c:pt>
            </c:numLit>
          </c:val>
          <c:extLst>
            <c:ext xmlns:c16="http://schemas.microsoft.com/office/drawing/2014/chart" uri="{C3380CC4-5D6E-409C-BE32-E72D297353CC}">
              <c16:uniqueId val="{00000000-F37E-4A38-9F90-F0888BBE6C09}"/>
            </c:ext>
          </c:extLst>
        </c:ser>
        <c:dLbls>
          <c:showLegendKey val="0"/>
          <c:showVal val="0"/>
          <c:showCatName val="0"/>
          <c:showSerName val="0"/>
          <c:showPercent val="0"/>
          <c:showBubbleSize val="0"/>
        </c:dLbls>
        <c:gapWidth val="219"/>
        <c:overlap val="-27"/>
        <c:axId val="553220032"/>
        <c:axId val="553217152"/>
      </c:barChart>
      <c:catAx>
        <c:axId val="55322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17152"/>
        <c:crosses val="autoZero"/>
        <c:auto val="1"/>
        <c:lblAlgn val="ctr"/>
        <c:lblOffset val="100"/>
        <c:noMultiLvlLbl val="0"/>
      </c:catAx>
      <c:valAx>
        <c:axId val="55321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20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Inflation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780188447667064E-2"/>
          <c:y val="0.1611593965596704"/>
          <c:w val="0.914524367907249"/>
          <c:h val="0.73458585260080289"/>
        </c:manualLayout>
      </c:layout>
      <c:lineChart>
        <c:grouping val="standard"/>
        <c:varyColors val="0"/>
        <c:ser>
          <c:idx val="0"/>
          <c:order val="0"/>
          <c:tx>
            <c:strRef>
              <c:f>'Insight 4'!$B$23:$B$24</c:f>
              <c:strCache>
                <c:ptCount val="2"/>
                <c:pt idx="0">
                  <c:v>Food</c:v>
                </c:pt>
              </c:strCache>
            </c:strRef>
          </c:tx>
          <c:spPr>
            <a:ln w="28575" cap="rnd">
              <a:solidFill>
                <a:schemeClr val="accent1"/>
              </a:solidFill>
              <a:round/>
            </a:ln>
            <a:effectLst/>
          </c:spPr>
          <c:marker>
            <c:symbol val="none"/>
          </c:marker>
          <c:cat>
            <c:strRef>
              <c:f>'Insight 4'!$A$25:$A$36</c:f>
              <c:strCache>
                <c:ptCount val="12"/>
                <c:pt idx="0">
                  <c:v>October</c:v>
                </c:pt>
                <c:pt idx="1">
                  <c:v>November</c:v>
                </c:pt>
                <c:pt idx="2">
                  <c:v>December</c:v>
                </c:pt>
                <c:pt idx="3">
                  <c:v>January</c:v>
                </c:pt>
                <c:pt idx="4">
                  <c:v>February</c:v>
                </c:pt>
                <c:pt idx="5">
                  <c:v>March</c:v>
                </c:pt>
                <c:pt idx="6">
                  <c:v>April</c:v>
                </c:pt>
                <c:pt idx="7">
                  <c:v>May</c:v>
                </c:pt>
                <c:pt idx="8">
                  <c:v>June</c:v>
                </c:pt>
                <c:pt idx="9">
                  <c:v>July</c:v>
                </c:pt>
                <c:pt idx="10">
                  <c:v>August</c:v>
                </c:pt>
                <c:pt idx="11">
                  <c:v>September</c:v>
                </c:pt>
              </c:strCache>
            </c:strRef>
          </c:cat>
          <c:val>
            <c:numRef>
              <c:f>'Insight 4'!$B$25:$B$36</c:f>
              <c:numCache>
                <c:formatCode>General</c:formatCode>
                <c:ptCount val="12"/>
                <c:pt idx="0">
                  <c:v>1.5014423163062401E-2</c:v>
                </c:pt>
                <c:pt idx="1">
                  <c:v>1.3133042664736656E-2</c:v>
                </c:pt>
                <c:pt idx="2">
                  <c:v>1.8172314661555916E-2</c:v>
                </c:pt>
                <c:pt idx="3">
                  <c:v>-3.3197576919128898E-3</c:v>
                </c:pt>
                <c:pt idx="4">
                  <c:v>-1.4834146006455539E-2</c:v>
                </c:pt>
                <c:pt idx="5">
                  <c:v>-8.6266991983269432E-3</c:v>
                </c:pt>
                <c:pt idx="6">
                  <c:v>2.9114880900061507E-2</c:v>
                </c:pt>
                <c:pt idx="7">
                  <c:v>6.3544990536583716E-4</c:v>
                </c:pt>
                <c:pt idx="8">
                  <c:v>1.0023709797544344E-2</c:v>
                </c:pt>
                <c:pt idx="9">
                  <c:v>9.3822979118583019E-3</c:v>
                </c:pt>
                <c:pt idx="10">
                  <c:v>1.452780408605054E-2</c:v>
                </c:pt>
                <c:pt idx="11">
                  <c:v>2.0836152076850193E-2</c:v>
                </c:pt>
              </c:numCache>
            </c:numRef>
          </c:val>
          <c:smooth val="0"/>
          <c:extLst>
            <c:ext xmlns:c16="http://schemas.microsoft.com/office/drawing/2014/chart" uri="{C3380CC4-5D6E-409C-BE32-E72D297353CC}">
              <c16:uniqueId val="{00000000-3DC2-4E11-AD75-474C6CA6A995}"/>
            </c:ext>
          </c:extLst>
        </c:ser>
        <c:ser>
          <c:idx val="1"/>
          <c:order val="1"/>
          <c:tx>
            <c:strRef>
              <c:f>'Insight 4'!$C$23:$C$24</c:f>
              <c:strCache>
                <c:ptCount val="2"/>
                <c:pt idx="0">
                  <c:v>Healthcare</c:v>
                </c:pt>
              </c:strCache>
            </c:strRef>
          </c:tx>
          <c:spPr>
            <a:ln w="28575" cap="rnd">
              <a:solidFill>
                <a:schemeClr val="accent2"/>
              </a:solidFill>
              <a:round/>
            </a:ln>
            <a:effectLst/>
          </c:spPr>
          <c:marker>
            <c:symbol val="none"/>
          </c:marker>
          <c:cat>
            <c:strRef>
              <c:f>'Insight 4'!$A$25:$A$36</c:f>
              <c:strCache>
                <c:ptCount val="12"/>
                <c:pt idx="0">
                  <c:v>October</c:v>
                </c:pt>
                <c:pt idx="1">
                  <c:v>November</c:v>
                </c:pt>
                <c:pt idx="2">
                  <c:v>December</c:v>
                </c:pt>
                <c:pt idx="3">
                  <c:v>January</c:v>
                </c:pt>
                <c:pt idx="4">
                  <c:v>February</c:v>
                </c:pt>
                <c:pt idx="5">
                  <c:v>March</c:v>
                </c:pt>
                <c:pt idx="6">
                  <c:v>April</c:v>
                </c:pt>
                <c:pt idx="7">
                  <c:v>May</c:v>
                </c:pt>
                <c:pt idx="8">
                  <c:v>June</c:v>
                </c:pt>
                <c:pt idx="9">
                  <c:v>July</c:v>
                </c:pt>
                <c:pt idx="10">
                  <c:v>August</c:v>
                </c:pt>
                <c:pt idx="11">
                  <c:v>September</c:v>
                </c:pt>
              </c:strCache>
            </c:strRef>
          </c:cat>
          <c:val>
            <c:numRef>
              <c:f>'Insight 4'!$C$25:$C$36</c:f>
              <c:numCache>
                <c:formatCode>General</c:formatCode>
                <c:ptCount val="12"/>
                <c:pt idx="0">
                  <c:v>2.4328081556996167E-3</c:v>
                </c:pt>
                <c:pt idx="1">
                  <c:v>2.773604530220838E-3</c:v>
                </c:pt>
                <c:pt idx="2">
                  <c:v>2.1896968998501524E-3</c:v>
                </c:pt>
                <c:pt idx="3">
                  <c:v>9.1996320147194107E-3</c:v>
                </c:pt>
                <c:pt idx="4">
                  <c:v>5.6973564266180488E-3</c:v>
                </c:pt>
                <c:pt idx="5">
                  <c:v>7.931112621799229E-3</c:v>
                </c:pt>
                <c:pt idx="6">
                  <c:v>-4.6762589928057196E-3</c:v>
                </c:pt>
                <c:pt idx="7">
                  <c:v>-1.8973617636430064E-3</c:v>
                </c:pt>
                <c:pt idx="8">
                  <c:v>3.4175099385616178E-2</c:v>
                </c:pt>
                <c:pt idx="9">
                  <c:v>3.614103376482309E-2</c:v>
                </c:pt>
                <c:pt idx="10">
                  <c:v>1.0811401113901907E-2</c:v>
                </c:pt>
                <c:pt idx="11">
                  <c:v>2.6864693676968338E-2</c:v>
                </c:pt>
              </c:numCache>
            </c:numRef>
          </c:val>
          <c:smooth val="0"/>
          <c:extLst>
            <c:ext xmlns:c16="http://schemas.microsoft.com/office/drawing/2014/chart" uri="{C3380CC4-5D6E-409C-BE32-E72D297353CC}">
              <c16:uniqueId val="{00000001-3DC2-4E11-AD75-474C6CA6A995}"/>
            </c:ext>
          </c:extLst>
        </c:ser>
        <c:ser>
          <c:idx val="2"/>
          <c:order val="2"/>
          <c:tx>
            <c:strRef>
              <c:f>'Insight 4'!$D$23:$D$24</c:f>
              <c:strCache>
                <c:ptCount val="2"/>
                <c:pt idx="0">
                  <c:v>Essential service</c:v>
                </c:pt>
              </c:strCache>
            </c:strRef>
          </c:tx>
          <c:spPr>
            <a:ln w="28575" cap="rnd">
              <a:solidFill>
                <a:schemeClr val="accent3"/>
              </a:solidFill>
              <a:round/>
            </a:ln>
            <a:effectLst/>
          </c:spPr>
          <c:marker>
            <c:symbol val="none"/>
          </c:marker>
          <c:cat>
            <c:strRef>
              <c:f>'Insight 4'!$A$25:$A$36</c:f>
              <c:strCache>
                <c:ptCount val="12"/>
                <c:pt idx="0">
                  <c:v>October</c:v>
                </c:pt>
                <c:pt idx="1">
                  <c:v>November</c:v>
                </c:pt>
                <c:pt idx="2">
                  <c:v>December</c:v>
                </c:pt>
                <c:pt idx="3">
                  <c:v>January</c:v>
                </c:pt>
                <c:pt idx="4">
                  <c:v>February</c:v>
                </c:pt>
                <c:pt idx="5">
                  <c:v>March</c:v>
                </c:pt>
                <c:pt idx="6">
                  <c:v>April</c:v>
                </c:pt>
                <c:pt idx="7">
                  <c:v>May</c:v>
                </c:pt>
                <c:pt idx="8">
                  <c:v>June</c:v>
                </c:pt>
                <c:pt idx="9">
                  <c:v>July</c:v>
                </c:pt>
                <c:pt idx="10">
                  <c:v>August</c:v>
                </c:pt>
                <c:pt idx="11">
                  <c:v>September</c:v>
                </c:pt>
              </c:strCache>
            </c:strRef>
          </c:cat>
          <c:val>
            <c:numRef>
              <c:f>'Insight 4'!$D$25:$D$36</c:f>
              <c:numCache>
                <c:formatCode>General</c:formatCode>
                <c:ptCount val="12"/>
                <c:pt idx="0">
                  <c:v>3.0384100898145682E-3</c:v>
                </c:pt>
                <c:pt idx="1">
                  <c:v>3.4864447789060915E-3</c:v>
                </c:pt>
                <c:pt idx="2">
                  <c:v>4.1957776427704215E-3</c:v>
                </c:pt>
                <c:pt idx="3">
                  <c:v>4.5752746110070928E-3</c:v>
                </c:pt>
                <c:pt idx="4">
                  <c:v>3.8769172861579681E-3</c:v>
                </c:pt>
                <c:pt idx="5">
                  <c:v>3.3370203033312594E-3</c:v>
                </c:pt>
                <c:pt idx="6">
                  <c:v>-2.8139539229057888E-3</c:v>
                </c:pt>
                <c:pt idx="7">
                  <c:v>-4.6469446339040947E-4</c:v>
                </c:pt>
                <c:pt idx="8">
                  <c:v>1.970454426214761E-2</c:v>
                </c:pt>
                <c:pt idx="9">
                  <c:v>2.0178615616493888E-2</c:v>
                </c:pt>
                <c:pt idx="10">
                  <c:v>5.2737963983829142E-3</c:v>
                </c:pt>
                <c:pt idx="11">
                  <c:v>1.0437339213524473E-2</c:v>
                </c:pt>
              </c:numCache>
            </c:numRef>
          </c:val>
          <c:smooth val="0"/>
          <c:extLst>
            <c:ext xmlns:c16="http://schemas.microsoft.com/office/drawing/2014/chart" uri="{C3380CC4-5D6E-409C-BE32-E72D297353CC}">
              <c16:uniqueId val="{00000002-3DC2-4E11-AD75-474C6CA6A995}"/>
            </c:ext>
          </c:extLst>
        </c:ser>
        <c:dLbls>
          <c:showLegendKey val="0"/>
          <c:showVal val="0"/>
          <c:showCatName val="0"/>
          <c:showSerName val="0"/>
          <c:showPercent val="0"/>
          <c:showBubbleSize val="0"/>
        </c:dLbls>
        <c:smooth val="0"/>
        <c:axId val="553246912"/>
        <c:axId val="553247872"/>
      </c:lineChart>
      <c:catAx>
        <c:axId val="55324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47872"/>
        <c:crosses val="autoZero"/>
        <c:auto val="1"/>
        <c:lblAlgn val="ctr"/>
        <c:lblOffset val="100"/>
        <c:noMultiLvlLbl val="0"/>
      </c:catAx>
      <c:valAx>
        <c:axId val="55324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46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'Insight 4'!$A$21</c:f>
              <c:strCache>
                <c:ptCount val="1"/>
                <c:pt idx="0">
                  <c:v>Effect</c:v>
                </c:pt>
              </c:strCache>
            </c:strRef>
          </c:tx>
          <c:spPr>
            <a:solidFill>
              <a:schemeClr val="accent1"/>
            </a:solidFill>
            <a:ln>
              <a:noFill/>
            </a:ln>
            <a:effectLst/>
          </c:spPr>
          <c:invertIfNegative val="0"/>
          <c:cat>
            <c:strRef>
              <c:f>'Insight 4'!$B$20:$D$20</c:f>
              <c:strCache>
                <c:ptCount val="3"/>
                <c:pt idx="0">
                  <c:v>Food</c:v>
                </c:pt>
                <c:pt idx="1">
                  <c:v>Healthcare</c:v>
                </c:pt>
                <c:pt idx="2">
                  <c:v>Essential Services</c:v>
                </c:pt>
              </c:strCache>
            </c:strRef>
          </c:cat>
          <c:val>
            <c:numRef>
              <c:f>'Insight 4'!$B$21:$D$21</c:f>
              <c:numCache>
                <c:formatCode>0%</c:formatCode>
                <c:ptCount val="3"/>
                <c:pt idx="0">
                  <c:v>0.42</c:v>
                </c:pt>
                <c:pt idx="1">
                  <c:v>0.09</c:v>
                </c:pt>
                <c:pt idx="2">
                  <c:v>0.08</c:v>
                </c:pt>
              </c:numCache>
            </c:numRef>
          </c:val>
          <c:extLst>
            <c:ext xmlns:c16="http://schemas.microsoft.com/office/drawing/2014/chart" uri="{C3380CC4-5D6E-409C-BE32-E72D297353CC}">
              <c16:uniqueId val="{00000000-15D9-4545-AC24-1763CAFD363B}"/>
            </c:ext>
          </c:extLst>
        </c:ser>
        <c:dLbls>
          <c:showLegendKey val="0"/>
          <c:showVal val="0"/>
          <c:showCatName val="0"/>
          <c:showSerName val="0"/>
          <c:showPercent val="0"/>
          <c:showBubbleSize val="0"/>
        </c:dLbls>
        <c:gapWidth val="182"/>
        <c:axId val="816112912"/>
        <c:axId val="816113872"/>
      </c:barChart>
      <c:catAx>
        <c:axId val="81611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113872"/>
        <c:crosses val="autoZero"/>
        <c:auto val="1"/>
        <c:lblAlgn val="ctr"/>
        <c:lblOffset val="100"/>
        <c:noMultiLvlLbl val="0"/>
      </c:catAx>
      <c:valAx>
        <c:axId val="8161138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1129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Correlation</a:t>
            </a:r>
          </a:p>
        </c:rich>
      </c:tx>
      <c:layout>
        <c:manualLayout>
          <c:xMode val="edge"/>
          <c:yMode val="edge"/>
          <c:x val="0.42603537430955457"/>
          <c:y val="4.82872270474473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'Insight 5'!$I$3</c:f>
              <c:strCache>
                <c:ptCount val="1"/>
                <c:pt idx="0">
                  <c:v>Indexs Excep Energy</c:v>
                </c:pt>
              </c:strCache>
            </c:strRef>
          </c:tx>
          <c:spPr>
            <a:solidFill>
              <a:schemeClr val="accent1"/>
            </a:solidFill>
            <a:ln>
              <a:noFill/>
            </a:ln>
            <a:effectLst/>
          </c:spPr>
          <c:invertIfNegative val="0"/>
          <c:cat>
            <c:strRef>
              <c:f>'Insight 5'!$H$4:$H$35</c:f>
              <c:strCache>
                <c:ptCount val="32"/>
                <c:pt idx="0">
                  <c:v>2021</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pt idx="13">
                  <c:v>2022</c:v>
                </c:pt>
                <c:pt idx="14">
                  <c:v>January</c:v>
                </c:pt>
                <c:pt idx="15">
                  <c:v>February</c:v>
                </c:pt>
                <c:pt idx="16">
                  <c:v>March</c:v>
                </c:pt>
                <c:pt idx="17">
                  <c:v>April</c:v>
                </c:pt>
                <c:pt idx="18">
                  <c:v>May</c:v>
                </c:pt>
                <c:pt idx="19">
                  <c:v>June</c:v>
                </c:pt>
                <c:pt idx="20">
                  <c:v>July</c:v>
                </c:pt>
                <c:pt idx="21">
                  <c:v>August</c:v>
                </c:pt>
                <c:pt idx="22">
                  <c:v>September</c:v>
                </c:pt>
                <c:pt idx="23">
                  <c:v>October</c:v>
                </c:pt>
                <c:pt idx="24">
                  <c:v>November</c:v>
                </c:pt>
                <c:pt idx="25">
                  <c:v>December</c:v>
                </c:pt>
                <c:pt idx="26">
                  <c:v>2023</c:v>
                </c:pt>
                <c:pt idx="27">
                  <c:v>January</c:v>
                </c:pt>
                <c:pt idx="28">
                  <c:v>February</c:v>
                </c:pt>
                <c:pt idx="29">
                  <c:v>March</c:v>
                </c:pt>
                <c:pt idx="30">
                  <c:v>April</c:v>
                </c:pt>
                <c:pt idx="31">
                  <c:v>May</c:v>
                </c:pt>
              </c:strCache>
            </c:strRef>
          </c:cat>
          <c:val>
            <c:numRef>
              <c:f>'Insight 5'!$I$4:$I$35</c:f>
              <c:numCache>
                <c:formatCode>General</c:formatCode>
                <c:ptCount val="32"/>
                <c:pt idx="1">
                  <c:v>16510.600000000002</c:v>
                </c:pt>
                <c:pt idx="2">
                  <c:v>16507.800000000003</c:v>
                </c:pt>
                <c:pt idx="3">
                  <c:v>16544.400000000001</c:v>
                </c:pt>
                <c:pt idx="4">
                  <c:v>16663.699999999997</c:v>
                </c:pt>
                <c:pt idx="5">
                  <c:v>16961.899999999998</c:v>
                </c:pt>
                <c:pt idx="6">
                  <c:v>17052.300000000003</c:v>
                </c:pt>
                <c:pt idx="7">
                  <c:v>17155.400000000001</c:v>
                </c:pt>
                <c:pt idx="8">
                  <c:v>17209.599999999999</c:v>
                </c:pt>
                <c:pt idx="9">
                  <c:v>17228</c:v>
                </c:pt>
                <c:pt idx="10">
                  <c:v>17393.599999999999</c:v>
                </c:pt>
                <c:pt idx="11">
                  <c:v>17497.300000000003</c:v>
                </c:pt>
                <c:pt idx="12">
                  <c:v>17498.2</c:v>
                </c:pt>
                <c:pt idx="14">
                  <c:v>17496.900000000001</c:v>
                </c:pt>
                <c:pt idx="15">
                  <c:v>17553.099999999999</c:v>
                </c:pt>
                <c:pt idx="16">
                  <c:v>17702.800000000003</c:v>
                </c:pt>
                <c:pt idx="17">
                  <c:v>17911.900000000001</c:v>
                </c:pt>
                <c:pt idx="18">
                  <c:v>18057.7</c:v>
                </c:pt>
                <c:pt idx="19">
                  <c:v>18181.5</c:v>
                </c:pt>
                <c:pt idx="20">
                  <c:v>18274.5</c:v>
                </c:pt>
                <c:pt idx="21">
                  <c:v>18333.099999999999</c:v>
                </c:pt>
                <c:pt idx="22">
                  <c:v>18426</c:v>
                </c:pt>
                <c:pt idx="23">
                  <c:v>18529.3</c:v>
                </c:pt>
                <c:pt idx="24">
                  <c:v>18576.099999999999</c:v>
                </c:pt>
                <c:pt idx="25">
                  <c:v>18585.5</c:v>
                </c:pt>
                <c:pt idx="27">
                  <c:v>18671.599999999999</c:v>
                </c:pt>
                <c:pt idx="28">
                  <c:v>18714.5</c:v>
                </c:pt>
                <c:pt idx="29">
                  <c:v>18713.7</c:v>
                </c:pt>
                <c:pt idx="30">
                  <c:v>18803.7</c:v>
                </c:pt>
                <c:pt idx="31">
                  <c:v>18897</c:v>
                </c:pt>
              </c:numCache>
            </c:numRef>
          </c:val>
          <c:extLst>
            <c:ext xmlns:c16="http://schemas.microsoft.com/office/drawing/2014/chart" uri="{C3380CC4-5D6E-409C-BE32-E72D297353CC}">
              <c16:uniqueId val="{00000000-66E2-4A9F-BC3A-12C9CF3DA7EB}"/>
            </c:ext>
          </c:extLst>
        </c:ser>
        <c:dLbls>
          <c:showLegendKey val="0"/>
          <c:showVal val="0"/>
          <c:showCatName val="0"/>
          <c:showSerName val="0"/>
          <c:showPercent val="0"/>
          <c:showBubbleSize val="0"/>
        </c:dLbls>
        <c:gapWidth val="219"/>
        <c:overlap val="-27"/>
        <c:axId val="875190704"/>
        <c:axId val="875185904"/>
      </c:barChart>
      <c:lineChart>
        <c:grouping val="standard"/>
        <c:varyColors val="0"/>
        <c:ser>
          <c:idx val="1"/>
          <c:order val="1"/>
          <c:tx>
            <c:strRef>
              <c:f>'Insight 5'!$J$3</c:f>
              <c:strCache>
                <c:ptCount val="1"/>
                <c:pt idx="0">
                  <c:v>Correlation with Oil Prices</c:v>
                </c:pt>
              </c:strCache>
            </c:strRef>
          </c:tx>
          <c:spPr>
            <a:ln w="28575" cap="rnd">
              <a:solidFill>
                <a:schemeClr val="accent2"/>
              </a:solidFill>
              <a:round/>
            </a:ln>
            <a:effectLst/>
          </c:spPr>
          <c:marker>
            <c:symbol val="none"/>
          </c:marker>
          <c:cat>
            <c:strRef>
              <c:f>'Insight 5'!$H$4:$H$35</c:f>
              <c:strCache>
                <c:ptCount val="32"/>
                <c:pt idx="0">
                  <c:v>2021</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pt idx="13">
                  <c:v>2022</c:v>
                </c:pt>
                <c:pt idx="14">
                  <c:v>January</c:v>
                </c:pt>
                <c:pt idx="15">
                  <c:v>February</c:v>
                </c:pt>
                <c:pt idx="16">
                  <c:v>March</c:v>
                </c:pt>
                <c:pt idx="17">
                  <c:v>April</c:v>
                </c:pt>
                <c:pt idx="18">
                  <c:v>May</c:v>
                </c:pt>
                <c:pt idx="19">
                  <c:v>June</c:v>
                </c:pt>
                <c:pt idx="20">
                  <c:v>July</c:v>
                </c:pt>
                <c:pt idx="21">
                  <c:v>August</c:v>
                </c:pt>
                <c:pt idx="22">
                  <c:v>September</c:v>
                </c:pt>
                <c:pt idx="23">
                  <c:v>October</c:v>
                </c:pt>
                <c:pt idx="24">
                  <c:v>November</c:v>
                </c:pt>
                <c:pt idx="25">
                  <c:v>December</c:v>
                </c:pt>
                <c:pt idx="26">
                  <c:v>2023</c:v>
                </c:pt>
                <c:pt idx="27">
                  <c:v>January</c:v>
                </c:pt>
                <c:pt idx="28">
                  <c:v>February</c:v>
                </c:pt>
                <c:pt idx="29">
                  <c:v>March</c:v>
                </c:pt>
                <c:pt idx="30">
                  <c:v>April</c:v>
                </c:pt>
                <c:pt idx="31">
                  <c:v>May</c:v>
                </c:pt>
              </c:strCache>
            </c:strRef>
          </c:cat>
          <c:val>
            <c:numRef>
              <c:f>'Insight 5'!$J$4:$J$35</c:f>
              <c:numCache>
                <c:formatCode>0.00</c:formatCode>
                <c:ptCount val="32"/>
                <c:pt idx="1">
                  <c:v>0.90242272642686183</c:v>
                </c:pt>
                <c:pt idx="2">
                  <c:v>0.89293044807755184</c:v>
                </c:pt>
                <c:pt idx="3">
                  <c:v>0.85790379639331915</c:v>
                </c:pt>
                <c:pt idx="4">
                  <c:v>0.84277311464575755</c:v>
                </c:pt>
                <c:pt idx="5">
                  <c:v>0.744999780636738</c:v>
                </c:pt>
                <c:pt idx="6">
                  <c:v>0.80685124928988317</c:v>
                </c:pt>
                <c:pt idx="7">
                  <c:v>0.91322463580948854</c:v>
                </c:pt>
                <c:pt idx="8">
                  <c:v>0.9385753318222394</c:v>
                </c:pt>
                <c:pt idx="9">
                  <c:v>0.94203501616171326</c:v>
                </c:pt>
                <c:pt idx="10">
                  <c:v>0.9394759464148833</c:v>
                </c:pt>
                <c:pt idx="11">
                  <c:v>0.90574936041052589</c:v>
                </c:pt>
                <c:pt idx="12">
                  <c:v>0.82465198159766284</c:v>
                </c:pt>
                <c:pt idx="14">
                  <c:v>-0.27483982649308725</c:v>
                </c:pt>
                <c:pt idx="15">
                  <c:v>-0.55956971932830535</c:v>
                </c:pt>
                <c:pt idx="16">
                  <c:v>-0.8092873097124853</c:v>
                </c:pt>
                <c:pt idx="17">
                  <c:v>-0.79568711373207879</c:v>
                </c:pt>
                <c:pt idx="18">
                  <c:v>-0.91500998989177562</c:v>
                </c:pt>
                <c:pt idx="19">
                  <c:v>0.66746108927717585</c:v>
                </c:pt>
                <c:pt idx="20">
                  <c:v>0.84534329179572321</c:v>
                </c:pt>
                <c:pt idx="21">
                  <c:v>0.88281986516546529</c:v>
                </c:pt>
                <c:pt idx="22">
                  <c:v>0.93281821012424815</c:v>
                </c:pt>
                <c:pt idx="23">
                  <c:v>0.9707160471978703</c:v>
                </c:pt>
                <c:pt idx="24">
                  <c:v>0.97265075664995748</c:v>
                </c:pt>
                <c:pt idx="25">
                  <c:v>0.95908180788419295</c:v>
                </c:pt>
                <c:pt idx="27">
                  <c:v>1</c:v>
                </c:pt>
                <c:pt idx="28">
                  <c:v>1</c:v>
                </c:pt>
                <c:pt idx="29">
                  <c:v>1</c:v>
                </c:pt>
                <c:pt idx="30">
                  <c:v>1</c:v>
                </c:pt>
                <c:pt idx="31">
                  <c:v>0.93</c:v>
                </c:pt>
              </c:numCache>
            </c:numRef>
          </c:val>
          <c:smooth val="0"/>
          <c:extLst>
            <c:ext xmlns:c16="http://schemas.microsoft.com/office/drawing/2014/chart" uri="{C3380CC4-5D6E-409C-BE32-E72D297353CC}">
              <c16:uniqueId val="{00000001-66E2-4A9F-BC3A-12C9CF3DA7EB}"/>
            </c:ext>
          </c:extLst>
        </c:ser>
        <c:dLbls>
          <c:showLegendKey val="0"/>
          <c:showVal val="0"/>
          <c:showCatName val="0"/>
          <c:showSerName val="0"/>
          <c:showPercent val="0"/>
          <c:showBubbleSize val="0"/>
        </c:dLbls>
        <c:marker val="1"/>
        <c:smooth val="0"/>
        <c:axId val="875199824"/>
        <c:axId val="875199344"/>
      </c:lineChart>
      <c:catAx>
        <c:axId val="87519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85904"/>
        <c:crosses val="autoZero"/>
        <c:auto val="1"/>
        <c:lblAlgn val="ctr"/>
        <c:lblOffset val="100"/>
        <c:noMultiLvlLbl val="0"/>
      </c:catAx>
      <c:valAx>
        <c:axId val="87518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90704"/>
        <c:crosses val="autoZero"/>
        <c:crossBetween val="between"/>
      </c:valAx>
      <c:valAx>
        <c:axId val="87519934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99824"/>
        <c:crosses val="max"/>
        <c:crossBetween val="between"/>
      </c:valAx>
      <c:catAx>
        <c:axId val="875199824"/>
        <c:scaling>
          <c:orientation val="minMax"/>
        </c:scaling>
        <c:delete val="1"/>
        <c:axPos val="b"/>
        <c:numFmt formatCode="General" sourceLinked="1"/>
        <c:majorTickMark val="none"/>
        <c:minorTickMark val="none"/>
        <c:tickLblPos val="nextTo"/>
        <c:crossAx val="8751993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180975</xdr:rowOff>
    </xdr:from>
    <xdr:to>
      <xdr:col>14</xdr:col>
      <xdr:colOff>314325</xdr:colOff>
      <xdr:row>12</xdr:row>
      <xdr:rowOff>76200</xdr:rowOff>
    </xdr:to>
    <xdr:sp macro="" textlink="">
      <xdr:nvSpPr>
        <xdr:cNvPr id="2" name="TextBox 1">
          <a:extLst>
            <a:ext uri="{FF2B5EF4-FFF2-40B4-BE49-F238E27FC236}">
              <a16:creationId xmlns:a16="http://schemas.microsoft.com/office/drawing/2014/main" id="{C0CC68E0-3319-183D-AC60-06786C7EE675}"/>
            </a:ext>
          </a:extLst>
        </xdr:cNvPr>
        <xdr:cNvSpPr txBox="1"/>
      </xdr:nvSpPr>
      <xdr:spPr>
        <a:xfrm>
          <a:off x="609600" y="371475"/>
          <a:ext cx="8239125" cy="204787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a:t>
          </a:r>
          <a:r>
            <a:rPr lang="en-US" sz="1400" u="sng"/>
            <a:t>Data Cleaning</a:t>
          </a:r>
        </a:p>
        <a:p>
          <a:r>
            <a:rPr lang="en-US" sz="1200" u="none"/>
            <a:t>1.</a:t>
          </a:r>
          <a:r>
            <a:rPr lang="en-US" sz="1200" u="none" baseline="0"/>
            <a:t> Lot Dataset in PowerQuery and done Data Cleaning.</a:t>
          </a:r>
        </a:p>
        <a:p>
          <a:r>
            <a:rPr lang="en-US" sz="1200" u="none" baseline="0"/>
            <a:t>2. Replace incorrect values in month column, Marcrh to March.</a:t>
          </a:r>
        </a:p>
        <a:p>
          <a:r>
            <a:rPr lang="en-US" sz="1200" u="none" baseline="0"/>
            <a:t>3. Reorder all index column, according to categorization.</a:t>
          </a:r>
        </a:p>
        <a:p>
          <a:r>
            <a:rPr lang="en-US" sz="1200" u="none" baseline="0"/>
            <a:t>4. Merge Month and Year column to one</a:t>
          </a:r>
        </a:p>
        <a:p>
          <a:r>
            <a:rPr lang="en-US" sz="1200" u="none" baseline="0"/>
            <a:t>5. Create Six Boader of all indexs, name called Food, Clothing &amp; Footwear, Essential Services, Energy, Healthcare, Luxury &amp; other.</a:t>
          </a:r>
        </a:p>
        <a:p>
          <a:r>
            <a:rPr lang="en-US" sz="1200" u="none" baseline="0"/>
            <a:t>6. Make column for Sum, Average, Mode, Standard Deviation for better understanding.</a:t>
          </a:r>
        </a:p>
        <a:p>
          <a:r>
            <a:rPr lang="en-US" sz="1200" u="none" baseline="0"/>
            <a:t>7. Handle NA &amp; - values.</a:t>
          </a:r>
        </a:p>
        <a:p>
          <a:r>
            <a:rPr lang="en-US" sz="1200" u="none" baseline="0"/>
            <a:t>8. NA value use moving average in such way that Diversity should be maintain.</a:t>
          </a:r>
        </a:p>
        <a:p>
          <a:r>
            <a:rPr lang="en-US" sz="1200" u="none" baseline="0"/>
            <a:t>9. For that using last three months average rather than whole index column average.</a:t>
          </a:r>
        </a:p>
        <a:p>
          <a:endParaRPr lang="en-US" sz="1200" u="none"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295275</xdr:colOff>
      <xdr:row>1</xdr:row>
      <xdr:rowOff>123825</xdr:rowOff>
    </xdr:from>
    <xdr:to>
      <xdr:col>9</xdr:col>
      <xdr:colOff>504825</xdr:colOff>
      <xdr:row>16</xdr:row>
      <xdr:rowOff>161925</xdr:rowOff>
    </xdr:to>
    <xdr:sp macro="" textlink="">
      <xdr:nvSpPr>
        <xdr:cNvPr id="2" name="TextBox 1">
          <a:extLst>
            <a:ext uri="{FF2B5EF4-FFF2-40B4-BE49-F238E27FC236}">
              <a16:creationId xmlns:a16="http://schemas.microsoft.com/office/drawing/2014/main" id="{E6D31EE1-0CB7-0B2C-2E76-4DBDBFA0D7D3}"/>
            </a:ext>
          </a:extLst>
        </xdr:cNvPr>
        <xdr:cNvSpPr txBox="1"/>
      </xdr:nvSpPr>
      <xdr:spPr>
        <a:xfrm>
          <a:off x="295275" y="314325"/>
          <a:ext cx="5695950" cy="28956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u="sng"/>
            <a:t>Problem</a:t>
          </a:r>
          <a:r>
            <a:rPr lang="en-US" sz="1400" u="sng" baseline="0"/>
            <a:t> </a:t>
          </a:r>
          <a:r>
            <a:rPr lang="en-US" sz="1400" u="sng"/>
            <a:t>1</a:t>
          </a:r>
          <a:r>
            <a:rPr lang="en-US" sz="1400"/>
            <a:t>.</a:t>
          </a:r>
        </a:p>
        <a:p>
          <a:r>
            <a:rPr lang="en-US" sz="1400"/>
            <a:t>             Based</a:t>
          </a:r>
          <a:r>
            <a:rPr lang="en-US" sz="1400" baseline="0"/>
            <a:t> on the </a:t>
          </a:r>
          <a:r>
            <a:rPr lang="en-US" sz="1400" b="1" baseline="0"/>
            <a:t>latest</a:t>
          </a:r>
          <a:r>
            <a:rPr lang="en-US" sz="1400" b="0" baseline="0"/>
            <a:t> month's data, identify the contribution of different broader categories (Food, Engery, Transportation, Education, etc.) towards the CPI basket. Broader categories (buckets) can be created by combining similar categories into one bucket; Ex: Meals, Beverages, Cereals, can be clubbed to create "Food" category, etc.</a:t>
          </a:r>
        </a:p>
        <a:p>
          <a:endParaRPr lang="en-US" sz="1400" b="0" baseline="0"/>
        </a:p>
        <a:p>
          <a:r>
            <a:rPr lang="en-US" sz="1400" b="0" baseline="0"/>
            <a:t>* Which broader category has the highest contribution towards CPI calculation.</a:t>
          </a:r>
        </a:p>
        <a:p>
          <a:endParaRPr lang="en-US" sz="1400" b="0" baseline="0"/>
        </a:p>
        <a:p>
          <a:r>
            <a:rPr lang="en-US" sz="1400" b="0" baseline="0"/>
            <a:t>* Contribution is calculated by evaluting the uderlying index values for broader category and should add to 100% when contribution from different broader categories are added.</a:t>
          </a:r>
        </a:p>
      </xdr:txBody>
    </xdr:sp>
    <xdr:clientData/>
  </xdr:twoCellAnchor>
  <xdr:twoCellAnchor>
    <xdr:from>
      <xdr:col>10</xdr:col>
      <xdr:colOff>400050</xdr:colOff>
      <xdr:row>1</xdr:row>
      <xdr:rowOff>133350</xdr:rowOff>
    </xdr:from>
    <xdr:to>
      <xdr:col>20</xdr:col>
      <xdr:colOff>304800</xdr:colOff>
      <xdr:row>18</xdr:row>
      <xdr:rowOff>114300</xdr:rowOff>
    </xdr:to>
    <xdr:sp macro="" textlink="">
      <xdr:nvSpPr>
        <xdr:cNvPr id="3" name="TextBox 2">
          <a:extLst>
            <a:ext uri="{FF2B5EF4-FFF2-40B4-BE49-F238E27FC236}">
              <a16:creationId xmlns:a16="http://schemas.microsoft.com/office/drawing/2014/main" id="{E4F688E2-5A14-C5D6-F8C8-6041BF859557}"/>
            </a:ext>
          </a:extLst>
        </xdr:cNvPr>
        <xdr:cNvSpPr txBox="1"/>
      </xdr:nvSpPr>
      <xdr:spPr>
        <a:xfrm>
          <a:off x="6496050" y="323850"/>
          <a:ext cx="6000750" cy="321945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u="sng"/>
            <a:t>Analyses:</a:t>
          </a:r>
          <a:r>
            <a:rPr lang="en-US" sz="1400" u="sng" baseline="0"/>
            <a:t> </a:t>
          </a:r>
        </a:p>
        <a:p>
          <a:endParaRPr lang="en-US" sz="1400" baseline="0"/>
        </a:p>
        <a:p>
          <a:r>
            <a:rPr lang="en-US" sz="1400" baseline="0"/>
            <a:t>1.  For that Problem use Table 1 Dataset (after cleaning). </a:t>
          </a:r>
        </a:p>
        <a:p>
          <a:r>
            <a:rPr lang="en-US" sz="1400" b="0" baseline="0"/>
            <a:t>2.  In that created six boader categories which are food, cloting &amp; footwear, Essential services, Energy, Healthcare, Luxury &amp; other things.</a:t>
          </a:r>
        </a:p>
        <a:p>
          <a:r>
            <a:rPr lang="en-US" sz="1400" b="0" baseline="0"/>
            <a:t>3.  Also add another column which sum of all Index categories for Reference.</a:t>
          </a:r>
        </a:p>
        <a:p>
          <a:r>
            <a:rPr lang="en-US" sz="1400" b="0" baseline="0"/>
            <a:t>4.  Create pivot table of by selecting Month, Year as filter and six categories as index values.</a:t>
          </a:r>
        </a:p>
        <a:p>
          <a:r>
            <a:rPr lang="en-US" sz="1400" b="0" baseline="0"/>
            <a:t>5.  filter out the lastest months of 2023 and create table with highlights.</a:t>
          </a:r>
        </a:p>
        <a:p>
          <a:r>
            <a:rPr lang="en-US" sz="1400" b="0" baseline="0"/>
            <a:t>6.  In Insight 1 sheet create Pie chart for clearing the Contribution of all categories.</a:t>
          </a:r>
        </a:p>
        <a:p>
          <a:r>
            <a:rPr lang="en-US" sz="1400" b="0" baseline="0"/>
            <a:t>7.  Also create an Trendline chart for all index column to showcase the trend of inflation in that particular peroid of time.</a:t>
          </a:r>
        </a:p>
        <a:p>
          <a:endParaRPr lang="en-US" sz="1400" b="0" baseline="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47625</xdr:colOff>
      <xdr:row>0</xdr:row>
      <xdr:rowOff>180975</xdr:rowOff>
    </xdr:from>
    <xdr:to>
      <xdr:col>12</xdr:col>
      <xdr:colOff>981075</xdr:colOff>
      <xdr:row>22</xdr:row>
      <xdr:rowOff>66675</xdr:rowOff>
    </xdr:to>
    <xdr:graphicFrame macro="">
      <xdr:nvGraphicFramePr>
        <xdr:cNvPr id="3" name="Chart 2">
          <a:extLst>
            <a:ext uri="{FF2B5EF4-FFF2-40B4-BE49-F238E27FC236}">
              <a16:creationId xmlns:a16="http://schemas.microsoft.com/office/drawing/2014/main" id="{49BED46D-B70B-511D-A699-DA46498DD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514350</xdr:colOff>
      <xdr:row>1</xdr:row>
      <xdr:rowOff>9524</xdr:rowOff>
    </xdr:from>
    <xdr:to>
      <xdr:col>26</xdr:col>
      <xdr:colOff>76200</xdr:colOff>
      <xdr:row>18</xdr:row>
      <xdr:rowOff>66675</xdr:rowOff>
    </xdr:to>
    <xdr:sp macro="" textlink="">
      <xdr:nvSpPr>
        <xdr:cNvPr id="4" name="TextBox 3">
          <a:extLst>
            <a:ext uri="{FF2B5EF4-FFF2-40B4-BE49-F238E27FC236}">
              <a16:creationId xmlns:a16="http://schemas.microsoft.com/office/drawing/2014/main" id="{92AD606E-447F-AA56-EBFA-9643D2B017A4}"/>
            </a:ext>
          </a:extLst>
        </xdr:cNvPr>
        <xdr:cNvSpPr txBox="1"/>
      </xdr:nvSpPr>
      <xdr:spPr>
        <a:xfrm>
          <a:off x="15649575" y="200024"/>
          <a:ext cx="3829050" cy="3295651"/>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t>INSIGHTS:</a:t>
          </a:r>
        </a:p>
        <a:p>
          <a:endParaRPr lang="en-US" sz="1400" b="1" u="sng"/>
        </a:p>
        <a:p>
          <a:r>
            <a:rPr lang="en-US" sz="1200" b="0" u="none"/>
            <a:t>1.</a:t>
          </a:r>
          <a:r>
            <a:rPr lang="en-US" sz="1200" b="0" u="none" baseline="0"/>
            <a:t> Index value Contribution Pie Chart clearly show the Categories contribution across all.</a:t>
          </a:r>
        </a:p>
        <a:p>
          <a:r>
            <a:rPr lang="en-US" sz="1200" b="0" u="none" baseline="0"/>
            <a:t>2. The Data shows the month of Year 2025, which are Jan, Feb, Mar, April, May.</a:t>
          </a:r>
        </a:p>
        <a:p>
          <a:r>
            <a:rPr lang="en-US" sz="1200" b="0" u="none" baseline="0"/>
            <a:t>3. The Numerical Table reflect all Categories, index value, their contributions for the particular months</a:t>
          </a:r>
        </a:p>
        <a:p>
          <a:r>
            <a:rPr lang="en-US" sz="1200" b="0" u="none" baseline="0"/>
            <a:t>4. with Pie chart the contribution of </a:t>
          </a:r>
          <a:r>
            <a:rPr lang="en-US" sz="1200" b="1" u="none" baseline="0"/>
            <a:t>Food </a:t>
          </a:r>
          <a:r>
            <a:rPr lang="en-US" sz="1200" b="0" u="none" baseline="0"/>
            <a:t>categories is the </a:t>
          </a:r>
          <a:r>
            <a:rPr lang="en-US" sz="1200" b="1" u="none" baseline="0"/>
            <a:t>Highest</a:t>
          </a:r>
          <a:r>
            <a:rPr lang="en-US" sz="1200" b="0" u="none" baseline="0"/>
            <a:t> contribution over the particular peroid of CPI inflation.</a:t>
          </a:r>
        </a:p>
        <a:p>
          <a:r>
            <a:rPr lang="en-US" sz="1200" b="0" u="none"/>
            <a:t>5.</a:t>
          </a:r>
          <a:r>
            <a:rPr lang="en-US" sz="1200" b="0" u="none" baseline="0"/>
            <a:t> The another chart shows the All index value Trendline</a:t>
          </a:r>
        </a:p>
        <a:p>
          <a:r>
            <a:rPr lang="en-US" sz="1200" b="0" u="none" baseline="0"/>
            <a:t>over the period of time.</a:t>
          </a:r>
        </a:p>
        <a:p>
          <a:r>
            <a:rPr lang="en-US" sz="1200" b="0" u="none" baseline="0"/>
            <a:t>6. with that chart also clarify that all categories inflation rise with the months to months.</a:t>
          </a:r>
          <a:endParaRPr lang="en-US" sz="1200" b="0" u="none"/>
        </a:p>
      </xdr:txBody>
    </xdr:sp>
    <xdr:clientData/>
  </xdr:twoCellAnchor>
  <xdr:twoCellAnchor>
    <xdr:from>
      <xdr:col>12</xdr:col>
      <xdr:colOff>990600</xdr:colOff>
      <xdr:row>0</xdr:row>
      <xdr:rowOff>185737</xdr:rowOff>
    </xdr:from>
    <xdr:to>
      <xdr:col>19</xdr:col>
      <xdr:colOff>438150</xdr:colOff>
      <xdr:row>22</xdr:row>
      <xdr:rowOff>66675</xdr:rowOff>
    </xdr:to>
    <xdr:graphicFrame macro="">
      <xdr:nvGraphicFramePr>
        <xdr:cNvPr id="2" name="Chart 1">
          <a:extLst>
            <a:ext uri="{FF2B5EF4-FFF2-40B4-BE49-F238E27FC236}">
              <a16:creationId xmlns:a16="http://schemas.microsoft.com/office/drawing/2014/main" id="{16B75FAC-35E4-DB7E-9A5E-98CA7BD4D2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352425</xdr:colOff>
      <xdr:row>1</xdr:row>
      <xdr:rowOff>133350</xdr:rowOff>
    </xdr:from>
    <xdr:to>
      <xdr:col>10</xdr:col>
      <xdr:colOff>228600</xdr:colOff>
      <xdr:row>14</xdr:row>
      <xdr:rowOff>104775</xdr:rowOff>
    </xdr:to>
    <xdr:sp macro="" textlink="">
      <xdr:nvSpPr>
        <xdr:cNvPr id="2" name="TextBox 1">
          <a:extLst>
            <a:ext uri="{FF2B5EF4-FFF2-40B4-BE49-F238E27FC236}">
              <a16:creationId xmlns:a16="http://schemas.microsoft.com/office/drawing/2014/main" id="{BA7AF1EC-B633-DAA8-0FE4-E2C2E2FFF506}"/>
            </a:ext>
          </a:extLst>
        </xdr:cNvPr>
        <xdr:cNvSpPr txBox="1"/>
      </xdr:nvSpPr>
      <xdr:spPr>
        <a:xfrm>
          <a:off x="352425" y="323850"/>
          <a:ext cx="5972175" cy="24479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u="sng"/>
            <a:t>Problem</a:t>
          </a:r>
          <a:r>
            <a:rPr lang="en-US" sz="1400" u="sng" baseline="0"/>
            <a:t> 2.</a:t>
          </a:r>
          <a:endParaRPr lang="en-US" sz="1400" u="none" baseline="0"/>
        </a:p>
        <a:p>
          <a:r>
            <a:rPr lang="en-US" sz="1400" u="none" baseline="0"/>
            <a:t>                A trend of Y-o-Y increase in CPI  (rural + urban) inflation starting 2017 for the entire basket of products combined.</a:t>
          </a:r>
        </a:p>
        <a:p>
          <a:endParaRPr lang="en-US" sz="1400" u="none" baseline="0"/>
        </a:p>
        <a:p>
          <a:r>
            <a:rPr lang="en-US" sz="1400" u="none" baseline="0"/>
            <a:t>* Create a graph depicting the growth rate Y-o-Y and identify the year with highest inflation rate.</a:t>
          </a:r>
        </a:p>
        <a:p>
          <a:endParaRPr lang="en-US" sz="1400" u="none" baseline="0"/>
        </a:p>
        <a:p>
          <a:r>
            <a:rPr lang="en-US" sz="1400" u="none" baseline="0"/>
            <a:t>* Highlight the reason why the year has the highest inflation (based on research). </a:t>
          </a:r>
          <a:endParaRPr lang="en-US" sz="1400" u="sng" baseline="0"/>
        </a:p>
      </xdr:txBody>
    </xdr:sp>
    <xdr:clientData/>
  </xdr:twoCellAnchor>
  <xdr:twoCellAnchor>
    <xdr:from>
      <xdr:col>11</xdr:col>
      <xdr:colOff>38100</xdr:colOff>
      <xdr:row>1</xdr:row>
      <xdr:rowOff>152399</xdr:rowOff>
    </xdr:from>
    <xdr:to>
      <xdr:col>20</xdr:col>
      <xdr:colOff>19050</xdr:colOff>
      <xdr:row>19</xdr:row>
      <xdr:rowOff>114300</xdr:rowOff>
    </xdr:to>
    <xdr:sp macro="" textlink="">
      <xdr:nvSpPr>
        <xdr:cNvPr id="3" name="TextBox 2">
          <a:extLst>
            <a:ext uri="{FF2B5EF4-FFF2-40B4-BE49-F238E27FC236}">
              <a16:creationId xmlns:a16="http://schemas.microsoft.com/office/drawing/2014/main" id="{AF448C12-0BE8-20E3-370F-F3C68587C878}"/>
            </a:ext>
          </a:extLst>
        </xdr:cNvPr>
        <xdr:cNvSpPr txBox="1"/>
      </xdr:nvSpPr>
      <xdr:spPr>
        <a:xfrm>
          <a:off x="6743700" y="342899"/>
          <a:ext cx="5467350" cy="3390901"/>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u="sng"/>
            <a:t>Analyses</a:t>
          </a:r>
          <a:r>
            <a:rPr lang="en-US" sz="1400" u="sng" baseline="0"/>
            <a:t>:</a:t>
          </a:r>
        </a:p>
        <a:p>
          <a:endParaRPr lang="en-US" sz="1600" u="none" baseline="0"/>
        </a:p>
        <a:p>
          <a:r>
            <a:rPr lang="en-US" sz="1400" u="none"/>
            <a:t>1.</a:t>
          </a:r>
          <a:r>
            <a:rPr lang="en-US" sz="1400" u="none" baseline="0"/>
            <a:t>  A trend of Y-o-Y in CPI (rural + urban) sector inflation from 2017 to 2023 of all index categories.</a:t>
          </a:r>
        </a:p>
        <a:p>
          <a:r>
            <a:rPr lang="en-US" sz="1400" u="none" baseline="0"/>
            <a:t>2.  create pivot for years analyes of rural + urban sector only with CPI rates, also create another table to of the year with highest inflation, and their monthly data.</a:t>
          </a:r>
        </a:p>
        <a:p>
          <a:r>
            <a:rPr lang="en-US" sz="1400" u="none" baseline="0"/>
            <a:t>3.  create multiple multiple chart to showcase analyses which are Trend line analyses across all the categories through out years, CPI rate analyses on that peroid, rural and urban sector inflation comparison, highest inflation year month to month analyse and it cause.</a:t>
          </a:r>
        </a:p>
        <a:p>
          <a:r>
            <a:rPr lang="en-US" sz="1400" u="none" baseline="0"/>
            <a:t>4.  with supporting tables.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209550</xdr:colOff>
      <xdr:row>3</xdr:row>
      <xdr:rowOff>4762</xdr:rowOff>
    </xdr:from>
    <xdr:to>
      <xdr:col>12</xdr:col>
      <xdr:colOff>752475</xdr:colOff>
      <xdr:row>21</xdr:row>
      <xdr:rowOff>171450</xdr:rowOff>
    </xdr:to>
    <xdr:graphicFrame macro="">
      <xdr:nvGraphicFramePr>
        <xdr:cNvPr id="2" name="Chart 1">
          <a:extLst>
            <a:ext uri="{FF2B5EF4-FFF2-40B4-BE49-F238E27FC236}">
              <a16:creationId xmlns:a16="http://schemas.microsoft.com/office/drawing/2014/main" id="{AC32EEB9-CF56-8623-9A76-D4B593DC2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66675</xdr:colOff>
      <xdr:row>3</xdr:row>
      <xdr:rowOff>9525</xdr:rowOff>
    </xdr:from>
    <xdr:to>
      <xdr:col>36</xdr:col>
      <xdr:colOff>0</xdr:colOff>
      <xdr:row>22</xdr:row>
      <xdr:rowOff>0</xdr:rowOff>
    </xdr:to>
    <xdr:sp macro="" textlink="">
      <xdr:nvSpPr>
        <xdr:cNvPr id="3" name="TextBox 2">
          <a:extLst>
            <a:ext uri="{FF2B5EF4-FFF2-40B4-BE49-F238E27FC236}">
              <a16:creationId xmlns:a16="http://schemas.microsoft.com/office/drawing/2014/main" id="{BF2196BC-0CF6-B6CE-071F-CFE18A12ACBD}"/>
            </a:ext>
          </a:extLst>
        </xdr:cNvPr>
        <xdr:cNvSpPr txBox="1"/>
      </xdr:nvSpPr>
      <xdr:spPr>
        <a:xfrm>
          <a:off x="24317325" y="581025"/>
          <a:ext cx="4200525" cy="360997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a:t>Insights:</a:t>
          </a:r>
        </a:p>
        <a:p>
          <a:endParaRPr lang="en-US" sz="1200" b="1" u="sng"/>
        </a:p>
        <a:p>
          <a:r>
            <a:rPr lang="en-US" sz="1200" b="0" u="none"/>
            <a:t>1.</a:t>
          </a:r>
          <a:r>
            <a:rPr lang="en-US" sz="1200" b="0" u="none" baseline="0"/>
            <a:t> The Y-o-Y analyse of the rural + urban sector is well reflecting in Trend Line chart where </a:t>
          </a:r>
          <a:r>
            <a:rPr lang="en-US" sz="1200" b="1" u="none" baseline="0"/>
            <a:t>2022</a:t>
          </a:r>
          <a:r>
            <a:rPr lang="en-US" sz="1200" b="0" u="none" baseline="0"/>
            <a:t> is the year with Highest Inflation.</a:t>
          </a:r>
        </a:p>
        <a:p>
          <a:endParaRPr lang="en-US" sz="1200" b="0" u="none" baseline="0"/>
        </a:p>
        <a:p>
          <a:r>
            <a:rPr lang="en-US" sz="1200" b="0" u="none" baseline="0"/>
            <a:t>2. For more details also Tables reflect the some additionally information which like comparing inflation rate in rural and urban sector.</a:t>
          </a:r>
        </a:p>
        <a:p>
          <a:endParaRPr lang="en-US" sz="1200" b="0" u="none" baseline="0"/>
        </a:p>
        <a:p>
          <a:r>
            <a:rPr lang="en-US" sz="1200" b="0" u="none" baseline="0"/>
            <a:t>3. The Year 2022 is Highest Inflation thourgh the time peroid, reason is for the due to rise in the inflation rates of </a:t>
          </a:r>
          <a:r>
            <a:rPr lang="en-US" sz="1200" b="1" u="none" baseline="0"/>
            <a:t>Food, Essential Services</a:t>
          </a:r>
          <a:r>
            <a:rPr lang="en-US" sz="1200" b="0" u="none" baseline="0"/>
            <a:t> categories.</a:t>
          </a:r>
        </a:p>
        <a:p>
          <a:endParaRPr lang="en-US" sz="1200" b="0" u="none" baseline="0"/>
        </a:p>
        <a:p>
          <a:r>
            <a:rPr lang="en-US" sz="1200" b="0" u="none" baseline="0"/>
            <a:t>4. Year 2022 Table seen that on monthly bases increase in the inflation of Food, Essential Services, but on the other hand clothing &amp; Footwear, Energy, Healthcare sector there is decline on the peroid. also Luxury &amp; other things categories is far more stable and there is not much change.</a:t>
          </a:r>
        </a:p>
      </xdr:txBody>
    </xdr:sp>
    <xdr:clientData/>
  </xdr:twoCellAnchor>
  <xdr:twoCellAnchor>
    <xdr:from>
      <xdr:col>12</xdr:col>
      <xdr:colOff>762000</xdr:colOff>
      <xdr:row>3</xdr:row>
      <xdr:rowOff>4762</xdr:rowOff>
    </xdr:from>
    <xdr:to>
      <xdr:col>19</xdr:col>
      <xdr:colOff>104775</xdr:colOff>
      <xdr:row>21</xdr:row>
      <xdr:rowOff>161925</xdr:rowOff>
    </xdr:to>
    <xdr:graphicFrame macro="">
      <xdr:nvGraphicFramePr>
        <xdr:cNvPr id="4" name="Chart 3">
          <a:extLst>
            <a:ext uri="{FF2B5EF4-FFF2-40B4-BE49-F238E27FC236}">
              <a16:creationId xmlns:a16="http://schemas.microsoft.com/office/drawing/2014/main" id="{A5A02623-0021-B557-2C2E-36062EB5C6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114299</xdr:colOff>
      <xdr:row>3</xdr:row>
      <xdr:rowOff>4761</xdr:rowOff>
    </xdr:from>
    <xdr:to>
      <xdr:col>28</xdr:col>
      <xdr:colOff>600075</xdr:colOff>
      <xdr:row>21</xdr:row>
      <xdr:rowOff>161925</xdr:rowOff>
    </xdr:to>
    <xdr:graphicFrame macro="">
      <xdr:nvGraphicFramePr>
        <xdr:cNvPr id="5" name="Chart 4">
          <a:extLst>
            <a:ext uri="{FF2B5EF4-FFF2-40B4-BE49-F238E27FC236}">
              <a16:creationId xmlns:a16="http://schemas.microsoft.com/office/drawing/2014/main" id="{B8EF42D5-4104-FAFB-0D31-BBC2B5C05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22</xdr:row>
      <xdr:rowOff>185737</xdr:rowOff>
    </xdr:from>
    <xdr:to>
      <xdr:col>15</xdr:col>
      <xdr:colOff>533400</xdr:colOff>
      <xdr:row>37</xdr:row>
      <xdr:rowOff>71437</xdr:rowOff>
    </xdr:to>
    <xdr:graphicFrame macro="">
      <xdr:nvGraphicFramePr>
        <xdr:cNvPr id="7" name="Chart 6">
          <a:extLst>
            <a:ext uri="{FF2B5EF4-FFF2-40B4-BE49-F238E27FC236}">
              <a16:creationId xmlns:a16="http://schemas.microsoft.com/office/drawing/2014/main" id="{81AC16C6-5799-0331-C33B-612A6C79B4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457200</xdr:colOff>
      <xdr:row>1</xdr:row>
      <xdr:rowOff>95250</xdr:rowOff>
    </xdr:from>
    <xdr:to>
      <xdr:col>10</xdr:col>
      <xdr:colOff>514350</xdr:colOff>
      <xdr:row>15</xdr:row>
      <xdr:rowOff>152400</xdr:rowOff>
    </xdr:to>
    <xdr:sp macro="" textlink="">
      <xdr:nvSpPr>
        <xdr:cNvPr id="2" name="TextBox 1">
          <a:extLst>
            <a:ext uri="{FF2B5EF4-FFF2-40B4-BE49-F238E27FC236}">
              <a16:creationId xmlns:a16="http://schemas.microsoft.com/office/drawing/2014/main" id="{131E0D6C-BBA2-59AF-1FEF-FD373F7631C2}"/>
            </a:ext>
          </a:extLst>
        </xdr:cNvPr>
        <xdr:cNvSpPr txBox="1"/>
      </xdr:nvSpPr>
      <xdr:spPr>
        <a:xfrm>
          <a:off x="457200" y="285750"/>
          <a:ext cx="6153150" cy="27241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t>Problem 3.</a:t>
          </a:r>
        </a:p>
        <a:p>
          <a:r>
            <a:rPr lang="en-US" sz="1400" b="0" u="none"/>
            <a:t>                 Wit</a:t>
          </a:r>
          <a:r>
            <a:rPr lang="en-US" sz="1400" b="0" u="none" baseline="0"/>
            <a:t>h India's retail inflation reaching a 3-months high of 5.55% in November 2023, largely due to a sharp rise in food prices. Analyze the following for 12 months ending may 2023</a:t>
          </a:r>
        </a:p>
        <a:p>
          <a:endParaRPr lang="en-US" sz="1400" b="0" u="none" baseline="0"/>
        </a:p>
        <a:p>
          <a:r>
            <a:rPr lang="en-US" sz="1400" b="0" u="none" baseline="0"/>
            <a:t>* Investigate trends in the prices of broader food bucket category and evaluate month-on-month changes. Highlight month with highest and lowest food inflation.</a:t>
          </a:r>
        </a:p>
        <a:p>
          <a:endParaRPr lang="en-US" sz="1400" b="0" u="none" baseline="0"/>
        </a:p>
        <a:p>
          <a:r>
            <a:rPr lang="en-US" sz="1400" b="0" u="none" baseline="0"/>
            <a:t>* Identify the absolute changes in inflation over the same 12 months peroid and identify the biggest individual category contributor (only within broader food category) towards inflation.</a:t>
          </a:r>
          <a:endParaRPr lang="en-US" sz="1400" b="0" u="none"/>
        </a:p>
      </xdr:txBody>
    </xdr:sp>
    <xdr:clientData/>
  </xdr:twoCellAnchor>
  <xdr:twoCellAnchor>
    <xdr:from>
      <xdr:col>11</xdr:col>
      <xdr:colOff>400050</xdr:colOff>
      <xdr:row>1</xdr:row>
      <xdr:rowOff>95250</xdr:rowOff>
    </xdr:from>
    <xdr:to>
      <xdr:col>20</xdr:col>
      <xdr:colOff>0</xdr:colOff>
      <xdr:row>18</xdr:row>
      <xdr:rowOff>76200</xdr:rowOff>
    </xdr:to>
    <xdr:sp macro="" textlink="">
      <xdr:nvSpPr>
        <xdr:cNvPr id="3" name="TextBox 2">
          <a:extLst>
            <a:ext uri="{FF2B5EF4-FFF2-40B4-BE49-F238E27FC236}">
              <a16:creationId xmlns:a16="http://schemas.microsoft.com/office/drawing/2014/main" id="{D4A0C9A6-B353-BE8B-7526-F7B55F49C4F4}"/>
            </a:ext>
          </a:extLst>
        </xdr:cNvPr>
        <xdr:cNvSpPr txBox="1"/>
      </xdr:nvSpPr>
      <xdr:spPr>
        <a:xfrm>
          <a:off x="7105650" y="285750"/>
          <a:ext cx="5086350" cy="321945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u="sng"/>
            <a:t>Analyses:</a:t>
          </a:r>
        </a:p>
        <a:p>
          <a:endParaRPr lang="en-US" sz="1400" u="sng"/>
        </a:p>
        <a:p>
          <a:r>
            <a:rPr lang="en-US" sz="1400" u="none"/>
            <a:t>1.</a:t>
          </a:r>
          <a:r>
            <a:rPr lang="en-US" sz="1400" u="none" baseline="0"/>
            <a:t> For the M-o-M changes of only Food categories and their inflation analyses create pivot table only indexs which came under the Food categories.</a:t>
          </a:r>
        </a:p>
        <a:p>
          <a:endParaRPr lang="en-US" sz="1400" u="none" baseline="0"/>
        </a:p>
        <a:p>
          <a:r>
            <a:rPr lang="en-US" sz="1400" u="none" baseline="0"/>
            <a:t>2. And highlight it contribution percentage through out the months.</a:t>
          </a:r>
        </a:p>
        <a:p>
          <a:endParaRPr lang="en-US" sz="1400" u="none" baseline="0"/>
        </a:p>
        <a:p>
          <a:r>
            <a:rPr lang="en-US" sz="1400" u="none" baseline="0"/>
            <a:t>3. Create Two chart which showcase the Trend analyses of the Food categories as whole through out the months and also another chart of categorical divison of the indexs.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73024</xdr:colOff>
      <xdr:row>1</xdr:row>
      <xdr:rowOff>28574</xdr:rowOff>
    </xdr:from>
    <xdr:to>
      <xdr:col>12</xdr:col>
      <xdr:colOff>279399</xdr:colOff>
      <xdr:row>16</xdr:row>
      <xdr:rowOff>177799</xdr:rowOff>
    </xdr:to>
    <xdr:graphicFrame macro="">
      <xdr:nvGraphicFramePr>
        <xdr:cNvPr id="3" name="Chart 2">
          <a:extLst>
            <a:ext uri="{FF2B5EF4-FFF2-40B4-BE49-F238E27FC236}">
              <a16:creationId xmlns:a16="http://schemas.microsoft.com/office/drawing/2014/main" id="{A1920278-89C3-7C80-2CE7-EBE1879AFE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374649</xdr:colOff>
      <xdr:row>1</xdr:row>
      <xdr:rowOff>34924</xdr:rowOff>
    </xdr:from>
    <xdr:to>
      <xdr:col>19</xdr:col>
      <xdr:colOff>320674</xdr:colOff>
      <xdr:row>16</xdr:row>
      <xdr:rowOff>184149</xdr:rowOff>
    </xdr:to>
    <xdr:graphicFrame macro="">
      <xdr:nvGraphicFramePr>
        <xdr:cNvPr id="4" name="Chart 3">
          <a:extLst>
            <a:ext uri="{FF2B5EF4-FFF2-40B4-BE49-F238E27FC236}">
              <a16:creationId xmlns:a16="http://schemas.microsoft.com/office/drawing/2014/main" id="{222A89B4-B818-BC1B-08F1-AFC23E1C6A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571500</xdr:colOff>
      <xdr:row>1</xdr:row>
      <xdr:rowOff>34925</xdr:rowOff>
    </xdr:from>
    <xdr:to>
      <xdr:col>27</xdr:col>
      <xdr:colOff>158750</xdr:colOff>
      <xdr:row>20</xdr:row>
      <xdr:rowOff>152400</xdr:rowOff>
    </xdr:to>
    <xdr:sp macro="" textlink="">
      <xdr:nvSpPr>
        <xdr:cNvPr id="5" name="Rectangle 4">
          <a:extLst>
            <a:ext uri="{FF2B5EF4-FFF2-40B4-BE49-F238E27FC236}">
              <a16:creationId xmlns:a16="http://schemas.microsoft.com/office/drawing/2014/main" id="{A6CE52CC-73F3-8E4D-8F12-57D4D2C7F5BD}"/>
            </a:ext>
          </a:extLst>
        </xdr:cNvPr>
        <xdr:cNvSpPr/>
      </xdr:nvSpPr>
      <xdr:spPr>
        <a:xfrm>
          <a:off x="13315950" y="225425"/>
          <a:ext cx="4464050" cy="3736975"/>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u="sng">
              <a:solidFill>
                <a:schemeClr val="tx1"/>
              </a:solidFill>
            </a:rPr>
            <a:t>Insights:</a:t>
          </a:r>
        </a:p>
        <a:p>
          <a:pPr algn="l"/>
          <a:endParaRPr lang="en-IN" sz="1100" u="sng">
            <a:solidFill>
              <a:schemeClr val="tx1"/>
            </a:solidFill>
          </a:endParaRPr>
        </a:p>
        <a:p>
          <a:pPr algn="l"/>
          <a:r>
            <a:rPr lang="en-IN" sz="1100" u="none">
              <a:solidFill>
                <a:schemeClr val="tx1"/>
              </a:solidFill>
            </a:rPr>
            <a:t>1.</a:t>
          </a:r>
          <a:r>
            <a:rPr lang="en-IN" sz="1100" u="none" baseline="0">
              <a:solidFill>
                <a:schemeClr val="tx1"/>
              </a:solidFill>
            </a:rPr>
            <a:t> By the end of 2022 and starting all month's 2025 their sharp increase in inflation of Food Category.</a:t>
          </a:r>
        </a:p>
        <a:p>
          <a:pPr algn="l"/>
          <a:endParaRPr lang="en-IN" sz="1100" u="none" baseline="0">
            <a:solidFill>
              <a:schemeClr val="tx1"/>
            </a:solidFill>
          </a:endParaRPr>
        </a:p>
        <a:p>
          <a:pPr algn="l"/>
          <a:r>
            <a:rPr lang="en-IN" sz="1100" u="none" baseline="0">
              <a:solidFill>
                <a:schemeClr val="tx1"/>
              </a:solidFill>
            </a:rPr>
            <a:t>2. In Food Category the highest contributor are </a:t>
          </a:r>
          <a:r>
            <a:rPr lang="en-IN" sz="1100" b="1" u="none" baseline="0">
              <a:solidFill>
                <a:schemeClr val="tx1"/>
              </a:solidFill>
            </a:rPr>
            <a:t>Meat and Fish </a:t>
          </a:r>
          <a:r>
            <a:rPr lang="en-IN" sz="1100" b="0" u="none" baseline="0">
              <a:solidFill>
                <a:schemeClr val="tx1"/>
              </a:solidFill>
            </a:rPr>
            <a:t>with 9% with particular peroid time ( Jan 2022 - May 2023), by following Meat and Fish - </a:t>
          </a:r>
          <a:r>
            <a:rPr lang="en-IN" sz="1100" b="1" u="none" baseline="0">
              <a:solidFill>
                <a:schemeClr val="tx1"/>
              </a:solidFill>
            </a:rPr>
            <a:t>Spices</a:t>
          </a:r>
          <a:r>
            <a:rPr lang="en-IN" sz="1100" b="0" u="none" baseline="0">
              <a:solidFill>
                <a:schemeClr val="tx1"/>
              </a:solidFill>
            </a:rPr>
            <a:t> are second highest contributor.</a:t>
          </a:r>
        </a:p>
        <a:p>
          <a:pPr algn="l"/>
          <a:endParaRPr lang="en-IN" sz="1100" b="0" u="none" baseline="0">
            <a:solidFill>
              <a:schemeClr val="tx1"/>
            </a:solidFill>
          </a:endParaRPr>
        </a:p>
        <a:p>
          <a:pPr algn="l"/>
          <a:r>
            <a:rPr lang="en-IN" sz="1100" b="0" u="none" baseline="0">
              <a:solidFill>
                <a:schemeClr val="tx1"/>
              </a:solidFill>
            </a:rPr>
            <a:t>3. Both Meat &amp; Fish and Spices categories seen highest index value from the month of Jan 2023 to May 2023</a:t>
          </a:r>
        </a:p>
        <a:p>
          <a:pPr algn="l"/>
          <a:endParaRPr lang="en-IN" sz="1100" b="0" u="none" baseline="0">
            <a:solidFill>
              <a:schemeClr val="tx1"/>
            </a:solidFill>
          </a:endParaRPr>
        </a:p>
        <a:p>
          <a:pPr algn="l"/>
          <a:r>
            <a:rPr lang="en-IN" sz="1100" b="0" u="none" baseline="0">
              <a:solidFill>
                <a:schemeClr val="tx1"/>
              </a:solidFill>
            </a:rPr>
            <a:t>4. For the peroid of Jan 2022 to May 2022 all contributing sub-categories are one lowest.</a:t>
          </a:r>
        </a:p>
        <a:p>
          <a:pPr algn="l"/>
          <a:endParaRPr lang="en-IN" sz="1100" b="0" u="none" baseline="0">
            <a:solidFill>
              <a:schemeClr val="tx1"/>
            </a:solidFill>
          </a:endParaRPr>
        </a:p>
        <a:p>
          <a:pPr algn="l"/>
          <a:r>
            <a:rPr lang="en-IN" sz="1100" b="0" u="none" baseline="0">
              <a:solidFill>
                <a:schemeClr val="tx1"/>
              </a:solidFill>
            </a:rPr>
            <a:t>5. In that </a:t>
          </a:r>
          <a:r>
            <a:rPr lang="en-IN" sz="1100" b="1" u="none" baseline="0">
              <a:solidFill>
                <a:schemeClr val="tx1"/>
              </a:solidFill>
            </a:rPr>
            <a:t>Sugar &amp; Confectionery </a:t>
          </a:r>
          <a:r>
            <a:rPr lang="en-IN" sz="1100" b="0" u="none" baseline="0">
              <a:solidFill>
                <a:schemeClr val="tx1"/>
              </a:solidFill>
            </a:rPr>
            <a:t>are lowest.</a:t>
          </a:r>
          <a:endParaRPr lang="en-IN" sz="1100" u="none">
            <a:solidFill>
              <a:schemeClr val="tx1"/>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476250</xdr:colOff>
      <xdr:row>1</xdr:row>
      <xdr:rowOff>95250</xdr:rowOff>
    </xdr:from>
    <xdr:to>
      <xdr:col>9</xdr:col>
      <xdr:colOff>485775</xdr:colOff>
      <xdr:row>10</xdr:row>
      <xdr:rowOff>47625</xdr:rowOff>
    </xdr:to>
    <xdr:sp macro="" textlink="">
      <xdr:nvSpPr>
        <xdr:cNvPr id="2" name="TextBox 1">
          <a:extLst>
            <a:ext uri="{FF2B5EF4-FFF2-40B4-BE49-F238E27FC236}">
              <a16:creationId xmlns:a16="http://schemas.microsoft.com/office/drawing/2014/main" id="{16CD5AA4-C790-B948-331A-600391B6B402}"/>
            </a:ext>
          </a:extLst>
        </xdr:cNvPr>
        <xdr:cNvSpPr txBox="1"/>
      </xdr:nvSpPr>
      <xdr:spPr>
        <a:xfrm>
          <a:off x="476250" y="285750"/>
          <a:ext cx="5495925" cy="166687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t>Problem</a:t>
          </a:r>
          <a:r>
            <a:rPr lang="en-US" sz="1400" b="1" u="sng" baseline="0"/>
            <a:t> 4.</a:t>
          </a:r>
        </a:p>
        <a:p>
          <a:endParaRPr lang="en-US" sz="1400"/>
        </a:p>
        <a:p>
          <a:r>
            <a:rPr lang="en-US" sz="1400"/>
            <a:t>               Investigate</a:t>
          </a:r>
          <a:r>
            <a:rPr lang="en-US" sz="1400" baseline="0"/>
            <a:t> how the onset and progression of the COVID-19 pandemic affected inflation rates in india. Analyze the impact of key pandemic milestone (first lockdown) on the CPI inflation %, specially focus on categories like healthcare, food, and essential services.</a:t>
          </a:r>
        </a:p>
        <a:p>
          <a:endParaRPr lang="en-US" sz="1100"/>
        </a:p>
      </xdr:txBody>
    </xdr:sp>
    <xdr:clientData/>
  </xdr:twoCellAnchor>
  <xdr:twoCellAnchor>
    <xdr:from>
      <xdr:col>10</xdr:col>
      <xdr:colOff>200025</xdr:colOff>
      <xdr:row>1</xdr:row>
      <xdr:rowOff>104775</xdr:rowOff>
    </xdr:from>
    <xdr:to>
      <xdr:col>19</xdr:col>
      <xdr:colOff>390525</xdr:colOff>
      <xdr:row>16</xdr:row>
      <xdr:rowOff>180975</xdr:rowOff>
    </xdr:to>
    <xdr:sp macro="" textlink="">
      <xdr:nvSpPr>
        <xdr:cNvPr id="3" name="TextBox 2">
          <a:extLst>
            <a:ext uri="{FF2B5EF4-FFF2-40B4-BE49-F238E27FC236}">
              <a16:creationId xmlns:a16="http://schemas.microsoft.com/office/drawing/2014/main" id="{994DE4FD-A8D1-4E5C-3168-1D70563593E9}"/>
            </a:ext>
          </a:extLst>
        </xdr:cNvPr>
        <xdr:cNvSpPr txBox="1"/>
      </xdr:nvSpPr>
      <xdr:spPr>
        <a:xfrm>
          <a:off x="6296025" y="295275"/>
          <a:ext cx="5676900" cy="293370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u="sng"/>
            <a:t>Analyses:</a:t>
          </a:r>
        </a:p>
        <a:p>
          <a:endParaRPr lang="en-US" sz="1400" u="sng"/>
        </a:p>
        <a:p>
          <a:r>
            <a:rPr lang="en-US" sz="1400" u="none"/>
            <a:t>1.</a:t>
          </a:r>
          <a:r>
            <a:rPr lang="en-US" sz="1400" u="none" baseline="0"/>
            <a:t> Monthly CPI inflation % data (Food, healthcare, essential services) from 2017 to 2022 .</a:t>
          </a:r>
        </a:p>
        <a:p>
          <a:r>
            <a:rPr lang="en-US" sz="1400" u="none" baseline="0"/>
            <a:t>2. Split into before Covid (before march) and after Covid (after march) peroids.</a:t>
          </a:r>
        </a:p>
        <a:p>
          <a:r>
            <a:rPr lang="en-US" sz="1400" u="none" baseline="0"/>
            <a:t>3. Compute the difference in averages (before COVID and after COVID) for each category.</a:t>
          </a:r>
        </a:p>
        <a:p>
          <a:r>
            <a:rPr lang="en-US" sz="1400" u="none" baseline="0"/>
            <a:t>4. Mark the first lockdown (march month) and check for inflation spikes in April to june 2020.</a:t>
          </a:r>
        </a:p>
        <a:p>
          <a:r>
            <a:rPr lang="en-US" sz="1400" u="none" baseline="0"/>
            <a:t>5. Month-on-Month change in inflation across all categories.</a:t>
          </a:r>
        </a:p>
        <a:p>
          <a:r>
            <a:rPr lang="en-US" sz="1400" u="none" baseline="0"/>
            <a:t>6. Use a pivot table to show monthly data by category, sectors.</a:t>
          </a:r>
        </a:p>
        <a:p>
          <a:r>
            <a:rPr lang="en-US" sz="1400" u="none" baseline="0"/>
            <a:t>7. Use Multiple charts to Summarize.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57150</xdr:colOff>
      <xdr:row>18</xdr:row>
      <xdr:rowOff>57150</xdr:rowOff>
    </xdr:from>
    <xdr:to>
      <xdr:col>14</xdr:col>
      <xdr:colOff>285750</xdr:colOff>
      <xdr:row>36</xdr:row>
      <xdr:rowOff>142876</xdr:rowOff>
    </xdr:to>
    <xdr:graphicFrame macro="">
      <xdr:nvGraphicFramePr>
        <xdr:cNvPr id="2" name="Chart 1">
          <a:extLst>
            <a:ext uri="{FF2B5EF4-FFF2-40B4-BE49-F238E27FC236}">
              <a16:creationId xmlns:a16="http://schemas.microsoft.com/office/drawing/2014/main" id="{F932D5D1-C54E-9C12-2B6F-6FC264C0E1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590549</xdr:colOff>
      <xdr:row>0</xdr:row>
      <xdr:rowOff>57150</xdr:rowOff>
    </xdr:from>
    <xdr:to>
      <xdr:col>26</xdr:col>
      <xdr:colOff>47624</xdr:colOff>
      <xdr:row>21</xdr:row>
      <xdr:rowOff>95250</xdr:rowOff>
    </xdr:to>
    <xdr:graphicFrame macro="">
      <xdr:nvGraphicFramePr>
        <xdr:cNvPr id="3" name="Chart 2">
          <a:extLst>
            <a:ext uri="{FF2B5EF4-FFF2-40B4-BE49-F238E27FC236}">
              <a16:creationId xmlns:a16="http://schemas.microsoft.com/office/drawing/2014/main" id="{8AA8BF89-9F1E-19C3-D88A-76BD23B315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152399</xdr:colOff>
      <xdr:row>0</xdr:row>
      <xdr:rowOff>109536</xdr:rowOff>
    </xdr:from>
    <xdr:to>
      <xdr:col>34</xdr:col>
      <xdr:colOff>257175</xdr:colOff>
      <xdr:row>20</xdr:row>
      <xdr:rowOff>9525</xdr:rowOff>
    </xdr:to>
    <xdr:graphicFrame macro="">
      <xdr:nvGraphicFramePr>
        <xdr:cNvPr id="4" name="Chart 3">
          <a:extLst>
            <a:ext uri="{FF2B5EF4-FFF2-40B4-BE49-F238E27FC236}">
              <a16:creationId xmlns:a16="http://schemas.microsoft.com/office/drawing/2014/main" id="{607606F9-5971-4BCC-EA4E-97FFE0D45D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309562</xdr:colOff>
      <xdr:row>0</xdr:row>
      <xdr:rowOff>109536</xdr:rowOff>
    </xdr:from>
    <xdr:to>
      <xdr:col>42</xdr:col>
      <xdr:colOff>4762</xdr:colOff>
      <xdr:row>19</xdr:row>
      <xdr:rowOff>190499</xdr:rowOff>
    </xdr:to>
    <xdr:graphicFrame macro="">
      <xdr:nvGraphicFramePr>
        <xdr:cNvPr id="5" name="Chart 4">
          <a:extLst>
            <a:ext uri="{FF2B5EF4-FFF2-40B4-BE49-F238E27FC236}">
              <a16:creationId xmlns:a16="http://schemas.microsoft.com/office/drawing/2014/main" id="{43B0EE4C-4E65-8335-C701-2480131AB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42</xdr:col>
      <xdr:colOff>57150</xdr:colOff>
      <xdr:row>0</xdr:row>
      <xdr:rowOff>133349</xdr:rowOff>
    </xdr:from>
    <xdr:to>
      <xdr:col>50</xdr:col>
      <xdr:colOff>304800</xdr:colOff>
      <xdr:row>19</xdr:row>
      <xdr:rowOff>180974</xdr:rowOff>
    </xdr:to>
    <xdr:graphicFrame macro="">
      <xdr:nvGraphicFramePr>
        <xdr:cNvPr id="6" name="Chart 5">
          <a:extLst>
            <a:ext uri="{FF2B5EF4-FFF2-40B4-BE49-F238E27FC236}">
              <a16:creationId xmlns:a16="http://schemas.microsoft.com/office/drawing/2014/main" id="{E23D6560-6A57-45F4-B735-8B8D7B943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47625</xdr:colOff>
      <xdr:row>0</xdr:row>
      <xdr:rowOff>71436</xdr:rowOff>
    </xdr:from>
    <xdr:to>
      <xdr:col>14</xdr:col>
      <xdr:colOff>571500</xdr:colOff>
      <xdr:row>18</xdr:row>
      <xdr:rowOff>38099</xdr:rowOff>
    </xdr:to>
    <xdr:graphicFrame macro="">
      <xdr:nvGraphicFramePr>
        <xdr:cNvPr id="7" name="Chart 6">
          <a:extLst>
            <a:ext uri="{FF2B5EF4-FFF2-40B4-BE49-F238E27FC236}">
              <a16:creationId xmlns:a16="http://schemas.microsoft.com/office/drawing/2014/main" id="{E0AC26D9-BF79-1802-6B17-2B851CB52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50</xdr:col>
      <xdr:colOff>438150</xdr:colOff>
      <xdr:row>0</xdr:row>
      <xdr:rowOff>0</xdr:rowOff>
    </xdr:from>
    <xdr:to>
      <xdr:col>59</xdr:col>
      <xdr:colOff>514350</xdr:colOff>
      <xdr:row>21</xdr:row>
      <xdr:rowOff>161925</xdr:rowOff>
    </xdr:to>
    <xdr:sp macro="" textlink="">
      <xdr:nvSpPr>
        <xdr:cNvPr id="8" name="TextBox 7">
          <a:extLst>
            <a:ext uri="{FF2B5EF4-FFF2-40B4-BE49-F238E27FC236}">
              <a16:creationId xmlns:a16="http://schemas.microsoft.com/office/drawing/2014/main" id="{5CB6C6E9-F09F-42CE-894E-78A60332F729}"/>
            </a:ext>
          </a:extLst>
        </xdr:cNvPr>
        <xdr:cNvSpPr txBox="1"/>
      </xdr:nvSpPr>
      <xdr:spPr>
        <a:xfrm>
          <a:off x="31556325" y="0"/>
          <a:ext cx="5562600" cy="416242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t>Insights:</a:t>
          </a:r>
        </a:p>
        <a:p>
          <a:endParaRPr lang="en-US" sz="1100" u="sng"/>
        </a:p>
        <a:p>
          <a:r>
            <a:rPr lang="en-US" sz="1100" u="none"/>
            <a:t>1.</a:t>
          </a:r>
          <a:r>
            <a:rPr lang="en-US" sz="1100" u="none" baseline="0"/>
            <a:t> The Covid impact on index and inflation being in the table, of the important index like Food, Essential Services, Healthcare.</a:t>
          </a:r>
        </a:p>
        <a:p>
          <a:endParaRPr lang="en-US" sz="1100" u="none" baseline="0"/>
        </a:p>
        <a:p>
          <a:r>
            <a:rPr lang="en-US" sz="1100" u="none" baseline="0"/>
            <a:t>2. The </a:t>
          </a:r>
          <a:r>
            <a:rPr lang="en-US" sz="1100" b="1" u="none" baseline="0"/>
            <a:t>First Lock Down in the Month of March 2020, </a:t>
          </a:r>
          <a:r>
            <a:rPr lang="en-US" sz="1100" b="0" u="none" baseline="0"/>
            <a:t>has impact of these categories worldwide.</a:t>
          </a:r>
        </a:p>
        <a:p>
          <a:endParaRPr lang="en-US" sz="1100" b="0" u="none" baseline="0"/>
        </a:p>
        <a:p>
          <a:r>
            <a:rPr lang="en-US" sz="1100" b="0" u="none" baseline="0"/>
            <a:t>3. For Comparing the Before and After Covid taken 6 months prior to March months and after March.</a:t>
          </a:r>
        </a:p>
        <a:p>
          <a:endParaRPr lang="en-US" sz="1100" b="0" u="none" baseline="0"/>
        </a:p>
        <a:p>
          <a:r>
            <a:rPr lang="en-US" sz="1100" b="0" u="none" baseline="0"/>
            <a:t>4. As per Insights in Inflation Line chart data, </a:t>
          </a:r>
          <a:r>
            <a:rPr lang="en-US" sz="1100" b="1" u="none" baseline="0"/>
            <a:t>Food </a:t>
          </a:r>
          <a:r>
            <a:rPr lang="en-US" sz="1100" b="0" u="none" baseline="0"/>
            <a:t>is first category to </a:t>
          </a:r>
          <a:r>
            <a:rPr lang="en-US" sz="1100" b="1" u="none" baseline="0"/>
            <a:t>Hit Highest inflation in month of April.</a:t>
          </a:r>
        </a:p>
        <a:p>
          <a:endParaRPr lang="en-US" sz="1100" b="1" u="none" baseline="0"/>
        </a:p>
        <a:p>
          <a:r>
            <a:rPr lang="en-US" sz="1100" b="0" u="none" baseline="0"/>
            <a:t>5. After Food, </a:t>
          </a:r>
          <a:r>
            <a:rPr lang="en-US" sz="1100" b="1" u="none" baseline="0"/>
            <a:t>Healthcare sector is touches the Highest amoung other categories in the months of june-july after covid.</a:t>
          </a:r>
        </a:p>
        <a:p>
          <a:endParaRPr lang="en-US" sz="1100" b="1" u="none" baseline="0"/>
        </a:p>
        <a:p>
          <a:r>
            <a:rPr lang="en-US" sz="1100" b="0" u="none" baseline="0"/>
            <a:t>6. Before Covid in month of </a:t>
          </a:r>
          <a:r>
            <a:rPr lang="en-US" sz="1100" b="1" u="none" baseline="0"/>
            <a:t>Jan-Feb </a:t>
          </a:r>
          <a:r>
            <a:rPr lang="en-US" sz="1100" b="0" u="none" baseline="0"/>
            <a:t>there is an sharpe decline in</a:t>
          </a:r>
          <a:r>
            <a:rPr lang="en-US" sz="1100" b="1" u="none" baseline="0"/>
            <a:t> Food category</a:t>
          </a:r>
          <a:r>
            <a:rPr lang="en-US" sz="1100" b="0" u="none" baseline="0"/>
            <a:t>.</a:t>
          </a:r>
        </a:p>
        <a:p>
          <a:endParaRPr lang="en-US" sz="1100" b="1" u="none" baseline="0"/>
        </a:p>
        <a:p>
          <a:r>
            <a:rPr lang="en-US" sz="1100" b="0" u="none" baseline="0"/>
            <a:t>7. other thing to be note that There is an Subben rise in </a:t>
          </a:r>
          <a:r>
            <a:rPr lang="en-US" sz="1100" b="1" u="none" baseline="0"/>
            <a:t>Food &amp; Healthcare after Covid</a:t>
          </a:r>
          <a:r>
            <a:rPr lang="en-US" sz="1100" b="0" u="none" baseline="0"/>
            <a:t>, but also Essential services inflation rate is also rise.</a:t>
          </a:r>
        </a:p>
        <a:p>
          <a:endParaRPr lang="en-US" sz="1100" b="0" u="none" baseline="0"/>
        </a:p>
        <a:p>
          <a:r>
            <a:rPr lang="en-US" sz="1100" b="0" u="none" baseline="0"/>
            <a:t>8 Covid Impact on </a:t>
          </a:r>
          <a:r>
            <a:rPr lang="en-US" sz="1100" b="1" u="none" baseline="0"/>
            <a:t>Food upto 42% </a:t>
          </a:r>
          <a:r>
            <a:rPr lang="en-US" sz="1100" b="0" u="none" baseline="0"/>
            <a:t>and other two catergories </a:t>
          </a:r>
          <a:r>
            <a:rPr lang="en-US" sz="1100" b="1" u="none" baseline="0"/>
            <a:t>9% &amp; 8% </a:t>
          </a:r>
          <a:r>
            <a:rPr lang="en-US" sz="1100" b="0" u="none" baseline="0"/>
            <a:t>respectively.</a:t>
          </a:r>
        </a:p>
      </xdr:txBody>
    </xdr:sp>
    <xdr:clientData/>
  </xdr:twoCellAnchor>
  <xdr:twoCellAnchor>
    <xdr:from>
      <xdr:col>14</xdr:col>
      <xdr:colOff>571500</xdr:colOff>
      <xdr:row>21</xdr:row>
      <xdr:rowOff>119062</xdr:rowOff>
    </xdr:from>
    <xdr:to>
      <xdr:col>22</xdr:col>
      <xdr:colOff>266700</xdr:colOff>
      <xdr:row>36</xdr:row>
      <xdr:rowOff>4762</xdr:rowOff>
    </xdr:to>
    <xdr:graphicFrame macro="">
      <xdr:nvGraphicFramePr>
        <xdr:cNvPr id="9" name="Chart 8">
          <a:extLst>
            <a:ext uri="{FF2B5EF4-FFF2-40B4-BE49-F238E27FC236}">
              <a16:creationId xmlns:a16="http://schemas.microsoft.com/office/drawing/2014/main" id="{0102CB3E-E89C-5354-79CF-8C79BC937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523875</xdr:colOff>
      <xdr:row>1</xdr:row>
      <xdr:rowOff>95250</xdr:rowOff>
    </xdr:from>
    <xdr:to>
      <xdr:col>10</xdr:col>
      <xdr:colOff>590550</xdr:colOff>
      <xdr:row>14</xdr:row>
      <xdr:rowOff>171450</xdr:rowOff>
    </xdr:to>
    <xdr:sp macro="" textlink="">
      <xdr:nvSpPr>
        <xdr:cNvPr id="2" name="TextBox 1">
          <a:extLst>
            <a:ext uri="{FF2B5EF4-FFF2-40B4-BE49-F238E27FC236}">
              <a16:creationId xmlns:a16="http://schemas.microsoft.com/office/drawing/2014/main" id="{41D44D30-531B-2058-D925-7801E6CE842A}"/>
            </a:ext>
          </a:extLst>
        </xdr:cNvPr>
        <xdr:cNvSpPr txBox="1"/>
      </xdr:nvSpPr>
      <xdr:spPr>
        <a:xfrm>
          <a:off x="523875" y="285750"/>
          <a:ext cx="6162675" cy="25527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t>Problem</a:t>
          </a:r>
          <a:r>
            <a:rPr lang="en-US" sz="1400" b="1" u="sng" baseline="0"/>
            <a:t> 5.</a:t>
          </a:r>
        </a:p>
        <a:p>
          <a:r>
            <a:rPr lang="en-US" sz="1400" b="0" u="none" baseline="0"/>
            <a:t>                 Investigate how major global economic events (like imported crude oil price fluctuations) have influenced india's inflation. This can include an analysis of imported goods and their price trends.</a:t>
          </a:r>
        </a:p>
        <a:p>
          <a:endParaRPr lang="en-US" sz="1400" b="0" u="none" baseline="0"/>
        </a:p>
        <a:p>
          <a:r>
            <a:rPr lang="en-US" sz="1400" b="0" u="none" baseline="0"/>
            <a:t>* for the purpose of this analysis, focus only on the imported oil price fluctuations for years 2021 to 2023 (month-on-month)</a:t>
          </a:r>
        </a:p>
        <a:p>
          <a:endParaRPr lang="en-US" sz="1400" b="0" u="none" baseline="0"/>
        </a:p>
        <a:p>
          <a:r>
            <a:rPr lang="en-US" sz="1400" b="0" u="none" baseline="0"/>
            <a:t>* Identify trends in oil price change with change in influation prices of all the categories and identify category whose inflation prices strongly changes with fluctuations in imported oil price.</a:t>
          </a:r>
          <a:endParaRPr lang="en-US" sz="1400" b="0" u="none"/>
        </a:p>
      </xdr:txBody>
    </xdr:sp>
    <xdr:clientData/>
  </xdr:twoCellAnchor>
  <xdr:twoCellAnchor>
    <xdr:from>
      <xdr:col>11</xdr:col>
      <xdr:colOff>466725</xdr:colOff>
      <xdr:row>1</xdr:row>
      <xdr:rowOff>123825</xdr:rowOff>
    </xdr:from>
    <xdr:to>
      <xdr:col>21</xdr:col>
      <xdr:colOff>304800</xdr:colOff>
      <xdr:row>17</xdr:row>
      <xdr:rowOff>9525</xdr:rowOff>
    </xdr:to>
    <xdr:sp macro="" textlink="">
      <xdr:nvSpPr>
        <xdr:cNvPr id="3" name="TextBox 2">
          <a:extLst>
            <a:ext uri="{FF2B5EF4-FFF2-40B4-BE49-F238E27FC236}">
              <a16:creationId xmlns:a16="http://schemas.microsoft.com/office/drawing/2014/main" id="{F82C5DB0-2027-32C7-42EA-D9584B792925}"/>
            </a:ext>
          </a:extLst>
        </xdr:cNvPr>
        <xdr:cNvSpPr txBox="1"/>
      </xdr:nvSpPr>
      <xdr:spPr>
        <a:xfrm>
          <a:off x="7172325" y="314325"/>
          <a:ext cx="5934075" cy="293370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u="sng"/>
            <a:t>Analyses:</a:t>
          </a:r>
        </a:p>
        <a:p>
          <a:endParaRPr lang="en-US" sz="1400" b="0" u="sng"/>
        </a:p>
        <a:p>
          <a:r>
            <a:rPr lang="en-US" sz="1400" b="0" u="none"/>
            <a:t>1</a:t>
          </a:r>
          <a:r>
            <a:rPr lang="en-US" sz="1400" b="0" u="none" baseline="0"/>
            <a:t>. From Datasets create multiple pivot table from analyses, particular to crude oil which is Energy categorie.</a:t>
          </a:r>
        </a:p>
        <a:p>
          <a:endParaRPr lang="en-US" sz="1400" b="0" u="none" baseline="0"/>
        </a:p>
        <a:p>
          <a:r>
            <a:rPr lang="en-US" sz="1400" b="0" u="none" baseline="0"/>
            <a:t>2. compute month-on-month percentage changes for crude oil, calculate month-on-month changes for inflation rates across categories.</a:t>
          </a:r>
        </a:p>
        <a:p>
          <a:endParaRPr lang="en-US" sz="1400" b="0" u="none" baseline="0"/>
        </a:p>
        <a:p>
          <a:r>
            <a:rPr lang="en-US" sz="1400" b="0" u="none" baseline="0"/>
            <a:t>3. Use the correlation to determine the relation between Energy categories inflation price impact on other categories with highlights.</a:t>
          </a:r>
        </a:p>
        <a:p>
          <a:endParaRPr lang="en-US" sz="1400" b="0" u="none" baseline="0"/>
        </a:p>
        <a:p>
          <a:r>
            <a:rPr lang="en-US" sz="1400" b="0" u="none" baseline="0"/>
            <a:t>4. to sum all creates chart to showcase Energy categorie trendline over time peroid, it's correlation.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247650</xdr:colOff>
      <xdr:row>2</xdr:row>
      <xdr:rowOff>4761</xdr:rowOff>
    </xdr:from>
    <xdr:to>
      <xdr:col>18</xdr:col>
      <xdr:colOff>514349</xdr:colOff>
      <xdr:row>19</xdr:row>
      <xdr:rowOff>85725</xdr:rowOff>
    </xdr:to>
    <xdr:graphicFrame macro="">
      <xdr:nvGraphicFramePr>
        <xdr:cNvPr id="2" name="Chart 1">
          <a:extLst>
            <a:ext uri="{FF2B5EF4-FFF2-40B4-BE49-F238E27FC236}">
              <a16:creationId xmlns:a16="http://schemas.microsoft.com/office/drawing/2014/main" id="{61E6E0DB-3749-B18D-EBF5-62E4FDA01A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250825</xdr:colOff>
      <xdr:row>19</xdr:row>
      <xdr:rowOff>180976</xdr:rowOff>
    </xdr:from>
    <xdr:to>
      <xdr:col>18</xdr:col>
      <xdr:colOff>269875</xdr:colOff>
      <xdr:row>37</xdr:row>
      <xdr:rowOff>127001</xdr:rowOff>
    </xdr:to>
    <xdr:sp macro="" textlink="">
      <xdr:nvSpPr>
        <xdr:cNvPr id="5" name="Rectangle 4">
          <a:extLst>
            <a:ext uri="{FF2B5EF4-FFF2-40B4-BE49-F238E27FC236}">
              <a16:creationId xmlns:a16="http://schemas.microsoft.com/office/drawing/2014/main" id="{2BCC6F96-E798-1452-59C7-AC43D726D7D3}"/>
            </a:ext>
          </a:extLst>
        </xdr:cNvPr>
        <xdr:cNvSpPr/>
      </xdr:nvSpPr>
      <xdr:spPr>
        <a:xfrm>
          <a:off x="11693525" y="3800476"/>
          <a:ext cx="4895850" cy="3375025"/>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Insights: </a:t>
          </a:r>
        </a:p>
        <a:p>
          <a:pPr algn="l"/>
          <a:endParaRPr lang="en-IN" sz="1100">
            <a:solidFill>
              <a:schemeClr val="tx1"/>
            </a:solidFill>
          </a:endParaRPr>
        </a:p>
        <a:p>
          <a:pPr algn="l"/>
          <a:r>
            <a:rPr lang="en-IN" sz="1100">
              <a:solidFill>
                <a:schemeClr val="tx1"/>
              </a:solidFill>
            </a:rPr>
            <a:t>1.</a:t>
          </a:r>
          <a:r>
            <a:rPr lang="en-IN" sz="1100" baseline="0">
              <a:solidFill>
                <a:schemeClr val="tx1"/>
              </a:solidFill>
            </a:rPr>
            <a:t> with real oil price and there reason to rise make analysis more clear, as we can see there is sharp increase in index price of nearby about categories from the peroid june 2022(where war begin)</a:t>
          </a:r>
        </a:p>
        <a:p>
          <a:pPr algn="l"/>
          <a:endParaRPr lang="en-IN" sz="1100" baseline="0">
            <a:solidFill>
              <a:schemeClr val="tx1"/>
            </a:solidFill>
          </a:endParaRPr>
        </a:p>
        <a:p>
          <a:pPr algn="l"/>
          <a:r>
            <a:rPr lang="en-IN" sz="1100" baseline="0">
              <a:solidFill>
                <a:schemeClr val="tx1"/>
              </a:solidFill>
            </a:rPr>
            <a:t>2. from start of 2021 there is positive correlation between oil price and other categories, where world covering from COVID 19.</a:t>
          </a:r>
        </a:p>
        <a:p>
          <a:pPr algn="l"/>
          <a:endParaRPr lang="en-IN" sz="1100" baseline="0">
            <a:solidFill>
              <a:schemeClr val="tx1"/>
            </a:solidFill>
          </a:endParaRPr>
        </a:p>
        <a:p>
          <a:pPr algn="l"/>
          <a:r>
            <a:rPr lang="en-IN" sz="1100" baseline="0">
              <a:solidFill>
                <a:schemeClr val="tx1"/>
              </a:solidFill>
            </a:rPr>
            <a:t>3. But, from 2022 there is indictor of negative correlation seen by impact of that we seen rise in price, and that continue in 2023 when more bigger figures.</a:t>
          </a:r>
        </a:p>
        <a:p>
          <a:pPr algn="l"/>
          <a:endParaRPr lang="en-IN" sz="1100" baseline="0">
            <a:solidFill>
              <a:schemeClr val="tx1"/>
            </a:solidFill>
          </a:endParaRPr>
        </a:p>
        <a:p>
          <a:pPr algn="l"/>
          <a:r>
            <a:rPr lang="en-IN" sz="1100" baseline="0">
              <a:solidFill>
                <a:schemeClr val="tx1"/>
              </a:solidFill>
            </a:rPr>
            <a:t>4. Out of certain categories only healthcare sector is less affected by inflactions, and oil price raise for fews of 2022, but there this is tempory windows.</a:t>
          </a:r>
        </a:p>
        <a:p>
          <a:pPr algn="l"/>
          <a:endParaRPr lang="en-IN" sz="1100" baseline="0">
            <a:solidFill>
              <a:schemeClr val="tx1"/>
            </a:solidFill>
          </a:endParaRPr>
        </a:p>
        <a:p>
          <a:pPr algn="l"/>
          <a:r>
            <a:rPr lang="en-IN" sz="1100" baseline="0">
              <a:solidFill>
                <a:schemeClr val="tx1"/>
              </a:solidFill>
            </a:rPr>
            <a:t>5. for 2023 every categories affected by it and there are raise in prices of all categories.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YAN WADNERE" refreshedDate="45732.518527083332" createdVersion="8" refreshedVersion="8" minRefreshableVersion="3" recordCount="372" xr:uid="{2E0E5CB8-FCB9-4B6D-8018-0E51C0CD1DCD}">
  <cacheSource type="worksheet">
    <worksheetSource name="Table1_1"/>
  </cacheSource>
  <cacheFields count="38">
    <cacheField name="Sector" numFmtId="0">
      <sharedItems count="3">
        <s v="Rural"/>
        <s v="Urban"/>
        <s v="Rural+Urban"/>
      </sharedItems>
    </cacheField>
    <cacheField name="Month" numFmtId="0">
      <sharedItems count="13">
        <s v="September"/>
        <s v="October"/>
        <s v="November "/>
        <s v="November"/>
        <s v="May"/>
        <s v="March"/>
        <s v="June"/>
        <s v="July"/>
        <s v="January"/>
        <s v="February"/>
        <s v="December"/>
        <s v="August"/>
        <s v="April"/>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emiMixedTypes="0" containsString="0" containsNumber="1" minValue="100.3" maxValue="175.6"/>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Personal care and effects" numFmtId="0">
      <sharedItems containsSemiMixedTypes="0" containsString="0" containsNumber="1" minValue="102.1" maxValue="185.6"/>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Pan, tobacco and intoxicants" numFmtId="0">
      <sharedItems containsSemiMixedTypes="0" containsString="0" containsNumber="1" minValue="105.1" maxValue="204.2"/>
    </cacheField>
    <cacheField name="Fuel and light" numFmtId="0">
      <sharedItems containsSemiMixedTypes="0" containsString="0" containsNumber="1" minValue="105.4" maxValue="183.4"/>
    </cacheField>
    <cacheField name="Education" numFmtId="0">
      <sharedItems containsSemiMixedTypes="0" containsString="0" containsNumber="1" minValue="103.5" maxValue="180.3"/>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 name="Food" numFmtId="0">
      <sharedItems containsSemiMixedTypes="0" containsString="0" containsNumber="1" minValue="1371.6999999999998" maxValue="2335.1" count="363">
        <n v="1488.5000000000002"/>
        <n v="1500.4"/>
        <n v="1491.6999999999998"/>
        <n v="1583.2"/>
        <n v="1593.7000000000003"/>
        <n v="1586.0999999999997"/>
        <n v="1657.6000000000001"/>
        <n v="1664.8"/>
        <n v="1658.3000000000002"/>
        <n v="1770.7"/>
        <n v="1756.3999999999996"/>
        <n v="1763.6999999999998"/>
        <n v="1784.3"/>
        <n v="1749.7"/>
        <n v="1769.9999999999998"/>
        <n v="1799.8000000000002"/>
        <n v="1748.4"/>
        <n v="1779.5"/>
        <n v="1848.7"/>
        <n v="1874.9"/>
        <n v="1857.6999999999998"/>
        <n v="1987.3999999999999"/>
        <n v="2041.6000000000001"/>
        <n v="2007"/>
        <n v="2133.6"/>
        <n v="2157.9"/>
        <n v="2142"/>
        <n v="2267.8000000000002"/>
        <n v="2306.4"/>
        <n v="2280.9"/>
        <n v="1508"/>
        <n v="1517.1999999999998"/>
        <n v="1510.2000000000003"/>
        <n v="1581.1999999999998"/>
        <n v="1587.5"/>
        <n v="1582.7"/>
        <n v="1674.6"/>
        <n v="1692.8000000000002"/>
        <n v="1678.9999999999998"/>
        <n v="1771.8000000000002"/>
        <n v="1762.8999999999999"/>
        <n v="1766.7999999999995"/>
        <n v="1790.8999999999999"/>
        <n v="1765.6999999999998"/>
        <n v="1779.6999999999998"/>
        <n v="1782.2"/>
        <n v="1754.1"/>
        <n v="1776.2"/>
        <n v="1876.8999999999996"/>
        <n v="1902.6000000000001"/>
        <n v="1885.5999999999997"/>
        <n v="2030.9"/>
        <n v="2080.1999999999998"/>
        <n v="2048.6000000000004"/>
        <n v="2164.1999999999998"/>
        <n v="2198.4000000000005"/>
        <n v="2175.5"/>
        <n v="2284.5"/>
        <n v="2322.3000000000002"/>
        <n v="2297.3000000000002"/>
        <n v="1536.8"/>
        <n v="1544.6"/>
        <n v="1538.8"/>
        <n v="1582"/>
        <n v="1587.8"/>
        <n v="1686.3"/>
        <n v="1708.4999999999998"/>
        <n v="1692.1"/>
        <n v="1764.6"/>
        <n v="1755.2"/>
        <n v="1759.8"/>
        <n v="1817.7000000000003"/>
        <n v="1796.7"/>
        <n v="1808.2"/>
        <n v="1787.4999999999995"/>
        <n v="1757.4999999999998"/>
        <n v="1775.7000000000003"/>
        <n v="1904.6000000000001"/>
        <n v="1923.9999999999998"/>
        <n v="1910.9"/>
        <n v="2082.4"/>
        <n v="2120.6999999999998"/>
        <n v="2095.6"/>
        <n v="2182"/>
        <n v="2217.8999999999996"/>
        <n v="2194.1"/>
        <n v="2287.6999999999998"/>
        <n v="2314.4"/>
        <n v="2296.8000000000002"/>
        <n v="1394"/>
        <n v="1417.1999999999998"/>
        <n v="1402.1999999999998"/>
        <n v="1513.8999999999999"/>
        <n v="1525.3000000000002"/>
        <n v="1518.5000000000005"/>
        <n v="1587.7"/>
        <n v="1598.9"/>
        <n v="1590.4"/>
        <n v="1723.6999999999998"/>
        <n v="1746.7999999999997"/>
        <n v="1730.4"/>
        <n v="1727.4999999999995"/>
        <n v="1709.6"/>
        <n v="1719.6000000000001"/>
        <n v="1782.4"/>
        <n v="1722.8999999999999"/>
        <n v="1782.1000000000001"/>
        <n v="1811.5000000000002"/>
        <n v="1791.9000000000003"/>
        <n v="1951.372839506173"/>
        <n v="1954.6748971193417"/>
        <n v="1951.7924554183812"/>
        <n v="2095.2999999999997"/>
        <n v="2124.7000000000003"/>
        <n v="2105.7000000000003"/>
        <n v="2226.8000000000002"/>
        <n v="2262.2000000000003"/>
        <n v="2238.9000000000005"/>
        <n v="2290.7000000000007"/>
        <n v="2335.1"/>
        <n v="2306.9"/>
        <n v="1382.2"/>
        <n v="1386.8"/>
        <n v="1384.0000000000002"/>
        <n v="1491.4"/>
        <n v="1483"/>
        <n v="1488.2999999999997"/>
        <n v="1571.5"/>
        <n v="1568.0000000000002"/>
        <n v="1569.1"/>
        <n v="1682.7000000000003"/>
        <n v="1667.6000000000001"/>
        <n v="1675.2"/>
        <n v="1728.5000000000002"/>
        <n v="1705.6999999999998"/>
        <n v="1718.9"/>
        <n v="1781.9999999999998"/>
        <n v="1715.5"/>
        <n v="1756"/>
        <n v="1761.2000000000003"/>
        <n v="1768.4"/>
        <n v="1762.9"/>
        <n v="1894.5999999999997"/>
        <n v="1898.5"/>
        <n v="1895.4"/>
        <n v="2025.7"/>
        <n v="2064.4999999999995"/>
        <n v="2039.3999999999999"/>
        <n v="2179.1000000000004"/>
        <n v="2196.3000000000002"/>
        <n v="2184.2000000000003"/>
        <n v="2265.8000000000002"/>
        <n v="2303.4"/>
        <n v="2279.1999999999998"/>
        <n v="1420"/>
        <n v="1464.6000000000001"/>
        <n v="1436"/>
        <n v="1525.6999999999998"/>
        <n v="1547"/>
        <n v="1533.7000000000003"/>
        <n v="1617.8999999999999"/>
        <n v="1636.6"/>
        <n v="1623.5"/>
        <n v="1748.6"/>
        <n v="1787.0000000000002"/>
        <n v="1760.6"/>
        <n v="1738.8000000000002"/>
        <n v="1731.0000000000002"/>
        <n v="1734.7"/>
        <n v="1790.2999999999997"/>
        <n v="1747.3000000000002"/>
        <n v="1774.1000000000001"/>
        <n v="1804.1999999999998"/>
        <n v="1833.2999999999997"/>
        <n v="1814.1000000000001"/>
        <n v="1951"/>
        <n v="1994.9999999999998"/>
        <n v="1966.8000000000002"/>
        <n v="2122.6"/>
        <n v="2154.1999999999998"/>
        <n v="2133.9"/>
        <n v="2248.3000000000002"/>
        <n v="2287.5"/>
        <n v="2261.9"/>
        <n v="1445.8999999999996"/>
        <n v="1489.4"/>
        <n v="1461.3999999999999"/>
        <n v="1563.2"/>
        <n v="1599.5"/>
        <n v="1576.3"/>
        <n v="1625.3"/>
        <n v="1642.8999999999999"/>
        <n v="1630.6000000000001"/>
        <n v="1770.2999999999997"/>
        <n v="1783.5"/>
        <n v="1772.9"/>
        <n v="1768.1"/>
        <n v="1769.3999999999999"/>
        <n v="1810.5000000000002"/>
        <n v="1771.1"/>
        <n v="1795.3"/>
        <n v="1826.8999999999999"/>
        <n v="1857.3999999999999"/>
        <n v="1837.5"/>
        <n v="2132.4"/>
        <n v="2171.8000000000002"/>
        <n v="2147"/>
        <n v="2252.5"/>
        <n v="2291.6"/>
        <n v="2266.3000000000002"/>
        <n v="1371.6999999999998"/>
        <n v="1376.4"/>
        <n v="1373.3000000000002"/>
        <n v="1486.6000000000001"/>
        <n v="1484.3"/>
        <n v="1485.7999999999997"/>
        <n v="1568.1"/>
        <n v="1574.8999999999999"/>
        <n v="1569.3"/>
        <n v="1690.1000000000001"/>
        <n v="1701.4"/>
        <n v="1691.7"/>
        <n v="1737.3000000000002"/>
        <n v="1713.2"/>
        <n v="1727.2999999999995"/>
        <n v="1800.7"/>
        <n v="1748.3000000000002"/>
        <n v="1779.9"/>
        <n v="1759.6000000000001"/>
        <n v="1744.3000000000002"/>
        <n v="1753.3999999999999"/>
        <n v="1938.6"/>
        <n v="1945.3999999999999"/>
        <n v="1940.3999999999999"/>
        <n v="2065.6999999999998"/>
        <n v="2097"/>
        <n v="2076.5"/>
        <n v="2153"/>
        <n v="2186.6999999999998"/>
        <n v="2283.2000000000003"/>
        <n v="2310.2000000000003"/>
        <n v="2292.6999999999998"/>
        <n v="1380.3999999999999"/>
        <n v="1390.6000000000001"/>
        <n v="1384.2"/>
        <n v="1482.2"/>
        <n v="1476"/>
        <n v="1480.1"/>
        <n v="1570.5999999999997"/>
        <n v="1571.1000000000001"/>
        <n v="1569.3999999999996"/>
        <n v="1682.6"/>
        <n v="1676.1"/>
        <n v="1678.1"/>
        <n v="1734.5000000000002"/>
        <n v="1705.3000000000002"/>
        <n v="1722.3000000000002"/>
        <n v="1781.5"/>
        <n v="1727.9"/>
        <n v="1760.3999999999996"/>
        <n v="1759.8000000000002"/>
        <n v="1754.4"/>
        <n v="1757.1"/>
        <n v="1909.7999999999997"/>
        <n v="1916.6"/>
        <n v="1911.6"/>
        <n v="2025.3"/>
        <n v="2066"/>
        <n v="2039.3000000000002"/>
        <n v="2150.4"/>
        <n v="2183.5"/>
        <n v="2161.2000000000003"/>
        <n v="2265.6999999999998"/>
        <n v="2303.1999999999998"/>
        <n v="2279.1"/>
        <n v="1509"/>
        <n v="1504.4"/>
        <n v="1507.3000000000002"/>
        <n v="1569.6"/>
        <n v="1577.1999999999998"/>
        <n v="1571.6999999999998"/>
        <n v="1682.3000000000002"/>
        <n v="1698.8"/>
        <n v="1686.1000000000001"/>
        <n v="1749.1"/>
        <n v="1729.8"/>
        <n v="1740.7"/>
        <n v="1813.6000000000001"/>
        <n v="1767.5"/>
        <n v="1794.9999999999998"/>
        <n v="1773.1000000000001"/>
        <n v="1746.6"/>
        <n v="1762.7999999999997"/>
        <n v="1940.9999999999995"/>
        <n v="1956.7"/>
        <n v="1946.1000000000001"/>
        <n v="2100.5"/>
        <n v="2125.4"/>
        <n v="2109.1"/>
        <n v="2168.1999999999998"/>
        <n v="2206.3000000000002"/>
        <n v="2180.9"/>
        <n v="2277.1"/>
        <n v="2295.7999999999997"/>
        <n v="2283.4"/>
        <n v="1462.5"/>
        <n v="1506.1000000000001"/>
        <n v="1477.4"/>
        <n v="1582.2999999999997"/>
        <n v="1617"/>
        <n v="1594.4999999999998"/>
        <n v="1646.6"/>
        <n v="1658.8999999999999"/>
        <n v="1649.6"/>
        <n v="1777.4999999999998"/>
        <n v="1783.9999999999995"/>
        <n v="1777.9"/>
        <n v="1792.4999999999998"/>
        <n v="1772.9999999999998"/>
        <n v="1783.8"/>
        <n v="1818.8"/>
        <n v="1767.6"/>
        <n v="1798.7000000000003"/>
        <n v="1834.5000000000002"/>
        <n v="1869.1"/>
        <n v="1846.5"/>
        <n v="1978.6"/>
        <n v="2024.8999999999999"/>
        <n v="1995.1999999999998"/>
        <n v="2130.8000000000002"/>
        <n v="2255.7999999999997"/>
        <n v="2293.6999999999998"/>
        <n v="2269.2000000000003"/>
        <n v="1385.8"/>
        <n v="1397.6999999999998"/>
        <n v="1390.2"/>
        <n v="1504.1000000000001"/>
        <n v="1504.0000000000002"/>
        <n v="1504.1"/>
        <n v="1577.2"/>
        <n v="1576.1"/>
        <n v="1575.7"/>
        <n v="1701.6000000000004"/>
        <n v="1706.3"/>
        <n v="1701.3"/>
        <n v="1726.3"/>
        <n v="1708.1"/>
        <n v="1718.4"/>
        <n v="1780"/>
        <n v="1720.0000000000002"/>
        <n v="1757.1000000000001"/>
        <n v="1941.4666666666667"/>
        <n v="1963.3222222222223"/>
        <n v="1949.3296296296296"/>
        <n v="2049.5"/>
        <n v="2089.6"/>
        <n v="2064.1"/>
        <n v="2206.6"/>
        <n v="2230.4"/>
        <n v="2214.3000000000002"/>
        <n v="2274.1999999999998"/>
        <n v="2317.7000000000003"/>
        <n v="2289.6000000000004"/>
      </sharedItems>
    </cacheField>
    <cacheField name="Clothing &amp; Footwear" numFmtId="0">
      <sharedItems containsSemiMixedTypes="0" containsString="0" containsNumber="1" minValue="316.7" maxValue="569.90000000000009"/>
    </cacheField>
    <cacheField name="Essential services" numFmtId="0">
      <sharedItems containsSemiMixedTypes="0" containsString="0" containsNumber="1" minValue="1250.4000000000001" maxValue="2171.8000000000002"/>
    </cacheField>
    <cacheField name="Healthcare" numFmtId="0">
      <sharedItems containsSemiMixedTypes="0" containsString="0" containsNumber="1" minValue="207.8" maxValue="372.70000000000005"/>
    </cacheField>
    <cacheField name="Luxury &amp;Other Thing" numFmtId="0">
      <sharedItems containsSemiMixedTypes="0" containsString="0" containsNumber="1" minValue="520.70000000000005" maxValue="916"/>
    </cacheField>
    <cacheField name="Energy" numFmtId="0">
      <sharedItems containsSemiMixedTypes="0" containsString="0" containsNumber="1" minValue="105.4" maxValue="183.4"/>
    </cacheField>
    <cacheField name="All indexs" numFmtId="0">
      <sharedItems containsSemiMixedTypes="0" containsString="0" containsNumber="1" minValue="3672.6000000000004" maxValue="6317.4000000000005"/>
    </cacheField>
    <cacheField name="All Indexs Excep Energy" numFmtId="0">
      <sharedItems containsSemiMixedTypes="0" containsString="0" containsNumber="1" minValue="3672.6000000000004" maxValue="6317.4000000000005"/>
    </cacheField>
  </cacheFields>
  <extLst>
    <ext xmlns:x14="http://schemas.microsoft.com/office/spreadsheetml/2009/9/main" uri="{725AE2AE-9491-48be-B2B4-4EB974FC3084}">
      <x14:pivotCacheDefinition pivotCacheId="18433613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n v="115.4"/>
    <n v="115.7"/>
    <n v="111.7"/>
    <n v="111"/>
    <n v="107.4"/>
    <n v="110.9"/>
    <n v="154"/>
    <n v="108.1"/>
    <n v="104.2"/>
    <n v="107.9"/>
    <n v="110.4"/>
    <n v="114"/>
    <n v="117.8"/>
    <n v="112.7"/>
    <n v="111.4"/>
    <n v="112.5"/>
    <n v="139.5"/>
    <n v="109.6"/>
    <n v="108.3"/>
    <n v="106.7"/>
    <n v="109.3"/>
    <n v="107.7"/>
    <n v="111.7"/>
    <n v="111.1"/>
    <n v="109.8"/>
    <n v="108.7"/>
    <n v="114.2"/>
    <x v="0"/>
    <n v="336.6"/>
    <n v="1350.3"/>
    <n v="215"/>
    <n v="549"/>
    <n v="111.1"/>
    <n v="3939.4000000000005"/>
    <n v="3939.4000000000005"/>
  </r>
  <r>
    <x v="1"/>
    <x v="0"/>
    <x v="0"/>
    <n v="118.6"/>
    <n v="119.1"/>
    <n v="113.2"/>
    <n v="109.6"/>
    <n v="101.7"/>
    <n v="103.2"/>
    <n v="174.3"/>
    <n v="105.1"/>
    <n v="100.8"/>
    <n v="109.1"/>
    <n v="111.1"/>
    <n v="115.4"/>
    <n v="119.2"/>
    <n v="111.4"/>
    <n v="109"/>
    <n v="111.1"/>
    <n v="109.7"/>
    <n v="109.6"/>
    <n v="107.9"/>
    <n v="106.9"/>
    <n v="110.4"/>
    <n v="107.4"/>
    <n v="112.9"/>
    <n v="109.5"/>
    <n v="111.2"/>
    <n v="109.4"/>
    <n v="113.2"/>
    <x v="1"/>
    <n v="331.5"/>
    <n v="1317"/>
    <n v="214.8"/>
    <n v="550.4"/>
    <n v="109.5"/>
    <n v="3914.1000000000004"/>
    <n v="3914.1000000000004"/>
  </r>
  <r>
    <x v="2"/>
    <x v="0"/>
    <x v="0"/>
    <n v="116.4"/>
    <n v="116.9"/>
    <n v="112.3"/>
    <n v="110.5"/>
    <n v="105.3"/>
    <n v="107.3"/>
    <n v="160.9"/>
    <n v="107.1"/>
    <n v="103.1"/>
    <n v="108.3"/>
    <n v="110.7"/>
    <n v="114.6"/>
    <n v="118.3"/>
    <n v="112.2"/>
    <n v="110.4"/>
    <n v="111.9"/>
    <n v="109.7"/>
    <n v="109.6"/>
    <n v="108.1"/>
    <n v="106.8"/>
    <n v="109.9"/>
    <n v="107.5"/>
    <n v="112"/>
    <n v="110.5"/>
    <n v="110.6"/>
    <n v="109"/>
    <n v="113.7"/>
    <x v="2"/>
    <n v="334.5"/>
    <n v="1319.1999999999998"/>
    <n v="214.89999999999998"/>
    <n v="549.6"/>
    <n v="110.5"/>
    <n v="3909.8999999999996"/>
    <n v="3909.8999999999996"/>
  </r>
  <r>
    <x v="0"/>
    <x v="0"/>
    <x v="1"/>
    <n v="122.3"/>
    <n v="122.4"/>
    <n v="117.8"/>
    <n v="122.7"/>
    <n v="110.4"/>
    <n v="129.80000000000001"/>
    <n v="158.80000000000001"/>
    <n v="115"/>
    <n v="104.7"/>
    <n v="114.9"/>
    <n v="116.5"/>
    <n v="122.6"/>
    <n v="125.3"/>
    <n v="121.7"/>
    <n v="119.2"/>
    <n v="121.3"/>
    <n v="139.5"/>
    <n v="116.7"/>
    <n v="114.5"/>
    <n v="109.1"/>
    <n v="112.8"/>
    <n v="112.6"/>
    <n v="119.5"/>
    <n v="115.8"/>
    <n v="116.6"/>
    <n v="113.7"/>
    <n v="120.9"/>
    <x v="3"/>
    <n v="362.2"/>
    <n v="1419.2999999999997"/>
    <n v="223.6"/>
    <n v="578.20000000000005"/>
    <n v="115.8"/>
    <n v="4166.5"/>
    <n v="4166.5"/>
  </r>
  <r>
    <x v="1"/>
    <x v="0"/>
    <x v="1"/>
    <n v="124.2"/>
    <n v="125.4"/>
    <n v="116.4"/>
    <n v="122.7"/>
    <n v="103.5"/>
    <n v="124.5"/>
    <n v="168.6"/>
    <n v="116.9"/>
    <n v="101.9"/>
    <n v="122.9"/>
    <n v="114.8"/>
    <n v="125.2"/>
    <n v="126.7"/>
    <n v="119.2"/>
    <n v="114.5"/>
    <n v="118.4"/>
    <n v="116.1"/>
    <n v="115.5"/>
    <n v="112.3"/>
    <n v="110"/>
    <n v="111.2"/>
    <n v="113.4"/>
    <n v="124.3"/>
    <n v="111.8"/>
    <n v="120"/>
    <n v="113.6"/>
    <n v="119.2"/>
    <x v="4"/>
    <n v="352.1"/>
    <n v="1386.7"/>
    <n v="222.3"/>
    <n v="583.1"/>
    <n v="111.8"/>
    <n v="4137.9000000000005"/>
    <n v="4137.9000000000005"/>
  </r>
  <r>
    <x v="2"/>
    <x v="0"/>
    <x v="1"/>
    <n v="122.9"/>
    <n v="123.5"/>
    <n v="117.3"/>
    <n v="122.7"/>
    <n v="107.9"/>
    <n v="127.3"/>
    <n v="162.1"/>
    <n v="115.6"/>
    <n v="103.8"/>
    <n v="117.6"/>
    <n v="115.8"/>
    <n v="123.8"/>
    <n v="125.8"/>
    <n v="120.7"/>
    <n v="117.2"/>
    <n v="120.1"/>
    <n v="116.1"/>
    <n v="116.1"/>
    <n v="113.7"/>
    <n v="109.5"/>
    <n v="112"/>
    <n v="113.1"/>
    <n v="120.8"/>
    <n v="114.3"/>
    <n v="118.6"/>
    <n v="113.7"/>
    <n v="120.1"/>
    <x v="5"/>
    <n v="358"/>
    <n v="1392.1999999999998"/>
    <n v="223.2"/>
    <n v="580.5"/>
    <n v="114.3"/>
    <n v="4139.9999999999991"/>
    <n v="4139.9999999999991"/>
  </r>
  <r>
    <x v="0"/>
    <x v="0"/>
    <x v="2"/>
    <n v="125.1"/>
    <n v="131.1"/>
    <n v="120.7"/>
    <n v="129.19999999999999"/>
    <n v="114.7"/>
    <n v="132.30000000000001"/>
    <n v="158.9"/>
    <n v="142.1"/>
    <n v="92.5"/>
    <n v="125.4"/>
    <n v="121.9"/>
    <n v="132.69999999999999"/>
    <n v="131"/>
    <n v="130.4"/>
    <n v="126.8"/>
    <n v="129.9"/>
    <n v="139.5"/>
    <n v="124.5"/>
    <n v="121.4"/>
    <n v="113.7"/>
    <n v="113.8"/>
    <n v="119.6"/>
    <n v="131"/>
    <n v="123.7"/>
    <n v="124.5"/>
    <n v="118.8"/>
    <n v="127"/>
    <x v="6"/>
    <n v="387.1"/>
    <n v="1498.8"/>
    <n v="235.10000000000002"/>
    <n v="617.6"/>
    <n v="123.7"/>
    <n v="4396.2"/>
    <n v="4396.2"/>
  </r>
  <r>
    <x v="1"/>
    <x v="0"/>
    <x v="2"/>
    <n v="123.4"/>
    <n v="129"/>
    <n v="115.6"/>
    <n v="128.30000000000001"/>
    <n v="107"/>
    <n v="124"/>
    <n v="168.5"/>
    <n v="165.4"/>
    <n v="86.3"/>
    <n v="134.4"/>
    <n v="119.1"/>
    <n v="132.30000000000001"/>
    <n v="131.5"/>
    <n v="124"/>
    <n v="118.6"/>
    <n v="123.2"/>
    <n v="121.6"/>
    <n v="120.4"/>
    <n v="117.1"/>
    <n v="112.9"/>
    <n v="109.1"/>
    <n v="117.3"/>
    <n v="134.69999999999999"/>
    <n v="115.1"/>
    <n v="126.5"/>
    <n v="116.2"/>
    <n v="123.5"/>
    <x v="7"/>
    <n v="365.8"/>
    <n v="1440.5"/>
    <n v="230"/>
    <n v="609.80000000000007"/>
    <n v="115.1"/>
    <n v="4310.8999999999996"/>
    <n v="4310.8999999999996"/>
  </r>
  <r>
    <x v="2"/>
    <x v="0"/>
    <x v="2"/>
    <n v="124.6"/>
    <n v="130.4"/>
    <n v="118.7"/>
    <n v="128.9"/>
    <n v="111.9"/>
    <n v="128.4"/>
    <n v="162.19999999999999"/>
    <n v="150"/>
    <n v="90.4"/>
    <n v="128.4"/>
    <n v="120.7"/>
    <n v="132.5"/>
    <n v="131.19999999999999"/>
    <n v="127.9"/>
    <n v="123.4"/>
    <n v="127.2"/>
    <n v="121.6"/>
    <n v="122.6"/>
    <n v="119.8"/>
    <n v="113.4"/>
    <n v="111.3"/>
    <n v="118.3"/>
    <n v="132"/>
    <n v="120.4"/>
    <n v="125.7"/>
    <n v="117.5"/>
    <n v="125.4"/>
    <x v="8"/>
    <n v="378.5"/>
    <n v="1463.6000000000001"/>
    <n v="233.2"/>
    <n v="613.90000000000009"/>
    <n v="120.4"/>
    <n v="4347.5"/>
    <n v="4347.5"/>
  </r>
  <r>
    <x v="0"/>
    <x v="0"/>
    <x v="3"/>
    <n v="130.80000000000001"/>
    <n v="138.19999999999999"/>
    <n v="130.5"/>
    <n v="135.5"/>
    <n v="120.2"/>
    <n v="139.19999999999999"/>
    <n v="149.5"/>
    <n v="170.4"/>
    <n v="113.1"/>
    <n v="135.80000000000001"/>
    <n v="128.80000000000001"/>
    <n v="141.5"/>
    <n v="137.19999999999999"/>
    <n v="138.5"/>
    <n v="133.5"/>
    <n v="137.80000000000001"/>
    <n v="139.5"/>
    <n v="131.1"/>
    <n v="127.8"/>
    <n v="122.8"/>
    <n v="117"/>
    <n v="125.7"/>
    <n v="139.9"/>
    <n v="129.69999999999999"/>
    <n v="132.19999999999999"/>
    <n v="124.9"/>
    <n v="133.4"/>
    <x v="9"/>
    <n v="409.8"/>
    <n v="1575.5000000000002"/>
    <n v="250.6"/>
    <n v="652.4"/>
    <n v="129.69999999999999"/>
    <n v="4659"/>
    <n v="4659"/>
  </r>
  <r>
    <x v="1"/>
    <x v="0"/>
    <x v="3"/>
    <n v="128.1"/>
    <n v="137.69999999999999"/>
    <n v="130.6"/>
    <n v="132.6"/>
    <n v="111.9"/>
    <n v="132.5"/>
    <n v="152.9"/>
    <n v="173.6"/>
    <n v="115.1"/>
    <n v="144.80000000000001"/>
    <n v="122.1"/>
    <n v="138.80000000000001"/>
    <n v="135.69999999999999"/>
    <n v="128.69999999999999"/>
    <n v="121.6"/>
    <n v="127.7"/>
    <n v="127.9"/>
    <n v="124.3"/>
    <n v="121.4"/>
    <n v="121.2"/>
    <n v="111.8"/>
    <n v="120.8"/>
    <n v="143.9"/>
    <n v="114.8"/>
    <n v="131.6"/>
    <n v="120.5"/>
    <n v="128"/>
    <x v="10"/>
    <n v="378"/>
    <n v="1495.6999999999998"/>
    <n v="242.60000000000002"/>
    <n v="631.6"/>
    <n v="114.8"/>
    <n v="4504.2999999999993"/>
    <n v="4504.2999999999993"/>
  </r>
  <r>
    <x v="2"/>
    <x v="0"/>
    <x v="3"/>
    <n v="129.9"/>
    <n v="138"/>
    <n v="130.5"/>
    <n v="134.4"/>
    <n v="117.2"/>
    <n v="136.1"/>
    <n v="150.69999999999999"/>
    <n v="171.5"/>
    <n v="113.8"/>
    <n v="138.80000000000001"/>
    <n v="126"/>
    <n v="140.19999999999999"/>
    <n v="136.6"/>
    <n v="134.6"/>
    <n v="128.6"/>
    <n v="133.80000000000001"/>
    <n v="127.9"/>
    <n v="127.9"/>
    <n v="125.4"/>
    <n v="122.1"/>
    <n v="114.3"/>
    <n v="122.9"/>
    <n v="141"/>
    <n v="124.1"/>
    <n v="131.80000000000001"/>
    <n v="122.8"/>
    <n v="130.9"/>
    <x v="11"/>
    <n v="397"/>
    <n v="1534.3999999999999"/>
    <n v="247.5"/>
    <n v="642.59999999999991"/>
    <n v="124.1"/>
    <n v="4585.1999999999989"/>
    <n v="4585.1999999999989"/>
  </r>
  <r>
    <x v="0"/>
    <x v="0"/>
    <x v="4"/>
    <n v="135.19999999999999"/>
    <n v="142"/>
    <n v="130.5"/>
    <n v="140.19999999999999"/>
    <n v="120.7"/>
    <n v="147.80000000000001"/>
    <n v="154.5"/>
    <n v="137.1"/>
    <n v="121"/>
    <n v="134.69999999999999"/>
    <n v="131.69999999999999"/>
    <n v="149.30000000000001"/>
    <n v="139.6"/>
    <n v="146.1"/>
    <n v="139.69999999999999"/>
    <n v="145.19999999999999"/>
    <n v="139.5"/>
    <n v="137.9"/>
    <n v="133.4"/>
    <n v="126.7"/>
    <n v="121.2"/>
    <n v="132.30000000000001"/>
    <n v="149.80000000000001"/>
    <n v="137.4"/>
    <n v="139.6"/>
    <n v="130.30000000000001"/>
    <n v="137.6"/>
    <x v="12"/>
    <n v="430.99999999999994"/>
    <n v="1648.8"/>
    <n v="260.10000000000002"/>
    <n v="689.40000000000009"/>
    <n v="137.4"/>
    <n v="4813.6000000000004"/>
    <n v="4813.6000000000004"/>
  </r>
  <r>
    <x v="1"/>
    <x v="0"/>
    <x v="4"/>
    <n v="133.6"/>
    <n v="143"/>
    <n v="129.69999999999999"/>
    <n v="138.69999999999999"/>
    <n v="114.5"/>
    <n v="137.5"/>
    <n v="160.69999999999999"/>
    <n v="124.5"/>
    <n v="122.4"/>
    <n v="137.30000000000001"/>
    <n v="124.8"/>
    <n v="145"/>
    <n v="138"/>
    <n v="133.30000000000001"/>
    <n v="124.6"/>
    <n v="132"/>
    <n v="135.69999999999999"/>
    <n v="128.1"/>
    <n v="126.1"/>
    <n v="124.4"/>
    <n v="115.7"/>
    <n v="124.5"/>
    <n v="153.6"/>
    <n v="120.6"/>
    <n v="135.9"/>
    <n v="124.5"/>
    <n v="132.4"/>
    <x v="13"/>
    <n v="389.9"/>
    <n v="1554.5"/>
    <n v="250.5"/>
    <n v="659.1"/>
    <n v="120.6"/>
    <n v="4603.7"/>
    <n v="4603.7"/>
  </r>
  <r>
    <x v="2"/>
    <x v="0"/>
    <x v="4"/>
    <n v="134.69999999999999"/>
    <n v="142.4"/>
    <n v="130.19999999999999"/>
    <n v="139.6"/>
    <n v="118.4"/>
    <n v="143"/>
    <n v="156.6"/>
    <n v="132.9"/>
    <n v="121.5"/>
    <n v="135.6"/>
    <n v="128.80000000000001"/>
    <n v="147.30000000000001"/>
    <n v="139"/>
    <n v="141.1"/>
    <n v="133.4"/>
    <n v="140"/>
    <n v="135.69999999999999"/>
    <n v="133.30000000000001"/>
    <n v="130.6"/>
    <n v="125.7"/>
    <n v="118.3"/>
    <n v="127.9"/>
    <n v="150.80000000000001"/>
    <n v="131"/>
    <n v="137.4"/>
    <n v="127.5"/>
    <n v="135.19999999999999"/>
    <x v="14"/>
    <n v="414.5"/>
    <n v="1605.2000000000003"/>
    <n v="256.3"/>
    <n v="674.6"/>
    <n v="131"/>
    <n v="4720.6000000000004"/>
    <n v="4720.6000000000004"/>
  </r>
  <r>
    <x v="0"/>
    <x v="0"/>
    <x v="5"/>
    <n v="139.4"/>
    <n v="147.19999999999999"/>
    <n v="136.6"/>
    <n v="143.69999999999999"/>
    <n v="124.6"/>
    <n v="150.1"/>
    <n v="149.4"/>
    <n v="125.4"/>
    <n v="114.4"/>
    <n v="138.69999999999999"/>
    <n v="133.1"/>
    <n v="155.9"/>
    <n v="141.30000000000001"/>
    <n v="152.1"/>
    <n v="146.1"/>
    <n v="151.30000000000001"/>
    <n v="139.5"/>
    <n v="144"/>
    <n v="140"/>
    <n v="132"/>
    <n v="129.9"/>
    <n v="140"/>
    <n v="157.69999999999999"/>
    <n v="149"/>
    <n v="147.6"/>
    <n v="137.4"/>
    <n v="142.1"/>
    <x v="15"/>
    <n v="449.5"/>
    <n v="1729.2"/>
    <n v="272"/>
    <n v="731.69999999999993"/>
    <n v="149"/>
    <n v="4982.2"/>
    <n v="4982.2"/>
  </r>
  <r>
    <x v="1"/>
    <x v="0"/>
    <x v="5"/>
    <n v="137"/>
    <n v="143.1"/>
    <n v="132.80000000000001"/>
    <n v="141.5"/>
    <n v="117.8"/>
    <n v="140"/>
    <n v="151.30000000000001"/>
    <n v="113.5"/>
    <n v="112.3"/>
    <n v="141.19999999999999"/>
    <n v="127.7"/>
    <n v="151.30000000000001"/>
    <n v="138.9"/>
    <n v="140.80000000000001"/>
    <n v="129.30000000000001"/>
    <n v="139.1"/>
    <n v="145.30000000000001"/>
    <n v="134.9"/>
    <n v="135.69999999999999"/>
    <n v="129.30000000000001"/>
    <n v="122.5"/>
    <n v="130.19999999999999"/>
    <n v="163.30000000000001"/>
    <n v="131.19999999999999"/>
    <n v="145.19999999999999"/>
    <n v="131.9"/>
    <n v="138.1"/>
    <x v="16"/>
    <n v="409.20000000000005"/>
    <n v="1646.8"/>
    <n v="265"/>
    <n v="701.8"/>
    <n v="131.19999999999999"/>
    <n v="4771.2000000000007"/>
    <n v="4771.2000000000007"/>
  </r>
  <r>
    <x v="2"/>
    <x v="0"/>
    <x v="5"/>
    <n v="138.6"/>
    <n v="145.80000000000001"/>
    <n v="135.1"/>
    <n v="142.9"/>
    <n v="122.1"/>
    <n v="145.4"/>
    <n v="150"/>
    <n v="121.4"/>
    <n v="113.7"/>
    <n v="139.5"/>
    <n v="130.80000000000001"/>
    <n v="153.80000000000001"/>
    <n v="140.4"/>
    <n v="147.69999999999999"/>
    <n v="139.1"/>
    <n v="146.5"/>
    <n v="145.30000000000001"/>
    <n v="139.69999999999999"/>
    <n v="138.4"/>
    <n v="130.9"/>
    <n v="126"/>
    <n v="134.5"/>
    <n v="159.19999999999999"/>
    <n v="142.30000000000001"/>
    <n v="146.19999999999999"/>
    <n v="134.69999999999999"/>
    <n v="140.19999999999999"/>
    <x v="17"/>
    <n v="433.29999999999995"/>
    <n v="1695.8"/>
    <n v="269.3"/>
    <n v="716.90000000000009"/>
    <n v="142.30000000000001"/>
    <n v="4894.8000000000011"/>
    <n v="4894.8000000000011"/>
  </r>
  <r>
    <x v="0"/>
    <x v="0"/>
    <x v="6"/>
    <n v="140.1"/>
    <n v="161.9"/>
    <n v="138.30000000000001"/>
    <n v="145.69999999999999"/>
    <n v="125.1"/>
    <n v="143.80000000000001"/>
    <n v="163.4"/>
    <n v="132.19999999999999"/>
    <n v="112.8"/>
    <n v="144.19999999999999"/>
    <n v="138.5"/>
    <n v="157.19999999999999"/>
    <n v="145.5"/>
    <n v="151.69999999999999"/>
    <n v="146.6"/>
    <n v="151"/>
    <n v="139.5"/>
    <n v="150.30000000000001"/>
    <n v="153.4"/>
    <n v="140.19999999999999"/>
    <n v="131.6"/>
    <n v="148.30000000000001"/>
    <n v="165.7"/>
    <n v="146.9"/>
    <n v="160.19999999999999"/>
    <n v="145.4"/>
    <n v="146.69999999999999"/>
    <x v="18"/>
    <n v="449.29999999999995"/>
    <n v="1785.3999999999999"/>
    <n v="293.60000000000002"/>
    <n v="766.49999999999989"/>
    <n v="146.9"/>
    <n v="5143.5"/>
    <n v="5143.5"/>
  </r>
  <r>
    <x v="1"/>
    <x v="0"/>
    <x v="6"/>
    <n v="142.69999999999999"/>
    <n v="158.69999999999999"/>
    <n v="141.6"/>
    <n v="144.9"/>
    <n v="120.8"/>
    <n v="149.80000000000001"/>
    <n v="192.4"/>
    <n v="130.30000000000001"/>
    <n v="114"/>
    <n v="143.80000000000001"/>
    <n v="130"/>
    <n v="156.4"/>
    <n v="149.5"/>
    <n v="145.30000000000001"/>
    <n v="132.19999999999999"/>
    <n v="143.30000000000001"/>
    <n v="152.19999999999999"/>
    <n v="138.30000000000001"/>
    <n v="141.9"/>
    <n v="139"/>
    <n v="121.2"/>
    <n v="135.9"/>
    <n v="168.6"/>
    <n v="126.6"/>
    <n v="151.6"/>
    <n v="135.69999999999999"/>
    <n v="144.69999999999999"/>
    <x v="19"/>
    <n v="420.8"/>
    <n v="1696.0999999999997"/>
    <n v="280.89999999999998"/>
    <n v="718.40000000000009"/>
    <n v="126.6"/>
    <n v="4991.1000000000004"/>
    <n v="4991.1000000000004"/>
  </r>
  <r>
    <x v="2"/>
    <x v="0"/>
    <x v="6"/>
    <n v="140.9"/>
    <n v="160.80000000000001"/>
    <n v="139.6"/>
    <n v="145.4"/>
    <n v="123.5"/>
    <n v="146.6"/>
    <n v="173.2"/>
    <n v="131.6"/>
    <n v="113.2"/>
    <n v="144.1"/>
    <n v="135"/>
    <n v="156.80000000000001"/>
    <n v="147"/>
    <n v="149.19999999999999"/>
    <n v="140.6"/>
    <n v="147.9"/>
    <n v="152.19999999999999"/>
    <n v="144.6"/>
    <n v="149"/>
    <n v="139.69999999999999"/>
    <n v="126.1"/>
    <n v="141.30000000000001"/>
    <n v="166.5"/>
    <n v="139.19999999999999"/>
    <n v="155.19999999999999"/>
    <n v="140.69999999999999"/>
    <n v="145.80000000000001"/>
    <x v="20"/>
    <n v="437.69999999999993"/>
    <n v="1751.4999999999998"/>
    <n v="288.7"/>
    <n v="742.90000000000009"/>
    <n v="139.19999999999999"/>
    <n v="5078.5"/>
    <n v="5078.5"/>
  </r>
  <r>
    <x v="0"/>
    <x v="0"/>
    <x v="7"/>
    <n v="146.9"/>
    <n v="183.9"/>
    <n v="149.5"/>
    <n v="153.4"/>
    <n v="140.4"/>
    <n v="147"/>
    <n v="178.8"/>
    <n v="149.30000000000001"/>
    <n v="115.1"/>
    <n v="160"/>
    <n v="145.4"/>
    <n v="161.6"/>
    <n v="156.1"/>
    <n v="155.4"/>
    <n v="149.9"/>
    <n v="154.6"/>
    <n v="139.5"/>
    <n v="151.6"/>
    <n v="159.1"/>
    <n v="157.4"/>
    <n v="144.6"/>
    <n v="152.80000000000001"/>
    <n v="182.9"/>
    <n v="146.4"/>
    <n v="161.1"/>
    <n v="153.69999999999999"/>
    <n v="155.4"/>
    <x v="21"/>
    <n v="459.9"/>
    <n v="1855.3"/>
    <n v="316.5"/>
    <n v="796.90000000000009"/>
    <n v="146.4"/>
    <n v="5416"/>
    <n v="5416"/>
  </r>
  <r>
    <x v="1"/>
    <x v="0"/>
    <x v="7"/>
    <n v="151.5"/>
    <n v="193.1"/>
    <n v="157.30000000000001"/>
    <n v="153.9"/>
    <n v="134.4"/>
    <n v="155.4"/>
    <n v="202"/>
    <n v="150.80000000000001"/>
    <n v="118.9"/>
    <n v="160.9"/>
    <n v="137.69999999999999"/>
    <n v="164.4"/>
    <n v="161.30000000000001"/>
    <n v="150.19999999999999"/>
    <n v="136.30000000000001"/>
    <n v="148.1"/>
    <n v="156.30000000000001"/>
    <n v="145.4"/>
    <n v="150"/>
    <n v="159.80000000000001"/>
    <n v="135.1"/>
    <n v="141.80000000000001"/>
    <n v="188.7"/>
    <n v="137.19999999999999"/>
    <n v="154.9"/>
    <n v="146"/>
    <n v="154"/>
    <x v="22"/>
    <n v="434.6"/>
    <n v="1803.8000000000002"/>
    <n v="309.8"/>
    <n v="768.6"/>
    <n v="137.19999999999999"/>
    <n v="5358.4000000000005"/>
    <n v="5358.4000000000005"/>
  </r>
  <r>
    <x v="2"/>
    <x v="0"/>
    <x v="7"/>
    <n v="148.4"/>
    <n v="187.1"/>
    <n v="152.5"/>
    <n v="153.6"/>
    <n v="138.19999999999999"/>
    <n v="150.9"/>
    <n v="186.7"/>
    <n v="149.80000000000001"/>
    <n v="116.4"/>
    <n v="160.30000000000001"/>
    <n v="142.19999999999999"/>
    <n v="162.9"/>
    <n v="158"/>
    <n v="153.4"/>
    <n v="144.30000000000001"/>
    <n v="152"/>
    <n v="156.30000000000001"/>
    <n v="148.69999999999999"/>
    <n v="155.6"/>
    <n v="158.4"/>
    <n v="139.6"/>
    <n v="146.6"/>
    <n v="184.4"/>
    <n v="142.9"/>
    <n v="157.5"/>
    <n v="150"/>
    <n v="154.69999999999999"/>
    <x v="23"/>
    <n v="449.70000000000005"/>
    <n v="1839.7"/>
    <n v="314"/>
    <n v="781.4"/>
    <n v="142.9"/>
    <n v="5391.7999999999993"/>
    <n v="5391.7999999999993"/>
  </r>
  <r>
    <x v="0"/>
    <x v="0"/>
    <x v="8"/>
    <n v="145.4"/>
    <n v="202.1"/>
    <n v="172"/>
    <n v="158"/>
    <n v="195.5"/>
    <n v="152.69999999999999"/>
    <n v="151.4"/>
    <n v="163.9"/>
    <n v="119.3"/>
    <n v="170.1"/>
    <n v="168.3"/>
    <n v="172.8"/>
    <n v="162.1"/>
    <n v="167.7"/>
    <n v="163.6"/>
    <n v="167.1"/>
    <n v="139.5"/>
    <n v="161.30000000000001"/>
    <n v="171.9"/>
    <n v="160.19999999999999"/>
    <n v="157.80000000000001"/>
    <n v="162.69999999999999"/>
    <n v="190.5"/>
    <n v="163.69999999999999"/>
    <n v="168.5"/>
    <n v="163.80000000000001"/>
    <n v="164"/>
    <x v="24"/>
    <n v="498.4"/>
    <n v="1974.5"/>
    <n v="332.1"/>
    <n v="849.2"/>
    <n v="163.69999999999999"/>
    <n v="5787.8"/>
    <n v="5787.8"/>
  </r>
  <r>
    <x v="1"/>
    <x v="0"/>
    <x v="8"/>
    <n v="149.30000000000001"/>
    <n v="207.4"/>
    <n v="174.1"/>
    <n v="159.1"/>
    <n v="175"/>
    <n v="161.19999999999999"/>
    <n v="183.5"/>
    <n v="164.5"/>
    <n v="120.4"/>
    <n v="166.2"/>
    <n v="154.80000000000001"/>
    <n v="175.1"/>
    <n v="167.3"/>
    <n v="159.80000000000001"/>
    <n v="143.6"/>
    <n v="157.4"/>
    <n v="162.1"/>
    <n v="153.30000000000001"/>
    <n v="162.80000000000001"/>
    <n v="159.6"/>
    <n v="150.5"/>
    <n v="153.9"/>
    <n v="196.5"/>
    <n v="160.80000000000001"/>
    <n v="160.30000000000001"/>
    <n v="156"/>
    <n v="162.30000000000001"/>
    <x v="25"/>
    <n v="460.79999999999995"/>
    <n v="1920.6"/>
    <n v="322.39999999999998"/>
    <n v="827.5"/>
    <n v="160.80000000000001"/>
    <n v="5689.1999999999989"/>
    <n v="5689.1999999999989"/>
  </r>
  <r>
    <x v="2"/>
    <x v="0"/>
    <x v="8"/>
    <n v="146.6"/>
    <n v="204"/>
    <n v="172.8"/>
    <n v="158.4"/>
    <n v="188"/>
    <n v="156.69999999999999"/>
    <n v="162.30000000000001"/>
    <n v="164.1"/>
    <n v="119.7"/>
    <n v="168.8"/>
    <n v="162.69999999999999"/>
    <n v="173.9"/>
    <n v="164"/>
    <n v="164.6"/>
    <n v="155.30000000000001"/>
    <n v="163.30000000000001"/>
    <n v="162.1"/>
    <n v="157.5"/>
    <n v="168.4"/>
    <n v="160"/>
    <n v="154"/>
    <n v="157.69999999999999"/>
    <n v="192.1"/>
    <n v="162.6"/>
    <n v="163.69999999999999"/>
    <n v="160"/>
    <n v="163.19999999999999"/>
    <x v="26"/>
    <n v="483.2"/>
    <n v="1961.2999999999997"/>
    <n v="328.4"/>
    <n v="836.09999999999991"/>
    <n v="162.6"/>
    <n v="5751"/>
    <n v="5751"/>
  </r>
  <r>
    <x v="0"/>
    <x v="0"/>
    <x v="9"/>
    <n v="162.9"/>
    <n v="206.7"/>
    <n v="169"/>
    <n v="169.5"/>
    <n v="194.1"/>
    <n v="164.1"/>
    <n v="176.9"/>
    <n v="169"/>
    <n v="120.8"/>
    <n v="199.1"/>
    <n v="175.4"/>
    <n v="184.8"/>
    <n v="175.5"/>
    <n v="184.7"/>
    <n v="183.3"/>
    <n v="184.5"/>
    <n v="139.5"/>
    <n v="173.6"/>
    <n v="180.2"/>
    <n v="170.8"/>
    <n v="166.9"/>
    <n v="170"/>
    <n v="194.5"/>
    <n v="179.7"/>
    <n v="176.2"/>
    <n v="173.1"/>
    <n v="176.4"/>
    <x v="27"/>
    <n v="552.5"/>
    <n v="2103.9"/>
    <n v="351"/>
    <n v="893.50000000000011"/>
    <n v="179.7"/>
    <n v="6168.7000000000007"/>
    <n v="6168.7000000000007"/>
  </r>
  <r>
    <x v="1"/>
    <x v="0"/>
    <x v="9"/>
    <n v="164.9"/>
    <n v="213.7"/>
    <n v="170.9"/>
    <n v="170.1"/>
    <n v="179.3"/>
    <n v="167.5"/>
    <n v="220.8"/>
    <n v="169.2"/>
    <n v="123.1"/>
    <n v="193.6"/>
    <n v="161.1"/>
    <n v="190.4"/>
    <n v="181.8"/>
    <n v="175"/>
    <n v="161.69999999999999"/>
    <n v="173"/>
    <n v="169.5"/>
    <n v="165"/>
    <n v="173.8"/>
    <n v="171.1"/>
    <n v="158.19999999999999"/>
    <n v="165.8"/>
    <n v="199.7"/>
    <n v="179.2"/>
    <n v="170.9"/>
    <n v="166.1"/>
    <n v="174.1"/>
    <x v="28"/>
    <n v="509.7"/>
    <n v="2062.9"/>
    <n v="344.9"/>
    <n v="881.7"/>
    <n v="179.2"/>
    <n v="6105.5999999999995"/>
    <n v="6105.5999999999995"/>
  </r>
  <r>
    <x v="2"/>
    <x v="0"/>
    <x v="9"/>
    <n v="163.5"/>
    <n v="209.2"/>
    <n v="169.7"/>
    <n v="169.7"/>
    <n v="188.7"/>
    <n v="165.7"/>
    <n v="191.8"/>
    <n v="169.1"/>
    <n v="121.6"/>
    <n v="197.3"/>
    <n v="169.4"/>
    <n v="187.4"/>
    <n v="177.8"/>
    <n v="180.9"/>
    <n v="174.3"/>
    <n v="179.9"/>
    <n v="169.5"/>
    <n v="169.5"/>
    <n v="177.8"/>
    <n v="170.9"/>
    <n v="162.30000000000001"/>
    <n v="167.6"/>
    <n v="195.9"/>
    <n v="179.5"/>
    <n v="173.1"/>
    <n v="169.7"/>
    <n v="175.3"/>
    <x v="29"/>
    <n v="535.1"/>
    <n v="2101.2000000000003"/>
    <n v="348.70000000000005"/>
    <n v="885.8"/>
    <n v="179.5"/>
    <n v="6151.7000000000007"/>
    <n v="6151.7000000000007"/>
  </r>
  <r>
    <x v="0"/>
    <x v="1"/>
    <x v="0"/>
    <n v="116.3"/>
    <n v="115.4"/>
    <n v="112.6"/>
    <n v="111.7"/>
    <n v="107.7"/>
    <n v="113.2"/>
    <n v="164.9"/>
    <n v="108.3"/>
    <n v="103.9"/>
    <n v="108.2"/>
    <n v="111.1"/>
    <n v="114.9"/>
    <n v="119.8"/>
    <n v="113.6"/>
    <n v="112.3"/>
    <n v="113.4"/>
    <n v="139.5"/>
    <n v="110.4"/>
    <n v="108.9"/>
    <n v="107.5"/>
    <n v="109.3"/>
    <n v="108.3"/>
    <n v="112.2"/>
    <n v="111.6"/>
    <n v="110.2"/>
    <n v="109.1"/>
    <n v="115.5"/>
    <x v="30"/>
    <n v="339.29999999999995"/>
    <n v="1357.1999999999998"/>
    <n v="216.4"/>
    <n v="551.4"/>
    <n v="111.6"/>
    <n v="3972.3"/>
    <n v="3972.3"/>
  </r>
  <r>
    <x v="1"/>
    <x v="1"/>
    <x v="0"/>
    <n v="118.9"/>
    <n v="118.1"/>
    <n v="114.5"/>
    <n v="110.4"/>
    <n v="102.3"/>
    <n v="106.2"/>
    <n v="183.5"/>
    <n v="105.3"/>
    <n v="100.2"/>
    <n v="109.6"/>
    <n v="111.4"/>
    <n v="116"/>
    <n v="120.8"/>
    <n v="112.5"/>
    <n v="109.7"/>
    <n v="112"/>
    <n v="110.5"/>
    <n v="110.2"/>
    <n v="108.2"/>
    <n v="107.3"/>
    <n v="109.7"/>
    <n v="108"/>
    <n v="113.5"/>
    <n v="109.7"/>
    <n v="111.3"/>
    <n v="109.4"/>
    <n v="114"/>
    <x v="31"/>
    <n v="334.2"/>
    <n v="1322.6"/>
    <n v="215.5"/>
    <n v="551.9"/>
    <n v="109.7"/>
    <n v="3941.4"/>
    <n v="3941.4"/>
  </r>
  <r>
    <x v="2"/>
    <x v="1"/>
    <x v="0"/>
    <n v="117.1"/>
    <n v="116.3"/>
    <n v="113.3"/>
    <n v="111.2"/>
    <n v="105.7"/>
    <n v="109.9"/>
    <n v="171.2"/>
    <n v="107.3"/>
    <n v="102.7"/>
    <n v="108.7"/>
    <n v="111.2"/>
    <n v="115.4"/>
    <n v="120.2"/>
    <n v="113.2"/>
    <n v="111.2"/>
    <n v="112.8"/>
    <n v="110.5"/>
    <n v="110.3"/>
    <n v="108.6"/>
    <n v="107.4"/>
    <n v="109.5"/>
    <n v="108.1"/>
    <n v="112.5"/>
    <n v="110.9"/>
    <n v="110.8"/>
    <n v="109.2"/>
    <n v="114.8"/>
    <x v="32"/>
    <n v="337.2"/>
    <n v="1325.8"/>
    <n v="216"/>
    <n v="551.5"/>
    <n v="110.9"/>
    <n v="3940.7000000000003"/>
    <n v="3940.7000000000003"/>
  </r>
  <r>
    <x v="0"/>
    <x v="1"/>
    <x v="1"/>
    <n v="122.6"/>
    <n v="122.5"/>
    <n v="118.3"/>
    <n v="123.2"/>
    <n v="110.5"/>
    <n v="128.9"/>
    <n v="155.30000000000001"/>
    <n v="115.5"/>
    <n v="104"/>
    <n v="115.3"/>
    <n v="116.8"/>
    <n v="123.2"/>
    <n v="125.1"/>
    <n v="122.7"/>
    <n v="120.3"/>
    <n v="122.3"/>
    <n v="139.5"/>
    <n v="117.5"/>
    <n v="115.3"/>
    <n v="109.3"/>
    <n v="112.6"/>
    <n v="113"/>
    <n v="120"/>
    <n v="116.4"/>
    <n v="116.9"/>
    <n v="114"/>
    <n v="121"/>
    <x v="33"/>
    <n v="365.3"/>
    <n v="1425.8000000000002"/>
    <n v="224.6"/>
    <n v="580.29999999999995"/>
    <n v="116.4"/>
    <n v="4177.2"/>
    <n v="4177.2"/>
  </r>
  <r>
    <x v="1"/>
    <x v="1"/>
    <x v="1"/>
    <n v="124.6"/>
    <n v="126.1"/>
    <n v="117.8"/>
    <n v="123.1"/>
    <n v="103.5"/>
    <n v="123.5"/>
    <n v="159.6"/>
    <n v="117.4"/>
    <n v="101.2"/>
    <n v="123.8"/>
    <n v="115.2"/>
    <n v="125.9"/>
    <n v="125.8"/>
    <n v="119.6"/>
    <n v="114.9"/>
    <n v="118.9"/>
    <n v="116.7"/>
    <n v="115.8"/>
    <n v="112.6"/>
    <n v="110.1"/>
    <n v="111"/>
    <n v="113.6"/>
    <n v="124.3"/>
    <n v="112"/>
    <n v="120.2"/>
    <n v="113.7"/>
    <n v="119.1"/>
    <x v="34"/>
    <n v="353.4"/>
    <n v="1389.7"/>
    <n v="222.7"/>
    <n v="583.79999999999995"/>
    <n v="112"/>
    <n v="4137.1000000000004"/>
    <n v="4137.1000000000004"/>
  </r>
  <r>
    <x v="2"/>
    <x v="1"/>
    <x v="1"/>
    <n v="123.2"/>
    <n v="123.8"/>
    <n v="118.1"/>
    <n v="123.2"/>
    <n v="107.9"/>
    <n v="126.4"/>
    <n v="156.80000000000001"/>
    <n v="116.1"/>
    <n v="103.1"/>
    <n v="118.1"/>
    <n v="116.1"/>
    <n v="124.5"/>
    <n v="125.4"/>
    <n v="121.5"/>
    <n v="118.1"/>
    <n v="121"/>
    <n v="116.7"/>
    <n v="116.7"/>
    <n v="114.3"/>
    <n v="109.6"/>
    <n v="111.8"/>
    <n v="113.3"/>
    <n v="121.1"/>
    <n v="114.7"/>
    <n v="118.8"/>
    <n v="113.9"/>
    <n v="120.1"/>
    <x v="35"/>
    <n v="360.6"/>
    <n v="1397.6"/>
    <n v="223.89999999999998"/>
    <n v="581.79999999999995"/>
    <n v="114.7"/>
    <n v="4146.6000000000004"/>
    <n v="4146.6000000000004"/>
  </r>
  <r>
    <x v="0"/>
    <x v="1"/>
    <x v="2"/>
    <n v="125.6"/>
    <n v="130.4"/>
    <n v="120.8"/>
    <n v="129.4"/>
    <n v="115.8"/>
    <n v="133.19999999999999"/>
    <n v="157.69999999999999"/>
    <n v="154.19999999999999"/>
    <n v="93.7"/>
    <n v="126.6"/>
    <n v="122.3"/>
    <n v="133.1"/>
    <n v="131.80000000000001"/>
    <n v="131.1"/>
    <n v="127.3"/>
    <n v="130.6"/>
    <n v="139.5"/>
    <n v="125.1"/>
    <n v="122"/>
    <n v="114.2"/>
    <n v="113.8"/>
    <n v="120.1"/>
    <n v="131.5"/>
    <n v="124.4"/>
    <n v="125.1"/>
    <n v="119.2"/>
    <n v="127.7"/>
    <x v="36"/>
    <n v="389"/>
    <n v="1504.7"/>
    <n v="236.2"/>
    <n v="620.30000000000007"/>
    <n v="124.4"/>
    <n v="4424.8"/>
    <n v="4424.8"/>
  </r>
  <r>
    <x v="1"/>
    <x v="1"/>
    <x v="2"/>
    <n v="123.6"/>
    <n v="128.6"/>
    <n v="115.9"/>
    <n v="128.5"/>
    <n v="109"/>
    <n v="124.1"/>
    <n v="165.8"/>
    <n v="187.2"/>
    <n v="89.4"/>
    <n v="135.80000000000001"/>
    <n v="119.4"/>
    <n v="132.9"/>
    <n v="132.6"/>
    <n v="124.4"/>
    <n v="118.8"/>
    <n v="123.6"/>
    <n v="122.4"/>
    <n v="120.7"/>
    <n v="117.7"/>
    <n v="113.5"/>
    <n v="109.3"/>
    <n v="117.7"/>
    <n v="135.30000000000001"/>
    <n v="114.9"/>
    <n v="126.5"/>
    <n v="116.5"/>
    <n v="124.2"/>
    <x v="37"/>
    <n v="366.79999999999995"/>
    <n v="1444.8"/>
    <n v="231.2"/>
    <n v="610.9"/>
    <n v="114.9"/>
    <n v="4346.5"/>
    <n v="4346.5"/>
  </r>
  <r>
    <x v="2"/>
    <x v="1"/>
    <x v="2"/>
    <n v="125"/>
    <n v="129.80000000000001"/>
    <n v="118.9"/>
    <n v="129.1"/>
    <n v="113.3"/>
    <n v="129"/>
    <n v="160.4"/>
    <n v="165.3"/>
    <n v="92.3"/>
    <n v="129.69999999999999"/>
    <n v="121.1"/>
    <n v="133"/>
    <n v="132.1"/>
    <n v="128.5"/>
    <n v="123.8"/>
    <n v="127.8"/>
    <n v="122.4"/>
    <n v="123"/>
    <n v="120.4"/>
    <n v="113.9"/>
    <n v="111.4"/>
    <n v="118.7"/>
    <n v="132.5"/>
    <n v="120.8"/>
    <n v="125.9"/>
    <n v="117.9"/>
    <n v="126.1"/>
    <x v="38"/>
    <n v="380.1"/>
    <n v="1469.1"/>
    <n v="234.3"/>
    <n v="615.79999999999995"/>
    <n v="120.8"/>
    <n v="4378.3"/>
    <n v="4378.3"/>
  </r>
  <r>
    <x v="0"/>
    <x v="1"/>
    <x v="3"/>
    <n v="131.30000000000001"/>
    <n v="137.6"/>
    <n v="130.1"/>
    <n v="136"/>
    <n v="120.8"/>
    <n v="138.4"/>
    <n v="149.19999999999999"/>
    <n v="170.2"/>
    <n v="113.4"/>
    <n v="136.30000000000001"/>
    <n v="128.69999999999999"/>
    <n v="142.4"/>
    <n v="137.4"/>
    <n v="139.6"/>
    <n v="134.30000000000001"/>
    <n v="138.80000000000001"/>
    <n v="139.5"/>
    <n v="131.80000000000001"/>
    <n v="128.69999999999999"/>
    <n v="123"/>
    <n v="117.8"/>
    <n v="126.5"/>
    <n v="140.9"/>
    <n v="129.80000000000001"/>
    <n v="133"/>
    <n v="125.7"/>
    <n v="133.80000000000001"/>
    <x v="39"/>
    <n v="412.7"/>
    <n v="1583.7"/>
    <n v="251.7"/>
    <n v="655.90000000000009"/>
    <n v="129.80000000000001"/>
    <n v="4675.7999999999993"/>
    <n v="4675.7999999999993"/>
  </r>
  <r>
    <x v="1"/>
    <x v="1"/>
    <x v="3"/>
    <n v="128.69999999999999"/>
    <n v="138.4"/>
    <n v="130.30000000000001"/>
    <n v="132.69999999999999"/>
    <n v="112.5"/>
    <n v="130.4"/>
    <n v="155.1"/>
    <n v="175.7"/>
    <n v="115.4"/>
    <n v="145.30000000000001"/>
    <n v="122.5"/>
    <n v="139.6"/>
    <n v="136.30000000000001"/>
    <n v="129.1"/>
    <n v="121.9"/>
    <n v="128"/>
    <n v="128.69999999999999"/>
    <n v="124.5"/>
    <n v="121.8"/>
    <n v="120.8"/>
    <n v="112.8"/>
    <n v="121.2"/>
    <n v="144.30000000000001"/>
    <n v="115.2"/>
    <n v="131.9"/>
    <n v="120.9"/>
    <n v="128.6"/>
    <x v="40"/>
    <n v="379"/>
    <n v="1500.2"/>
    <n v="242.6"/>
    <n v="633.5"/>
    <n v="115.2"/>
    <n v="4518.1999999999989"/>
    <n v="4518.1999999999989"/>
  </r>
  <r>
    <x v="2"/>
    <x v="1"/>
    <x v="3"/>
    <n v="130.5"/>
    <n v="137.9"/>
    <n v="130.19999999999999"/>
    <n v="134.80000000000001"/>
    <n v="117.8"/>
    <n v="134.69999999999999"/>
    <n v="151.19999999999999"/>
    <n v="172.1"/>
    <n v="114.1"/>
    <n v="139.30000000000001"/>
    <n v="126.1"/>
    <n v="141.1"/>
    <n v="137"/>
    <n v="135.5"/>
    <n v="129.1"/>
    <n v="134.5"/>
    <n v="128.69999999999999"/>
    <n v="128.4"/>
    <n v="126.1"/>
    <n v="122.1"/>
    <n v="115.2"/>
    <n v="123.5"/>
    <n v="141.80000000000001"/>
    <n v="124.3"/>
    <n v="132.4"/>
    <n v="123.4"/>
    <n v="131.4"/>
    <x v="41"/>
    <n v="399.1"/>
    <n v="1541.6"/>
    <n v="248.2"/>
    <n v="645.4"/>
    <n v="124.3"/>
    <n v="4601.0999999999995"/>
    <n v="4601.0999999999995"/>
  </r>
  <r>
    <x v="0"/>
    <x v="1"/>
    <x v="4"/>
    <n v="135.9"/>
    <n v="141.9"/>
    <n v="131"/>
    <n v="141.5"/>
    <n v="121.4"/>
    <n v="146.69999999999999"/>
    <n v="157.1"/>
    <n v="136.4"/>
    <n v="121.4"/>
    <n v="135.6"/>
    <n v="131.30000000000001"/>
    <n v="150.30000000000001"/>
    <n v="140.4"/>
    <n v="147.19999999999999"/>
    <n v="140.6"/>
    <n v="146.19999999999999"/>
    <n v="139.5"/>
    <n v="138.4"/>
    <n v="134.19999999999999"/>
    <n v="127.4"/>
    <n v="121"/>
    <n v="133"/>
    <n v="150.5"/>
    <n v="138.1"/>
    <n v="140.1"/>
    <n v="130.69999999999999"/>
    <n v="138.30000000000001"/>
    <x v="42"/>
    <n v="433.99999999999994"/>
    <n v="1656.1999999999998"/>
    <n v="261.60000000000002"/>
    <n v="692.40000000000009"/>
    <n v="138.1"/>
    <n v="4835.1000000000004"/>
    <n v="4835.1000000000004"/>
  </r>
  <r>
    <x v="1"/>
    <x v="1"/>
    <x v="4"/>
    <n v="133.9"/>
    <n v="142.80000000000001"/>
    <n v="131.4"/>
    <n v="139.1"/>
    <n v="114.9"/>
    <n v="135.6"/>
    <n v="173.2"/>
    <n v="124.1"/>
    <n v="122.6"/>
    <n v="137.80000000000001"/>
    <n v="125.1"/>
    <n v="145.5"/>
    <n v="139.69999999999999"/>
    <n v="134"/>
    <n v="124.9"/>
    <n v="132.6"/>
    <n v="137.30000000000001"/>
    <n v="128.30000000000001"/>
    <n v="126.6"/>
    <n v="124.6"/>
    <n v="115"/>
    <n v="124.8"/>
    <n v="154.6"/>
    <n v="122.6"/>
    <n v="136.30000000000001"/>
    <n v="124.5"/>
    <n v="133.5"/>
    <x v="43"/>
    <n v="391.5"/>
    <n v="1561.5999999999997"/>
    <n v="251.2"/>
    <n v="662.8"/>
    <n v="122.6"/>
    <n v="4632.7999999999993"/>
    <n v="4632.7999999999993"/>
  </r>
  <r>
    <x v="2"/>
    <x v="1"/>
    <x v="4"/>
    <n v="135.30000000000001"/>
    <n v="142.19999999999999"/>
    <n v="131.19999999999999"/>
    <n v="140.6"/>
    <n v="119"/>
    <n v="141.5"/>
    <n v="162.6"/>
    <n v="132.30000000000001"/>
    <n v="121.8"/>
    <n v="136.30000000000001"/>
    <n v="128.69999999999999"/>
    <n v="148.1"/>
    <n v="140.1"/>
    <n v="142"/>
    <n v="134.1"/>
    <n v="140.80000000000001"/>
    <n v="137.30000000000001"/>
    <n v="133.6"/>
    <n v="131.30000000000001"/>
    <n v="126.2"/>
    <n v="117.8"/>
    <n v="128.4"/>
    <n v="151.6"/>
    <n v="132.19999999999999"/>
    <n v="137.9"/>
    <n v="127.7"/>
    <n v="136.1"/>
    <x v="44"/>
    <n v="416.90000000000003"/>
    <n v="1613.2000000000003"/>
    <n v="257.5"/>
    <n v="677.80000000000007"/>
    <n v="132.19999999999999"/>
    <n v="4745.1000000000004"/>
    <n v="4745.1000000000004"/>
  </r>
  <r>
    <x v="0"/>
    <x v="1"/>
    <x v="5"/>
    <n v="139.30000000000001"/>
    <n v="147.6"/>
    <n v="134.6"/>
    <n v="141.9"/>
    <n v="123.5"/>
    <n v="144.5"/>
    <n v="147.6"/>
    <n v="121.4"/>
    <n v="112.3"/>
    <n v="139.5"/>
    <n v="134.6"/>
    <n v="155.19999999999999"/>
    <n v="140.19999999999999"/>
    <n v="150.69999999999999"/>
    <n v="144.5"/>
    <n v="149.80000000000001"/>
    <n v="139.5"/>
    <n v="147.5"/>
    <n v="144.80000000000001"/>
    <n v="134.4"/>
    <n v="130.80000000000001"/>
    <n v="140.1"/>
    <n v="159.6"/>
    <n v="149.69999999999999"/>
    <n v="148"/>
    <n v="139.80000000000001"/>
    <n v="142.19999999999999"/>
    <x v="45"/>
    <n v="445"/>
    <n v="1739.3999999999999"/>
    <n v="279.20000000000005"/>
    <n v="737.2"/>
    <n v="149.69999999999999"/>
    <n v="4982.9999999999991"/>
    <n v="4982.9999999999991"/>
  </r>
  <r>
    <x v="1"/>
    <x v="1"/>
    <x v="5"/>
    <n v="137.6"/>
    <n v="144.9"/>
    <n v="133.5"/>
    <n v="141.5"/>
    <n v="118"/>
    <n v="139.5"/>
    <n v="153"/>
    <n v="113.2"/>
    <n v="112.8"/>
    <n v="141.1"/>
    <n v="127.6"/>
    <n v="152"/>
    <n v="139.4"/>
    <n v="141.5"/>
    <n v="129.80000000000001"/>
    <n v="139.69999999999999"/>
    <n v="146.30000000000001"/>
    <n v="135.1"/>
    <n v="136.19999999999999"/>
    <n v="130.4"/>
    <n v="123.3"/>
    <n v="130.69999999999999"/>
    <n v="164"/>
    <n v="133.4"/>
    <n v="145.5"/>
    <n v="132.5"/>
    <n v="138.9"/>
    <x v="46"/>
    <n v="411"/>
    <n v="1655.9"/>
    <n v="266.60000000000002"/>
    <n v="706.1"/>
    <n v="133.4"/>
    <n v="4793.7"/>
    <n v="4793.7"/>
  </r>
  <r>
    <x v="2"/>
    <x v="1"/>
    <x v="5"/>
    <n v="137.4"/>
    <n v="149.5"/>
    <n v="137.30000000000001"/>
    <n v="141.9"/>
    <n v="121.1"/>
    <n v="142.5"/>
    <n v="146.69999999999999"/>
    <n v="119.1"/>
    <n v="111.9"/>
    <n v="141"/>
    <n v="133.6"/>
    <n v="154.5"/>
    <n v="139.69999999999999"/>
    <n v="148"/>
    <n v="139.19999999999999"/>
    <n v="146.80000000000001"/>
    <n v="146.9"/>
    <n v="142.19999999999999"/>
    <n v="142.1"/>
    <n v="132"/>
    <n v="125.5"/>
    <n v="136.5"/>
    <n v="162.6"/>
    <n v="145.30000000000001"/>
    <n v="147.80000000000001"/>
    <n v="136.30000000000001"/>
    <n v="140.80000000000001"/>
    <x v="47"/>
    <n v="434"/>
    <n v="1714.8999999999996"/>
    <n v="274.10000000000002"/>
    <n v="728.5"/>
    <n v="145.30000000000001"/>
    <n v="4927.7"/>
    <n v="4927.7"/>
  </r>
  <r>
    <x v="0"/>
    <x v="1"/>
    <x v="6"/>
    <n v="141"/>
    <n v="161.6"/>
    <n v="141.19999999999999"/>
    <n v="146.5"/>
    <n v="125.6"/>
    <n v="145.69999999999999"/>
    <n v="178.8"/>
    <n v="133.1"/>
    <n v="113.6"/>
    <n v="145.5"/>
    <n v="138.6"/>
    <n v="157.4"/>
    <n v="148.30000000000001"/>
    <n v="151.69999999999999"/>
    <n v="146.69999999999999"/>
    <n v="151"/>
    <n v="139.5"/>
    <n v="150.6"/>
    <n v="153.69999999999999"/>
    <n v="140.30000000000001"/>
    <n v="131.69999999999999"/>
    <n v="148.69999999999999"/>
    <n v="166.3"/>
    <n v="147.69999999999999"/>
    <n v="160.69999999999999"/>
    <n v="145.69999999999999"/>
    <n v="148.30000000000001"/>
    <x v="48"/>
    <n v="449.4"/>
    <n v="1788.6000000000001"/>
    <n v="294"/>
    <n v="769.09999999999991"/>
    <n v="147.69999999999999"/>
    <n v="5178"/>
    <n v="5178"/>
  </r>
  <r>
    <x v="1"/>
    <x v="1"/>
    <x v="6"/>
    <n v="143.5"/>
    <n v="159.80000000000001"/>
    <n v="144.69999999999999"/>
    <n v="145.6"/>
    <n v="121.1"/>
    <n v="150.6"/>
    <n v="207.2"/>
    <n v="131.19999999999999"/>
    <n v="114.8"/>
    <n v="145.19999999999999"/>
    <n v="130.19999999999999"/>
    <n v="156.80000000000001"/>
    <n v="151.9"/>
    <n v="145.9"/>
    <n v="132.4"/>
    <n v="143.9"/>
    <n v="153"/>
    <n v="138.69999999999999"/>
    <n v="142.4"/>
    <n v="139.5"/>
    <n v="121.5"/>
    <n v="136.19999999999999"/>
    <n v="169.3"/>
    <n v="128.9"/>
    <n v="151.69999999999999"/>
    <n v="136"/>
    <n v="146"/>
    <x v="49"/>
    <n v="422.20000000000005"/>
    <n v="1703.4000000000003"/>
    <n v="281.89999999999998"/>
    <n v="722.09999999999991"/>
    <n v="128.9"/>
    <n v="5032.2000000000007"/>
    <n v="5032.2000000000007"/>
  </r>
  <r>
    <x v="2"/>
    <x v="1"/>
    <x v="6"/>
    <n v="141.80000000000001"/>
    <n v="161"/>
    <n v="142.6"/>
    <n v="146.19999999999999"/>
    <n v="123.9"/>
    <n v="148"/>
    <n v="188.4"/>
    <n v="132.5"/>
    <n v="114"/>
    <n v="145.4"/>
    <n v="135.1"/>
    <n v="157.1"/>
    <n v="149.6"/>
    <n v="149.4"/>
    <n v="140.80000000000001"/>
    <n v="148.19999999999999"/>
    <n v="153"/>
    <n v="145"/>
    <n v="149.4"/>
    <n v="140"/>
    <n v="126.3"/>
    <n v="141.69999999999999"/>
    <n v="167.1"/>
    <n v="140.6"/>
    <n v="155.4"/>
    <n v="141"/>
    <n v="147.19999999999999"/>
    <x v="50"/>
    <n v="438.40000000000003"/>
    <n v="1756.9"/>
    <n v="289.39999999999998"/>
    <n v="745.8"/>
    <n v="140.6"/>
    <n v="5116.0999999999995"/>
    <n v="5116.0999999999995"/>
  </r>
  <r>
    <x v="0"/>
    <x v="1"/>
    <x v="7"/>
    <n v="146"/>
    <n v="186.3"/>
    <n v="159.19999999999999"/>
    <n v="153.6"/>
    <n v="142.6"/>
    <n v="147.19999999999999"/>
    <n v="200.6"/>
    <n v="150.30000000000001"/>
    <n v="115.3"/>
    <n v="160.9"/>
    <n v="147.4"/>
    <n v="161.9"/>
    <n v="159.6"/>
    <n v="155.69999999999999"/>
    <n v="150.6"/>
    <n v="155"/>
    <n v="139.5"/>
    <n v="152"/>
    <n v="159.5"/>
    <n v="156.19999999999999"/>
    <n v="146.4"/>
    <n v="152.4"/>
    <n v="182.7"/>
    <n v="146.80000000000001"/>
    <n v="162.5"/>
    <n v="154.30000000000001"/>
    <n v="157.5"/>
    <x v="51"/>
    <n v="461.29999999999995"/>
    <n v="1859.3000000000002"/>
    <n v="315.7"/>
    <n v="798.7"/>
    <n v="146.80000000000001"/>
    <n v="5465.9"/>
    <n v="5465.9"/>
  </r>
  <r>
    <x v="1"/>
    <x v="1"/>
    <x v="7"/>
    <n v="150.6"/>
    <n v="193.7"/>
    <n v="164.8"/>
    <n v="153.69999999999999"/>
    <n v="135.69999999999999"/>
    <n v="155.69999999999999"/>
    <n v="226"/>
    <n v="152.19999999999999"/>
    <n v="118.1"/>
    <n v="161.30000000000001"/>
    <n v="139.19999999999999"/>
    <n v="164.8"/>
    <n v="164.4"/>
    <n v="150.5"/>
    <n v="136.1"/>
    <n v="148.30000000000001"/>
    <n v="156.5"/>
    <n v="145.1"/>
    <n v="151"/>
    <n v="158.1"/>
    <n v="135.4"/>
    <n v="142"/>
    <n v="188.7"/>
    <n v="137.1"/>
    <n v="155.69999999999999"/>
    <n v="146.19999999999999"/>
    <n v="155.19999999999999"/>
    <x v="52"/>
    <n v="434.90000000000003"/>
    <n v="1804.5000000000002"/>
    <n v="309.10000000000002"/>
    <n v="769.7"/>
    <n v="137.1"/>
    <n v="5398.4000000000005"/>
    <n v="5398.4000000000005"/>
  </r>
  <r>
    <x v="2"/>
    <x v="1"/>
    <x v="7"/>
    <n v="147.5"/>
    <n v="188.9"/>
    <n v="161.4"/>
    <n v="153.6"/>
    <n v="140.1"/>
    <n v="151.19999999999999"/>
    <n v="209.2"/>
    <n v="150.9"/>
    <n v="116.2"/>
    <n v="161"/>
    <n v="144"/>
    <n v="163.19999999999999"/>
    <n v="161.4"/>
    <n v="153.69999999999999"/>
    <n v="144.6"/>
    <n v="152.30000000000001"/>
    <n v="156.5"/>
    <n v="148.69999999999999"/>
    <n v="156.30000000000001"/>
    <n v="157"/>
    <n v="140.6"/>
    <n v="146.5"/>
    <n v="184.3"/>
    <n v="143.1"/>
    <n v="158.5"/>
    <n v="150.4"/>
    <n v="156.4"/>
    <x v="53"/>
    <n v="450.59999999999997"/>
    <n v="1842.0999999999997"/>
    <n v="313.3"/>
    <n v="782.8"/>
    <n v="143.1"/>
    <n v="5437.4000000000005"/>
    <n v="5437.4000000000005"/>
  </r>
  <r>
    <x v="0"/>
    <x v="1"/>
    <x v="8"/>
    <n v="146.1"/>
    <n v="202.5"/>
    <n v="170.1"/>
    <n v="158.4"/>
    <n v="198.8"/>
    <n v="152.6"/>
    <n v="170.4"/>
    <n v="165.2"/>
    <n v="121.6"/>
    <n v="170.6"/>
    <n v="168.8"/>
    <n v="173.6"/>
    <n v="165.5"/>
    <n v="168.9"/>
    <n v="164.8"/>
    <n v="168.3"/>
    <n v="139.5"/>
    <n v="162"/>
    <n v="172.5"/>
    <n v="161.1"/>
    <n v="159.5"/>
    <n v="163.19999999999999"/>
    <n v="191.2"/>
    <n v="165.5"/>
    <n v="169"/>
    <n v="164.7"/>
    <n v="166.3"/>
    <x v="54"/>
    <n v="502.00000000000006"/>
    <n v="1985.5"/>
    <n v="333.6"/>
    <n v="853.59999999999991"/>
    <n v="165.5"/>
    <n v="5838.9"/>
    <n v="5838.9"/>
  </r>
  <r>
    <x v="1"/>
    <x v="1"/>
    <x v="8"/>
    <n v="150.1"/>
    <n v="208.4"/>
    <n v="173"/>
    <n v="159.19999999999999"/>
    <n v="176.6"/>
    <n v="159.30000000000001"/>
    <n v="214.4"/>
    <n v="165.3"/>
    <n v="122.5"/>
    <n v="166.8"/>
    <n v="155.4"/>
    <n v="175.9"/>
    <n v="171.5"/>
    <n v="160.80000000000001"/>
    <n v="144.4"/>
    <n v="158.30000000000001"/>
    <n v="163.6"/>
    <n v="154.30000000000001"/>
    <n v="163.5"/>
    <n v="160.30000000000001"/>
    <n v="152.19999999999999"/>
    <n v="155.1"/>
    <n v="197"/>
    <n v="162.19999999999999"/>
    <n v="160.30000000000001"/>
    <n v="157"/>
    <n v="164.6"/>
    <x v="55"/>
    <n v="463.50000000000006"/>
    <n v="1932"/>
    <n v="323.8"/>
    <n v="831.59999999999991"/>
    <n v="162.19999999999999"/>
    <n v="5749.3000000000011"/>
    <n v="5749.3000000000011"/>
  </r>
  <r>
    <x v="2"/>
    <x v="1"/>
    <x v="8"/>
    <n v="147.4"/>
    <n v="204.6"/>
    <n v="171.2"/>
    <n v="158.69999999999999"/>
    <n v="190.6"/>
    <n v="155.69999999999999"/>
    <n v="185.3"/>
    <n v="165.2"/>
    <n v="121.9"/>
    <n v="169.3"/>
    <n v="163.19999999999999"/>
    <n v="174.7"/>
    <n v="167.7"/>
    <n v="165.7"/>
    <n v="156.30000000000001"/>
    <n v="164.3"/>
    <n v="163.6"/>
    <n v="158.4"/>
    <n v="169.1"/>
    <n v="160.80000000000001"/>
    <n v="155.69999999999999"/>
    <n v="158.6"/>
    <n v="192.7"/>
    <n v="164.2"/>
    <n v="163.9"/>
    <n v="161"/>
    <n v="165.5"/>
    <x v="56"/>
    <n v="486.3"/>
    <n v="1973.3000000000002"/>
    <n v="329.9"/>
    <n v="840.4"/>
    <n v="164.2"/>
    <n v="5805.4"/>
    <n v="5805.4"/>
  </r>
  <r>
    <x v="0"/>
    <x v="1"/>
    <x v="9"/>
    <n v="164.7"/>
    <n v="208.8"/>
    <n v="170.3"/>
    <n v="170.9"/>
    <n v="191.6"/>
    <n v="162.19999999999999"/>
    <n v="184.8"/>
    <n v="169.7"/>
    <n v="121.1"/>
    <n v="201.6"/>
    <n v="175.8"/>
    <n v="185.6"/>
    <n v="177.4"/>
    <n v="186.1"/>
    <n v="184.4"/>
    <n v="185.9"/>
    <n v="139.5"/>
    <n v="174.4"/>
    <n v="181.2"/>
    <n v="172"/>
    <n v="167.4"/>
    <n v="170.6"/>
    <n v="194.9"/>
    <n v="180.8"/>
    <n v="176.5"/>
    <n v="173.9"/>
    <n v="177.9"/>
    <x v="57"/>
    <n v="556.4"/>
    <n v="2113.6999999999998"/>
    <n v="353.2"/>
    <n v="896.69999999999993"/>
    <n v="180.8"/>
    <n v="6204.5"/>
    <n v="6204.5"/>
  </r>
  <r>
    <x v="1"/>
    <x v="1"/>
    <x v="9"/>
    <n v="166.4"/>
    <n v="214.9"/>
    <n v="171.9"/>
    <n v="171"/>
    <n v="177.7"/>
    <n v="165.7"/>
    <n v="228.6"/>
    <n v="169.9"/>
    <n v="123.4"/>
    <n v="196.4"/>
    <n v="161.6"/>
    <n v="191.5"/>
    <n v="183.3"/>
    <n v="175.5"/>
    <n v="162.6"/>
    <n v="173.6"/>
    <n v="171.2"/>
    <n v="166"/>
    <n v="174.7"/>
    <n v="172.3"/>
    <n v="158.80000000000001"/>
    <n v="166.3"/>
    <n v="200.1"/>
    <n v="180"/>
    <n v="171.2"/>
    <n v="166.8"/>
    <n v="175.3"/>
    <x v="58"/>
    <n v="511.70000000000005"/>
    <n v="2072.2999999999997"/>
    <n v="347"/>
    <n v="884.39999999999986"/>
    <n v="180"/>
    <n v="6137.6999999999989"/>
    <n v="6137.6999999999989"/>
  </r>
  <r>
    <x v="2"/>
    <x v="1"/>
    <x v="9"/>
    <n v="165.2"/>
    <n v="210.9"/>
    <n v="170.9"/>
    <n v="170.9"/>
    <n v="186.5"/>
    <n v="163.80000000000001"/>
    <n v="199.7"/>
    <n v="169.8"/>
    <n v="121.9"/>
    <n v="199.9"/>
    <n v="169.9"/>
    <n v="188.3"/>
    <n v="179.6"/>
    <n v="181.9"/>
    <n v="175.3"/>
    <n v="181"/>
    <n v="171.2"/>
    <n v="170.4"/>
    <n v="178.7"/>
    <n v="172.1"/>
    <n v="162.9"/>
    <n v="168.2"/>
    <n v="196.3"/>
    <n v="180.5"/>
    <n v="173.4"/>
    <n v="170.5"/>
    <n v="176.7"/>
    <x v="59"/>
    <n v="538.20000000000005"/>
    <n v="2111.9"/>
    <n v="350.79999999999995"/>
    <n v="888.9"/>
    <n v="180.5"/>
    <n v="6187.0999999999995"/>
    <n v="6187.0999999999995"/>
  </r>
  <r>
    <x v="0"/>
    <x v="2"/>
    <x v="0"/>
    <n v="117.3"/>
    <n v="114.9"/>
    <n v="116.2"/>
    <n v="112.8"/>
    <n v="108.9"/>
    <n v="116.6"/>
    <n v="178.1"/>
    <n v="109.1"/>
    <n v="103.6"/>
    <n v="109"/>
    <n v="111.8"/>
    <n v="116"/>
    <n v="122.5"/>
    <n v="114.6"/>
    <n v="113.1"/>
    <n v="114.4"/>
    <n v="139.5"/>
    <n v="111.3"/>
    <n v="109.7"/>
    <n v="108.2"/>
    <n v="109.6"/>
    <n v="108.7"/>
    <n v="112.8"/>
    <n v="112.6"/>
    <n v="111"/>
    <n v="109.8"/>
    <n v="117.4"/>
    <x v="60"/>
    <n v="342.1"/>
    <n v="1365.5"/>
    <n v="217.9"/>
    <n v="554.9"/>
    <n v="112.6"/>
    <n v="4017.2000000000003"/>
    <n v="4017.2000000000003"/>
  </r>
  <r>
    <x v="1"/>
    <x v="3"/>
    <x v="0"/>
    <n v="119.8"/>
    <n v="116.3"/>
    <n v="122.6"/>
    <n v="112"/>
    <n v="103.2"/>
    <n v="110"/>
    <n v="192.8"/>
    <n v="106.3"/>
    <n v="99.5"/>
    <n v="110.3"/>
    <n v="111.8"/>
    <n v="117.1"/>
    <n v="122.9"/>
    <n v="113.5"/>
    <n v="110.3"/>
    <n v="113"/>
    <n v="111.1"/>
    <n v="110.9"/>
    <n v="108.6"/>
    <n v="107.9"/>
    <n v="109.5"/>
    <n v="108.5"/>
    <n v="114.1"/>
    <n v="110"/>
    <n v="111.3"/>
    <n v="109.6"/>
    <n v="115"/>
    <x v="61"/>
    <n v="336.8"/>
    <n v="1328.6999999999998"/>
    <n v="216.5"/>
    <n v="553.5"/>
    <n v="110"/>
    <n v="3980.0999999999995"/>
    <n v="3980.0999999999995"/>
  </r>
  <r>
    <x v="2"/>
    <x v="3"/>
    <x v="0"/>
    <n v="118.1"/>
    <n v="115.4"/>
    <n v="118.7"/>
    <n v="112.5"/>
    <n v="106.8"/>
    <n v="113.5"/>
    <n v="183.1"/>
    <n v="108.2"/>
    <n v="102.2"/>
    <n v="109.4"/>
    <n v="111.8"/>
    <n v="116.5"/>
    <n v="122.6"/>
    <n v="114.2"/>
    <n v="111.9"/>
    <n v="113.8"/>
    <n v="111.1"/>
    <n v="111.1"/>
    <n v="109.3"/>
    <n v="108.1"/>
    <n v="109.5"/>
    <n v="108.6"/>
    <n v="113.1"/>
    <n v="111.6"/>
    <n v="111.2"/>
    <n v="109.7"/>
    <n v="116.3"/>
    <x v="62"/>
    <n v="339.90000000000003"/>
    <n v="1333.5"/>
    <n v="217.39999999999998"/>
    <n v="554.19999999999993"/>
    <n v="111.6"/>
    <n v="3983.7999999999997"/>
    <n v="3983.7999999999997"/>
  </r>
  <r>
    <x v="0"/>
    <x v="3"/>
    <x v="1"/>
    <n v="122.7"/>
    <n v="122.6"/>
    <n v="119.9"/>
    <n v="124"/>
    <n v="110.5"/>
    <n v="128.80000000000001"/>
    <n v="152"/>
    <n v="116.2"/>
    <n v="103.3"/>
    <n v="115.8"/>
    <n v="116.8"/>
    <n v="124.5"/>
    <n v="124.9"/>
    <n v="123.3"/>
    <n v="120.5"/>
    <n v="122.9"/>
    <n v="139.5"/>
    <n v="118.1"/>
    <n v="115.9"/>
    <n v="108.8"/>
    <n v="112"/>
    <n v="113.3"/>
    <n v="120.8"/>
    <n v="117.3"/>
    <n v="117.2"/>
    <n v="114.1"/>
    <n v="121.1"/>
    <x v="63"/>
    <n v="366.70000000000005"/>
    <n v="1429.6"/>
    <n v="224.7"/>
    <n v="582.69999999999993"/>
    <n v="117.3"/>
    <n v="4185.7"/>
    <n v="4185.7"/>
  </r>
  <r>
    <x v="1"/>
    <x v="3"/>
    <x v="1"/>
    <n v="124.5"/>
    <n v="125.6"/>
    <n v="122.7"/>
    <n v="124.6"/>
    <n v="103.2"/>
    <n v="122.2"/>
    <n v="153.19999999999999"/>
    <n v="119.3"/>
    <n v="99.8"/>
    <n v="124.6"/>
    <n v="115.8"/>
    <n v="126.9"/>
    <n v="125.4"/>
    <n v="120.3"/>
    <n v="115.4"/>
    <n v="119.5"/>
    <n v="117.1"/>
    <n v="116.4"/>
    <n v="113"/>
    <n v="109.6"/>
    <n v="109.7"/>
    <n v="114"/>
    <n v="125.8"/>
    <n v="112.6"/>
    <n v="120.3"/>
    <n v="113.4"/>
    <n v="119"/>
    <x v="64"/>
    <n v="355.2"/>
    <n v="1393.6999999999998"/>
    <n v="222.6"/>
    <n v="586.1"/>
    <n v="112.6"/>
    <n v="4145.3999999999996"/>
    <n v="4145.3999999999996"/>
  </r>
  <r>
    <x v="2"/>
    <x v="3"/>
    <x v="1"/>
    <n v="123.3"/>
    <n v="123.7"/>
    <n v="121"/>
    <n v="124.2"/>
    <n v="107.8"/>
    <n v="125.7"/>
    <n v="152.4"/>
    <n v="117.2"/>
    <n v="102.1"/>
    <n v="118.7"/>
    <n v="116.4"/>
    <n v="125.6"/>
    <n v="125.1"/>
    <n v="122.1"/>
    <n v="118.4"/>
    <n v="121.6"/>
    <n v="117.1"/>
    <n v="117.3"/>
    <n v="114.8"/>
    <n v="109.1"/>
    <n v="110.8"/>
    <n v="113.7"/>
    <n v="122.1"/>
    <n v="115.5"/>
    <n v="119"/>
    <n v="113.8"/>
    <n v="120.1"/>
    <x v="3"/>
    <n v="362.1"/>
    <n v="1401.4999999999998"/>
    <n v="223.89999999999998"/>
    <n v="584.1"/>
    <n v="115.5"/>
    <n v="4154.8"/>
    <n v="4154.8"/>
  </r>
  <r>
    <x v="0"/>
    <x v="3"/>
    <x v="2"/>
    <n v="126.1"/>
    <n v="130.6"/>
    <n v="121.7"/>
    <n v="129.5"/>
    <n v="117.8"/>
    <n v="132.1"/>
    <n v="155.19999999999999"/>
    <n v="160.80000000000001"/>
    <n v="94.5"/>
    <n v="128.30000000000001"/>
    <n v="123.1"/>
    <n v="134.19999999999999"/>
    <n v="132.4"/>
    <n v="132.1"/>
    <n v="128.19999999999999"/>
    <n v="131.5"/>
    <n v="139.5"/>
    <n v="125.6"/>
    <n v="122.6"/>
    <n v="114.2"/>
    <n v="114"/>
    <n v="120.9"/>
    <n v="132.19999999999999"/>
    <n v="125.6"/>
    <n v="125.8"/>
    <n v="119.6"/>
    <n v="128.30000000000001"/>
    <x v="65"/>
    <n v="391.79999999999995"/>
    <n v="1512.2"/>
    <n v="236.8"/>
    <n v="624.1"/>
    <n v="125.6"/>
    <n v="4451.2000000000007"/>
    <n v="4451.2000000000007"/>
  </r>
  <r>
    <x v="1"/>
    <x v="3"/>
    <x v="2"/>
    <n v="124"/>
    <n v="129.80000000000001"/>
    <n v="121.5"/>
    <n v="128.6"/>
    <n v="110"/>
    <n v="123.7"/>
    <n v="164.6"/>
    <n v="191.6"/>
    <n v="90.8"/>
    <n v="137.1"/>
    <n v="119.8"/>
    <n v="133.69999999999999"/>
    <n v="133.30000000000001"/>
    <n v="125"/>
    <n v="119.3"/>
    <n v="124.2"/>
    <n v="122.9"/>
    <n v="121"/>
    <n v="118.1"/>
    <n v="113.3"/>
    <n v="109.3"/>
    <n v="117.9"/>
    <n v="137.6"/>
    <n v="115.1"/>
    <n v="126.6"/>
    <n v="116.6"/>
    <n v="124.6"/>
    <x v="66"/>
    <n v="368.5"/>
    <n v="1450.2999999999997"/>
    <n v="231.39999999999998"/>
    <n v="613.80000000000007"/>
    <n v="115.1"/>
    <n v="4372.5"/>
    <n v="4372.5"/>
  </r>
  <r>
    <x v="2"/>
    <x v="3"/>
    <x v="2"/>
    <n v="125.4"/>
    <n v="130.30000000000001"/>
    <n v="121.6"/>
    <n v="129.19999999999999"/>
    <n v="114.9"/>
    <n v="128.19999999999999"/>
    <n v="158.4"/>
    <n v="171.2"/>
    <n v="93.3"/>
    <n v="131.19999999999999"/>
    <n v="121.7"/>
    <n v="134"/>
    <n v="132.69999999999999"/>
    <n v="129.30000000000001"/>
    <n v="124.5"/>
    <n v="128.6"/>
    <n v="122.9"/>
    <n v="123.4"/>
    <n v="120.9"/>
    <n v="113.8"/>
    <n v="111.5"/>
    <n v="119.2"/>
    <n v="133.6"/>
    <n v="121.6"/>
    <n v="126.3"/>
    <n v="118.1"/>
    <n v="126.6"/>
    <x v="67"/>
    <n v="382.4"/>
    <n v="1475.5999999999997"/>
    <n v="234.7"/>
    <n v="618.79999999999995"/>
    <n v="121.6"/>
    <n v="4403.5999999999995"/>
    <n v="4403.5999999999995"/>
  </r>
  <r>
    <x v="0"/>
    <x v="3"/>
    <x v="3"/>
    <n v="132"/>
    <n v="137.4"/>
    <n v="130.6"/>
    <n v="136.19999999999999"/>
    <n v="121.1"/>
    <n v="136.9"/>
    <n v="141.80000000000001"/>
    <n v="170"/>
    <n v="113.4"/>
    <n v="136.80000000000001"/>
    <n v="128.69999999999999"/>
    <n v="143.1"/>
    <n v="136.6"/>
    <n v="139.9"/>
    <n v="134.5"/>
    <n v="139.19999999999999"/>
    <n v="139.5"/>
    <n v="132.1"/>
    <n v="129.1"/>
    <n v="123.5"/>
    <n v="118.2"/>
    <n v="126.9"/>
    <n v="141.19999999999999"/>
    <n v="130.30000000000001"/>
    <n v="133.69999999999999"/>
    <n v="126.1"/>
    <n v="133.6"/>
    <x v="68"/>
    <n v="413.59999999999997"/>
    <n v="1588.1000000000001"/>
    <n v="252.6"/>
    <n v="658.2"/>
    <n v="130.30000000000001"/>
    <n v="4677.1000000000004"/>
    <n v="4677.1000000000004"/>
  </r>
  <r>
    <x v="1"/>
    <x v="3"/>
    <x v="3"/>
    <n v="130.19999999999999"/>
    <n v="138.5"/>
    <n v="134.1"/>
    <n v="132.9"/>
    <n v="112.6"/>
    <n v="130.80000000000001"/>
    <n v="142"/>
    <n v="174.9"/>
    <n v="115.6"/>
    <n v="145.4"/>
    <n v="122.7"/>
    <n v="140.30000000000001"/>
    <n v="135.19999999999999"/>
    <n v="129.6"/>
    <n v="122.1"/>
    <n v="128.5"/>
    <n v="129.1"/>
    <n v="124.7"/>
    <n v="122.1"/>
    <n v="121.3"/>
    <n v="113.4"/>
    <n v="121.7"/>
    <n v="144.30000000000001"/>
    <n v="116.2"/>
    <n v="132.1"/>
    <n v="121.3"/>
    <n v="128.5"/>
    <x v="69"/>
    <n v="380.2"/>
    <n v="1505.1"/>
    <n v="243.39999999999998"/>
    <n v="635.59999999999991"/>
    <n v="116.2"/>
    <n v="4519.5"/>
    <n v="4519.5"/>
  </r>
  <r>
    <x v="2"/>
    <x v="3"/>
    <x v="3"/>
    <n v="131.4"/>
    <n v="137.80000000000001"/>
    <n v="132"/>
    <n v="135"/>
    <n v="118"/>
    <n v="134.1"/>
    <n v="141.9"/>
    <n v="171.7"/>
    <n v="114.1"/>
    <n v="139.69999999999999"/>
    <n v="126.2"/>
    <n v="141.80000000000001"/>
    <n v="136.1"/>
    <n v="135.80000000000001"/>
    <n v="129.30000000000001"/>
    <n v="135"/>
    <n v="129.1"/>
    <n v="128.6"/>
    <n v="126.4"/>
    <n v="122.6"/>
    <n v="115.7"/>
    <n v="124"/>
    <n v="142"/>
    <n v="125"/>
    <n v="132.80000000000001"/>
    <n v="123.8"/>
    <n v="131.19999999999999"/>
    <x v="70"/>
    <n v="400.1"/>
    <n v="1546.3"/>
    <n v="249"/>
    <n v="647.59999999999991"/>
    <n v="125"/>
    <n v="4602.7999999999993"/>
    <n v="4602.7999999999993"/>
  </r>
  <r>
    <x v="0"/>
    <x v="3"/>
    <x v="4"/>
    <n v="136.30000000000001"/>
    <n v="142.5"/>
    <n v="140.5"/>
    <n v="141.5"/>
    <n v="121.6"/>
    <n v="147.30000000000001"/>
    <n v="168"/>
    <n v="135.80000000000001"/>
    <n v="122.5"/>
    <n v="136"/>
    <n v="131.9"/>
    <n v="151.4"/>
    <n v="142.4"/>
    <n v="148.19999999999999"/>
    <n v="141.5"/>
    <n v="147.30000000000001"/>
    <n v="139.5"/>
    <n v="139.4"/>
    <n v="135.80000000000001"/>
    <n v="128.1"/>
    <n v="121.6"/>
    <n v="133.69999999999999"/>
    <n v="152.1"/>
    <n v="141.1"/>
    <n v="141.5"/>
    <n v="131.69999999999999"/>
    <n v="140"/>
    <x v="71"/>
    <n v="437"/>
    <n v="1669.8"/>
    <n v="263.89999999999998"/>
    <n v="700.09999999999991"/>
    <n v="141.1"/>
    <n v="4888.5"/>
    <n v="4888.5"/>
  </r>
  <r>
    <x v="1"/>
    <x v="3"/>
    <x v="4"/>
    <n v="134.30000000000001"/>
    <n v="142.1"/>
    <n v="146.69999999999999"/>
    <n v="139.5"/>
    <n v="115.2"/>
    <n v="136.4"/>
    <n v="185.2"/>
    <n v="122.2"/>
    <n v="123.9"/>
    <n v="138.30000000000001"/>
    <n v="125.4"/>
    <n v="146"/>
    <n v="141.5"/>
    <n v="135"/>
    <n v="125.4"/>
    <n v="133.5"/>
    <n v="138.6"/>
    <n v="128.80000000000001"/>
    <n v="127.4"/>
    <n v="124.9"/>
    <n v="115.3"/>
    <n v="125.1"/>
    <n v="156.19999999999999"/>
    <n v="125.7"/>
    <n v="136.6"/>
    <n v="124.9"/>
    <n v="134.80000000000001"/>
    <x v="72"/>
    <n v="393.9"/>
    <n v="1572.4999999999998"/>
    <n v="252.3"/>
    <n v="668.49999999999989"/>
    <n v="125.7"/>
    <n v="4683.8999999999996"/>
    <n v="4683.8999999999996"/>
  </r>
  <r>
    <x v="2"/>
    <x v="3"/>
    <x v="4"/>
    <n v="135.69999999999999"/>
    <n v="142.4"/>
    <n v="142.9"/>
    <n v="140.80000000000001"/>
    <n v="119.2"/>
    <n v="142.19999999999999"/>
    <n v="173.8"/>
    <n v="131.19999999999999"/>
    <n v="123"/>
    <n v="136.80000000000001"/>
    <n v="129.19999999999999"/>
    <n v="148.9"/>
    <n v="142.1"/>
    <n v="143"/>
    <n v="134.80000000000001"/>
    <n v="141.80000000000001"/>
    <n v="138.6"/>
    <n v="134.4"/>
    <n v="132.6"/>
    <n v="126.8"/>
    <n v="118.3"/>
    <n v="128.9"/>
    <n v="153.19999999999999"/>
    <n v="135.30000000000001"/>
    <n v="138.6"/>
    <n v="128.4"/>
    <n v="137.6"/>
    <x v="73"/>
    <n v="419.6"/>
    <n v="1626.3"/>
    <n v="259.39999999999998"/>
    <n v="684.4"/>
    <n v="135.30000000000001"/>
    <n v="4797.8999999999996"/>
    <n v="4797.8999999999996"/>
  </r>
  <r>
    <x v="0"/>
    <x v="3"/>
    <x v="5"/>
    <n v="137.1"/>
    <n v="150.80000000000001"/>
    <n v="136.69999999999999"/>
    <n v="141.9"/>
    <n v="122.8"/>
    <n v="143.9"/>
    <n v="147.5"/>
    <n v="121"/>
    <n v="111.6"/>
    <n v="140.6"/>
    <n v="137.5"/>
    <n v="156.1"/>
    <n v="140"/>
    <n v="151.69999999999999"/>
    <n v="145.5"/>
    <n v="150.80000000000001"/>
    <n v="139.5"/>
    <n v="148"/>
    <n v="145.4"/>
    <n v="133.1"/>
    <n v="130.30000000000001"/>
    <n v="143.1"/>
    <n v="161.9"/>
    <n v="150.30000000000001"/>
    <n v="150.19999999999999"/>
    <n v="140.1"/>
    <n v="142.4"/>
    <x v="74"/>
    <n v="448"/>
    <n v="1749.8"/>
    <n v="278.5"/>
    <n v="745.6"/>
    <n v="150.30000000000001"/>
    <n v="5009.3999999999996"/>
    <n v="5009.3999999999996"/>
  </r>
  <r>
    <x v="1"/>
    <x v="3"/>
    <x v="5"/>
    <n v="138.1"/>
    <n v="146.30000000000001"/>
    <n v="137.80000000000001"/>
    <n v="141.6"/>
    <n v="118.1"/>
    <n v="141.5"/>
    <n v="145.19999999999999"/>
    <n v="115.3"/>
    <n v="112.5"/>
    <n v="141.4"/>
    <n v="128"/>
    <n v="152.6"/>
    <n v="139.1"/>
    <n v="142.4"/>
    <n v="130.19999999999999"/>
    <n v="140.5"/>
    <n v="146.9"/>
    <n v="135.80000000000001"/>
    <n v="136.80000000000001"/>
    <n v="130.5"/>
    <n v="121.2"/>
    <n v="131.30000000000001"/>
    <n v="164.4"/>
    <n v="136.69999999999999"/>
    <n v="146.1"/>
    <n v="132.19999999999999"/>
    <n v="139"/>
    <x v="75"/>
    <n v="413.1"/>
    <n v="1662.8"/>
    <n v="267.3"/>
    <n v="710.7"/>
    <n v="136.69999999999999"/>
    <n v="4811.3999999999996"/>
    <n v="4811.3999999999996"/>
  </r>
  <r>
    <x v="2"/>
    <x v="3"/>
    <x v="5"/>
    <n v="137.4"/>
    <n v="149.19999999999999"/>
    <n v="137.1"/>
    <n v="141.80000000000001"/>
    <n v="121.1"/>
    <n v="142.80000000000001"/>
    <n v="146.69999999999999"/>
    <n v="119.1"/>
    <n v="111.9"/>
    <n v="140.9"/>
    <n v="133.5"/>
    <n v="154.5"/>
    <n v="139.69999999999999"/>
    <n v="148"/>
    <n v="139.1"/>
    <n v="146.69999999999999"/>
    <n v="146.9"/>
    <n v="142.19999999999999"/>
    <n v="142.1"/>
    <n v="132"/>
    <n v="125.5"/>
    <n v="136.5"/>
    <n v="162.6"/>
    <n v="145.1"/>
    <n v="147.80000000000001"/>
    <n v="136.30000000000001"/>
    <n v="140.80000000000001"/>
    <x v="76"/>
    <n v="433.8"/>
    <n v="1714.4999999999998"/>
    <n v="274.10000000000002"/>
    <n v="728.3"/>
    <n v="145.1"/>
    <n v="4926.4000000000005"/>
    <n v="4926.4000000000005"/>
  </r>
  <r>
    <x v="0"/>
    <x v="3"/>
    <x v="6"/>
    <n v="141.80000000000001"/>
    <n v="163.69999999999999"/>
    <n v="143.80000000000001"/>
    <n v="147.1"/>
    <n v="126"/>
    <n v="146.19999999999999"/>
    <n v="191.4"/>
    <n v="136.19999999999999"/>
    <n v="113.8"/>
    <n v="147.30000000000001"/>
    <n v="138.69999999999999"/>
    <n v="157.69999999999999"/>
    <n v="150.9"/>
    <n v="152.30000000000001"/>
    <n v="147"/>
    <n v="151.5"/>
    <n v="139.5"/>
    <n v="150.9"/>
    <n v="154.30000000000001"/>
    <n v="140.6"/>
    <n v="132.1"/>
    <n v="149.1"/>
    <n v="167.2"/>
    <n v="148.4"/>
    <n v="160.80000000000001"/>
    <n v="146.1"/>
    <n v="149.9"/>
    <x v="77"/>
    <n v="450.8"/>
    <n v="1793.6999999999998"/>
    <n v="294.89999999999998"/>
    <n v="771.6"/>
    <n v="148.4"/>
    <n v="5215.6000000000004"/>
    <n v="5215.6000000000004"/>
  </r>
  <r>
    <x v="1"/>
    <x v="3"/>
    <x v="6"/>
    <n v="144.1"/>
    <n v="162.4"/>
    <n v="148.4"/>
    <n v="145.9"/>
    <n v="121.5"/>
    <n v="148.80000000000001"/>
    <n v="215.7"/>
    <n v="134.6"/>
    <n v="115"/>
    <n v="146.30000000000001"/>
    <n v="130.5"/>
    <n v="157.19999999999999"/>
    <n v="153.6"/>
    <n v="146.30000000000001"/>
    <n v="132.6"/>
    <n v="144.19999999999999"/>
    <n v="153.5"/>
    <n v="139.1"/>
    <n v="142.80000000000001"/>
    <n v="139.80000000000001"/>
    <n v="121.7"/>
    <n v="136.69999999999999"/>
    <n v="169.9"/>
    <n v="132.19999999999999"/>
    <n v="151.80000000000001"/>
    <n v="136.30000000000001"/>
    <n v="147"/>
    <x v="78"/>
    <n v="423.09999999999997"/>
    <n v="1710.6000000000001"/>
    <n v="282.60000000000002"/>
    <n v="726.90000000000009"/>
    <n v="132.19999999999999"/>
    <n v="5067.2000000000007"/>
    <n v="5067.2000000000007"/>
  </r>
  <r>
    <x v="2"/>
    <x v="3"/>
    <x v="6"/>
    <n v="142.5"/>
    <n v="163.19999999999999"/>
    <n v="145.6"/>
    <n v="146.69999999999999"/>
    <n v="124.3"/>
    <n v="147.4"/>
    <n v="199.6"/>
    <n v="135.69999999999999"/>
    <n v="114.2"/>
    <n v="147"/>
    <n v="135.30000000000001"/>
    <n v="157.5"/>
    <n v="151.9"/>
    <n v="149.9"/>
    <n v="141"/>
    <n v="148.6"/>
    <n v="153.5"/>
    <n v="145.30000000000001"/>
    <n v="149.9"/>
    <n v="140.30000000000001"/>
    <n v="126.6"/>
    <n v="142.1"/>
    <n v="167.9"/>
    <n v="142.30000000000001"/>
    <n v="155.5"/>
    <n v="141.30000000000001"/>
    <n v="148.6"/>
    <x v="79"/>
    <n v="439.5"/>
    <n v="1762.8999999999999"/>
    <n v="290.20000000000005"/>
    <n v="749.09999999999991"/>
    <n v="142.30000000000001"/>
    <n v="5152.6000000000004"/>
    <n v="5152.6000000000004"/>
  </r>
  <r>
    <x v="0"/>
    <x v="3"/>
    <x v="7"/>
    <n v="145.4"/>
    <n v="188.6"/>
    <n v="171.6"/>
    <n v="153.80000000000001"/>
    <n v="145.4"/>
    <n v="146.5"/>
    <n v="222.2"/>
    <n v="155.9"/>
    <n v="114.9"/>
    <n v="162"/>
    <n v="150"/>
    <n v="162.69999999999999"/>
    <n v="163.4"/>
    <n v="156.30000000000001"/>
    <n v="151"/>
    <n v="155.5"/>
    <n v="139.5"/>
    <n v="152.80000000000001"/>
    <n v="160.4"/>
    <n v="156.19999999999999"/>
    <n v="146.1"/>
    <n v="153.6"/>
    <n v="183.4"/>
    <n v="147.5"/>
    <n v="161.6"/>
    <n v="154.5"/>
    <n v="159.80000000000001"/>
    <x v="80"/>
    <n v="462.8"/>
    <n v="1863.8999999999996"/>
    <n v="316.60000000000002"/>
    <n v="800.6"/>
    <n v="147.5"/>
    <n v="5526.3000000000011"/>
    <n v="5526.3000000000011"/>
  </r>
  <r>
    <x v="1"/>
    <x v="3"/>
    <x v="7"/>
    <n v="149.69999999999999"/>
    <n v="195.5"/>
    <n v="176.9"/>
    <n v="153.9"/>
    <n v="138"/>
    <n v="150.5"/>
    <n v="245.3"/>
    <n v="158.69999999999999"/>
    <n v="117.2"/>
    <n v="161.4"/>
    <n v="141.5"/>
    <n v="165.1"/>
    <n v="167"/>
    <n v="151.1"/>
    <n v="136.4"/>
    <n v="148.80000000000001"/>
    <n v="158"/>
    <n v="145.1"/>
    <n v="152"/>
    <n v="157.9"/>
    <n v="135.19999999999999"/>
    <n v="144.4"/>
    <n v="188.8"/>
    <n v="137.30000000000001"/>
    <n v="156.4"/>
    <n v="146.6"/>
    <n v="156.69999999999999"/>
    <x v="81"/>
    <n v="436.3"/>
    <n v="1811.4"/>
    <n v="309.89999999999998"/>
    <n v="773.50000000000011"/>
    <n v="137.30000000000001"/>
    <n v="5451.7999999999993"/>
    <n v="5451.7999999999993"/>
  </r>
  <r>
    <x v="2"/>
    <x v="3"/>
    <x v="7"/>
    <n v="146.80000000000001"/>
    <n v="191"/>
    <n v="173.6"/>
    <n v="153.80000000000001"/>
    <n v="142.69999999999999"/>
    <n v="148.4"/>
    <n v="230"/>
    <n v="156.80000000000001"/>
    <n v="115.7"/>
    <n v="161.80000000000001"/>
    <n v="146.5"/>
    <n v="163.80000000000001"/>
    <n v="164.7"/>
    <n v="154.30000000000001"/>
    <n v="144.9"/>
    <n v="152.80000000000001"/>
    <n v="158"/>
    <n v="149.19999999999999"/>
    <n v="157.19999999999999"/>
    <n v="156.9"/>
    <n v="140.4"/>
    <n v="148.4"/>
    <n v="184.8"/>
    <n v="143.6"/>
    <n v="158.6"/>
    <n v="150.69999999999999"/>
    <n v="158.4"/>
    <x v="82"/>
    <n v="452.00000000000006"/>
    <n v="1849.1000000000001"/>
    <n v="314.10000000000002"/>
    <n v="786.10000000000014"/>
    <n v="143.6"/>
    <n v="5496.9000000000005"/>
    <n v="5496.9000000000005"/>
  </r>
  <r>
    <x v="0"/>
    <x v="3"/>
    <x v="8"/>
    <n v="146.9"/>
    <n v="199.8"/>
    <n v="171.5"/>
    <n v="159.1"/>
    <n v="198.4"/>
    <n v="153.19999999999999"/>
    <n v="183.9"/>
    <n v="165.4"/>
    <n v="122.1"/>
    <n v="170.8"/>
    <n v="169.1"/>
    <n v="174.3"/>
    <n v="167.5"/>
    <n v="170.4"/>
    <n v="166"/>
    <n v="169.8"/>
    <n v="139.5"/>
    <n v="162.9"/>
    <n v="173.4"/>
    <n v="162.4"/>
    <n v="158.9"/>
    <n v="163.80000000000001"/>
    <n v="191.4"/>
    <n v="165.3"/>
    <n v="169.3"/>
    <n v="165.2"/>
    <n v="167.6"/>
    <x v="83"/>
    <n v="506.2"/>
    <n v="1993.1000000000001"/>
    <n v="335.8"/>
    <n v="855"/>
    <n v="165.3"/>
    <n v="5872.1"/>
    <n v="5872.1"/>
  </r>
  <r>
    <x v="1"/>
    <x v="3"/>
    <x v="8"/>
    <n v="151"/>
    <n v="204.9"/>
    <n v="175.4"/>
    <n v="159.6"/>
    <n v="175.8"/>
    <n v="160.30000000000001"/>
    <n v="229.1"/>
    <n v="165.1"/>
    <n v="123.1"/>
    <n v="167.2"/>
    <n v="156.1"/>
    <n v="176.8"/>
    <n v="173.5"/>
    <n v="162.30000000000001"/>
    <n v="145.30000000000001"/>
    <n v="159.69999999999999"/>
    <n v="164.2"/>
    <n v="155.19999999999999"/>
    <n v="164.2"/>
    <n v="161.80000000000001"/>
    <n v="151.19999999999999"/>
    <n v="156.69999999999999"/>
    <n v="197"/>
    <n v="161.6"/>
    <n v="160.80000000000001"/>
    <n v="157.30000000000001"/>
    <n v="165.6"/>
    <x v="84"/>
    <n v="467.3"/>
    <n v="1940"/>
    <n v="326"/>
    <n v="833.39999999999986"/>
    <n v="161.6"/>
    <n v="5784.5999999999995"/>
    <n v="5784.5999999999995"/>
  </r>
  <r>
    <x v="2"/>
    <x v="3"/>
    <x v="8"/>
    <n v="148.19999999999999"/>
    <n v="201.6"/>
    <n v="173"/>
    <n v="159.30000000000001"/>
    <n v="190.1"/>
    <n v="156.5"/>
    <n v="199.2"/>
    <n v="165.3"/>
    <n v="122.4"/>
    <n v="169.6"/>
    <n v="163.69999999999999"/>
    <n v="175.5"/>
    <n v="169.7"/>
    <n v="167.2"/>
    <n v="157.4"/>
    <n v="165.8"/>
    <n v="164.2"/>
    <n v="159.30000000000001"/>
    <n v="169.9"/>
    <n v="162.19999999999999"/>
    <n v="154.80000000000001"/>
    <n v="159.80000000000001"/>
    <n v="192.9"/>
    <n v="163.9"/>
    <n v="164.3"/>
    <n v="161.4"/>
    <n v="166.7"/>
    <x v="85"/>
    <n v="490.40000000000003"/>
    <n v="1981.7"/>
    <n v="332.1"/>
    <n v="842.30000000000007"/>
    <n v="163.9"/>
    <n v="5840.6"/>
    <n v="5840.6"/>
  </r>
  <r>
    <x v="0"/>
    <x v="3"/>
    <x v="9"/>
    <n v="166.9"/>
    <n v="207.2"/>
    <n v="180.2"/>
    <n v="172.3"/>
    <n v="194"/>
    <n v="159.1"/>
    <n v="171.6"/>
    <n v="170.2"/>
    <n v="121.5"/>
    <n v="204.8"/>
    <n v="176.4"/>
    <n v="186.9"/>
    <n v="176.6"/>
    <n v="187.2"/>
    <n v="185.2"/>
    <n v="186.9"/>
    <n v="139.5"/>
    <n v="175.5"/>
    <n v="182.3"/>
    <n v="173.4"/>
    <n v="167.5"/>
    <n v="170.8"/>
    <n v="195.5"/>
    <n v="181.9"/>
    <n v="176.9"/>
    <n v="174.6"/>
    <n v="177.8"/>
    <x v="86"/>
    <n v="559.29999999999995"/>
    <n v="2122.6"/>
    <n v="355.70000000000005"/>
    <n v="899.7"/>
    <n v="181.9"/>
    <n v="6225"/>
    <n v="6225"/>
  </r>
  <r>
    <x v="1"/>
    <x v="3"/>
    <x v="9"/>
    <n v="168.4"/>
    <n v="213.4"/>
    <n v="183.2"/>
    <n v="172.3"/>
    <n v="180"/>
    <n v="162.6"/>
    <n v="205.5"/>
    <n v="171"/>
    <n v="123.4"/>
    <n v="198.8"/>
    <n v="162.1"/>
    <n v="192.4"/>
    <n v="181.3"/>
    <n v="176.7"/>
    <n v="163.5"/>
    <n v="174.7"/>
    <n v="171.8"/>
    <n v="166.9"/>
    <n v="175.8"/>
    <n v="173.8"/>
    <n v="158.9"/>
    <n v="166.7"/>
    <n v="200.6"/>
    <n v="180.3"/>
    <n v="171.5"/>
    <n v="167.4"/>
    <n v="174.1"/>
    <x v="87"/>
    <n v="514.9"/>
    <n v="2081.1999999999998"/>
    <n v="349.6"/>
    <n v="886.49999999999989"/>
    <n v="180.3"/>
    <n v="6146.6"/>
    <n v="6146.6"/>
  </r>
  <r>
    <x v="2"/>
    <x v="3"/>
    <x v="9"/>
    <n v="167.4"/>
    <n v="209.4"/>
    <n v="181.4"/>
    <n v="172.3"/>
    <n v="188.9"/>
    <n v="160.69999999999999"/>
    <n v="183.1"/>
    <n v="170.5"/>
    <n v="122.1"/>
    <n v="202.8"/>
    <n v="170.4"/>
    <n v="189.5"/>
    <n v="178.3"/>
    <n v="183.1"/>
    <n v="176.2"/>
    <n v="182.1"/>
    <n v="171.8"/>
    <n v="171.4"/>
    <n v="179.8"/>
    <n v="173.6"/>
    <n v="163"/>
    <n v="168.5"/>
    <n v="196.9"/>
    <n v="181.3"/>
    <n v="173.7"/>
    <n v="171.1"/>
    <n v="176.5"/>
    <x v="88"/>
    <n v="541.4"/>
    <n v="2121.4"/>
    <n v="353.4"/>
    <n v="891.50000000000011"/>
    <n v="181.3"/>
    <n v="6204.5"/>
    <n v="6204.5"/>
  </r>
  <r>
    <x v="0"/>
    <x v="4"/>
    <x v="0"/>
    <n v="110.9"/>
    <n v="109.8"/>
    <n v="105.9"/>
    <n v="107.5"/>
    <n v="105.3"/>
    <n v="108.1"/>
    <n v="107.3"/>
    <n v="106.1"/>
    <n v="103.7"/>
    <n v="104"/>
    <n v="107.4"/>
    <n v="109.9"/>
    <n v="108.1"/>
    <n v="108.8"/>
    <n v="107.9"/>
    <n v="108.6"/>
    <n v="139.5"/>
    <n v="106.8"/>
    <n v="105.7"/>
    <n v="102.1"/>
    <n v="104.1"/>
    <n v="105"/>
    <n v="108.1"/>
    <n v="107.5"/>
    <n v="105.5"/>
    <n v="104.8"/>
    <n v="107.2"/>
    <x v="89"/>
    <n v="325.29999999999995"/>
    <n v="1309.5999999999999"/>
    <n v="207.8"/>
    <n v="530.9"/>
    <n v="107.5"/>
    <n v="3767.6"/>
    <n v="3767.6"/>
  </r>
  <r>
    <x v="1"/>
    <x v="4"/>
    <x v="0"/>
    <n v="115.4"/>
    <n v="114.2"/>
    <n v="102.7"/>
    <n v="105.5"/>
    <n v="101.5"/>
    <n v="110.6"/>
    <n v="123.7"/>
    <n v="105.2"/>
    <n v="101.9"/>
    <n v="105"/>
    <n v="109.1"/>
    <n v="111.3"/>
    <n v="111.1"/>
    <n v="108.5"/>
    <n v="106.7"/>
    <n v="108.3"/>
    <n v="100.5"/>
    <n v="107.1"/>
    <n v="106.2"/>
    <n v="102.6"/>
    <n v="103.9"/>
    <n v="104.6"/>
    <n v="109.8"/>
    <n v="107.2"/>
    <n v="105.7"/>
    <n v="104.9"/>
    <n v="106.6"/>
    <x v="90"/>
    <n v="323.5"/>
    <n v="1271.1000000000001"/>
    <n v="208.8"/>
    <n v="532.19999999999993"/>
    <n v="107.2"/>
    <n v="3752.8"/>
    <n v="3752.8"/>
  </r>
  <r>
    <x v="2"/>
    <x v="4"/>
    <x v="0"/>
    <n v="112.3"/>
    <n v="111.3"/>
    <n v="104.7"/>
    <n v="106.8"/>
    <n v="103.9"/>
    <n v="109.3"/>
    <n v="112.9"/>
    <n v="105.8"/>
    <n v="103.1"/>
    <n v="104.3"/>
    <n v="108.1"/>
    <n v="110.5"/>
    <n v="109.2"/>
    <n v="108.7"/>
    <n v="107.4"/>
    <n v="108.5"/>
    <n v="100.5"/>
    <n v="106.9"/>
    <n v="105.9"/>
    <n v="102.3"/>
    <n v="104"/>
    <n v="104.8"/>
    <n v="108.6"/>
    <n v="107.4"/>
    <n v="105.6"/>
    <n v="104.8"/>
    <n v="106.9"/>
    <x v="91"/>
    <n v="324.60000000000002"/>
    <n v="1270.5999999999999"/>
    <n v="208.2"/>
    <n v="531.19999999999993"/>
    <n v="107.4"/>
    <n v="3736.7999999999993"/>
    <n v="3736.7999999999993"/>
  </r>
  <r>
    <x v="0"/>
    <x v="4"/>
    <x v="1"/>
    <n v="120.3"/>
    <n v="120.2"/>
    <n v="116.9"/>
    <n v="118"/>
    <n v="110.1"/>
    <n v="126.3"/>
    <n v="123.9"/>
    <n v="111.5"/>
    <n v="103.5"/>
    <n v="111.6"/>
    <n v="114.2"/>
    <n v="119.2"/>
    <n v="118.2"/>
    <n v="118.7"/>
    <n v="116.8"/>
    <n v="118.5"/>
    <n v="139.5"/>
    <n v="114.1"/>
    <n v="112.1"/>
    <n v="108.9"/>
    <n v="111.4"/>
    <n v="110.9"/>
    <n v="116.3"/>
    <n v="113.4"/>
    <n v="113.1"/>
    <n v="111.8"/>
    <n v="116"/>
    <x v="92"/>
    <n v="354"/>
    <n v="1393.7"/>
    <n v="221"/>
    <n v="565.5"/>
    <n v="113.4"/>
    <n v="4048.1"/>
    <n v="4048.1"/>
  </r>
  <r>
    <x v="1"/>
    <x v="4"/>
    <x v="1"/>
    <n v="122.7"/>
    <n v="124.1"/>
    <n v="114.2"/>
    <n v="119.1"/>
    <n v="103.5"/>
    <n v="129.19999999999999"/>
    <n v="127"/>
    <n v="112.6"/>
    <n v="101.3"/>
    <n v="117"/>
    <n v="112.9"/>
    <n v="121.7"/>
    <n v="120"/>
    <n v="116.8"/>
    <n v="112.9"/>
    <n v="116.2"/>
    <n v="114.3"/>
    <n v="114.1"/>
    <n v="111.2"/>
    <n v="109.3"/>
    <n v="111.3"/>
    <n v="111.5"/>
    <n v="118.3"/>
    <n v="111.1"/>
    <n v="112.9"/>
    <n v="111.7"/>
    <n v="115.6"/>
    <x v="93"/>
    <n v="345.9"/>
    <n v="1359.8999999999999"/>
    <n v="220.5"/>
    <n v="565.5"/>
    <n v="111.1"/>
    <n v="4017.1000000000004"/>
    <n v="4017.1000000000004"/>
  </r>
  <r>
    <x v="2"/>
    <x v="4"/>
    <x v="1"/>
    <n v="121.1"/>
    <n v="121.6"/>
    <n v="115.9"/>
    <n v="118.4"/>
    <n v="107.7"/>
    <n v="127.7"/>
    <n v="125"/>
    <n v="111.9"/>
    <n v="102.8"/>
    <n v="113.4"/>
    <n v="113.7"/>
    <n v="120.4"/>
    <n v="118.9"/>
    <n v="118"/>
    <n v="115.2"/>
    <n v="117.6"/>
    <n v="114.3"/>
    <n v="114.1"/>
    <n v="111.8"/>
    <n v="109.1"/>
    <n v="111.3"/>
    <n v="111.2"/>
    <n v="116.8"/>
    <n v="112.5"/>
    <n v="113"/>
    <n v="111.8"/>
    <n v="115.8"/>
    <x v="94"/>
    <n v="350.79999999999995"/>
    <n v="1364.8999999999999"/>
    <n v="220.89999999999998"/>
    <n v="565.29999999999995"/>
    <n v="112.5"/>
    <n v="4020.4000000000005"/>
    <n v="4020.4000000000005"/>
  </r>
  <r>
    <x v="0"/>
    <x v="4"/>
    <x v="2"/>
    <n v="123.5"/>
    <n v="127.1"/>
    <n v="117.3"/>
    <n v="127.7"/>
    <n v="112.5"/>
    <n v="134.1"/>
    <n v="128.5"/>
    <n v="124.3"/>
    <n v="97.6"/>
    <n v="120.7"/>
    <n v="120.2"/>
    <n v="129.80000000000001"/>
    <n v="124.4"/>
    <n v="127.3"/>
    <n v="124.1"/>
    <n v="126.8"/>
    <n v="139.5"/>
    <n v="121.5"/>
    <n v="119.4"/>
    <n v="112.3"/>
    <n v="113.3"/>
    <n v="116.7"/>
    <n v="126.7"/>
    <n v="121.9"/>
    <n v="120.5"/>
    <n v="116.9"/>
    <n v="122.4"/>
    <x v="95"/>
    <n v="378.2"/>
    <n v="1470"/>
    <n v="231.7"/>
    <n v="602.70000000000005"/>
    <n v="121.9"/>
    <n v="4270.3"/>
    <n v="4270.3"/>
  </r>
  <r>
    <x v="1"/>
    <x v="4"/>
    <x v="2"/>
    <n v="123.8"/>
    <n v="129.69999999999999"/>
    <n v="111.3"/>
    <n v="126.6"/>
    <n v="105.2"/>
    <n v="130.80000000000001"/>
    <n v="135.6"/>
    <n v="142.6"/>
    <n v="90.8"/>
    <n v="128.80000000000001"/>
    <n v="117.7"/>
    <n v="129.9"/>
    <n v="126.1"/>
    <n v="122.4"/>
    <n v="117.4"/>
    <n v="121.6"/>
    <n v="119.6"/>
    <n v="118.7"/>
    <n v="114.9"/>
    <n v="112.4"/>
    <n v="110.8"/>
    <n v="116"/>
    <n v="131.30000000000001"/>
    <n v="114.9"/>
    <n v="122"/>
    <n v="115.2"/>
    <n v="120.7"/>
    <x v="96"/>
    <n v="361.4"/>
    <n v="1422"/>
    <n v="227.3"/>
    <n v="599.40000000000009"/>
    <n v="114.9"/>
    <n v="4209"/>
    <n v="4209"/>
  </r>
  <r>
    <x v="2"/>
    <x v="4"/>
    <x v="2"/>
    <n v="123.6"/>
    <n v="128"/>
    <n v="115"/>
    <n v="127.3"/>
    <n v="109.8"/>
    <n v="132.6"/>
    <n v="130.9"/>
    <n v="130.5"/>
    <n v="95.3"/>
    <n v="123.4"/>
    <n v="119.2"/>
    <n v="129.80000000000001"/>
    <n v="125"/>
    <n v="125.4"/>
    <n v="121.3"/>
    <n v="124.7"/>
    <n v="119.6"/>
    <n v="120.2"/>
    <n v="117.7"/>
    <n v="112.3"/>
    <n v="112"/>
    <n v="116.3"/>
    <n v="127.9"/>
    <n v="119.2"/>
    <n v="121.4"/>
    <n v="116.1"/>
    <n v="121.6"/>
    <x v="97"/>
    <n v="371.4"/>
    <n v="1438.0000000000002"/>
    <n v="230"/>
    <n v="600.9"/>
    <n v="119.2"/>
    <n v="4230.7"/>
    <n v="4230.7"/>
  </r>
  <r>
    <x v="0"/>
    <x v="4"/>
    <x v="3"/>
    <n v="127.6"/>
    <n v="137.5"/>
    <n v="124.4"/>
    <n v="132.4"/>
    <n v="118.2"/>
    <n v="138.1"/>
    <n v="141.80000000000001"/>
    <n v="166"/>
    <n v="107.5"/>
    <n v="132.19999999999999"/>
    <n v="126.1"/>
    <n v="138.30000000000001"/>
    <n v="133.6"/>
    <n v="135.4"/>
    <n v="131.1"/>
    <n v="134.80000000000001"/>
    <n v="139.5"/>
    <n v="128.5"/>
    <n v="125.8"/>
    <n v="119.7"/>
    <n v="115.1"/>
    <n v="123.6"/>
    <n v="136"/>
    <n v="127.4"/>
    <n v="129.1"/>
    <n v="122.5"/>
    <n v="130.30000000000001"/>
    <x v="98"/>
    <n v="401.3"/>
    <n v="1545.9999999999998"/>
    <n v="245.5"/>
    <n v="638.6"/>
    <n v="127.4"/>
    <n v="4555.1000000000004"/>
    <n v="4555.1000000000004"/>
  </r>
  <r>
    <x v="1"/>
    <x v="4"/>
    <x v="3"/>
    <n v="125"/>
    <n v="142.1"/>
    <n v="127"/>
    <n v="130.4"/>
    <n v="109.6"/>
    <n v="133.5"/>
    <n v="151.4"/>
    <n v="182.8"/>
    <n v="111.1"/>
    <n v="141.5"/>
    <n v="121.5"/>
    <n v="136.30000000000001"/>
    <n v="134.6"/>
    <n v="127.2"/>
    <n v="120.7"/>
    <n v="126.2"/>
    <n v="126"/>
    <n v="123.2"/>
    <n v="120.3"/>
    <n v="118.5"/>
    <n v="110.7"/>
    <n v="119.8"/>
    <n v="142.19999999999999"/>
    <n v="115"/>
    <n v="128"/>
    <n v="118.7"/>
    <n v="126.6"/>
    <x v="99"/>
    <n v="374.1"/>
    <n v="1477.8000000000002"/>
    <n v="238.8"/>
    <n v="623.70000000000005"/>
    <n v="115"/>
    <n v="4461.2"/>
    <n v="4461.2"/>
  </r>
  <r>
    <x v="2"/>
    <x v="4"/>
    <x v="3"/>
    <n v="126.8"/>
    <n v="139.1"/>
    <n v="125.4"/>
    <n v="131.69999999999999"/>
    <n v="115"/>
    <n v="136"/>
    <n v="145.1"/>
    <n v="171.7"/>
    <n v="108.7"/>
    <n v="135.30000000000001"/>
    <n v="124.2"/>
    <n v="137.4"/>
    <n v="134"/>
    <n v="132.19999999999999"/>
    <n v="126.8"/>
    <n v="131.4"/>
    <n v="126"/>
    <n v="126"/>
    <n v="123.7"/>
    <n v="119.2"/>
    <n v="112.8"/>
    <n v="121.5"/>
    <n v="137.69999999999999"/>
    <n v="122.7"/>
    <n v="128.5"/>
    <n v="120.7"/>
    <n v="128.6"/>
    <x v="100"/>
    <n v="390.4"/>
    <n v="1508.5"/>
    <n v="242.9"/>
    <n v="631.1"/>
    <n v="122.7"/>
    <n v="4503.3"/>
    <n v="4503.3"/>
  </r>
  <r>
    <x v="0"/>
    <x v="4"/>
    <x v="4"/>
    <n v="133.1"/>
    <n v="140.30000000000001"/>
    <n v="126.8"/>
    <n v="138.19999999999999"/>
    <n v="120.8"/>
    <n v="140.19999999999999"/>
    <n v="123.8"/>
    <n v="141.80000000000001"/>
    <n v="118.6"/>
    <n v="134"/>
    <n v="130.30000000000001"/>
    <n v="145.80000000000001"/>
    <n v="133.80000000000001"/>
    <n v="142.5"/>
    <n v="137.30000000000001"/>
    <n v="141.80000000000001"/>
    <n v="139.5"/>
    <n v="134.9"/>
    <n v="131.4"/>
    <n v="123.7"/>
    <n v="119.4"/>
    <n v="129.4"/>
    <n v="145.5"/>
    <n v="135"/>
    <n v="136.30000000000001"/>
    <n v="127.9"/>
    <n v="133.30000000000001"/>
    <x v="101"/>
    <n v="421.6"/>
    <n v="1616.7"/>
    <n v="255.10000000000002"/>
    <n v="674.1"/>
    <n v="135"/>
    <n v="4694.9999999999991"/>
    <n v="4694.9999999999991"/>
  </r>
  <r>
    <x v="1"/>
    <x v="4"/>
    <x v="4"/>
    <n v="132.6"/>
    <n v="144.1"/>
    <n v="125.6"/>
    <n v="136.80000000000001"/>
    <n v="113.4"/>
    <n v="135.19999999999999"/>
    <n v="129.19999999999999"/>
    <n v="131.5"/>
    <n v="121"/>
    <n v="139.9"/>
    <n v="123.8"/>
    <n v="142.9"/>
    <n v="133.6"/>
    <n v="131.5"/>
    <n v="123.2"/>
    <n v="130.19999999999999"/>
    <n v="132.1"/>
    <n v="126.5"/>
    <n v="123.6"/>
    <n v="122"/>
    <n v="114.3"/>
    <n v="122.8"/>
    <n v="148.30000000000001"/>
    <n v="120.1"/>
    <n v="133.80000000000001"/>
    <n v="122.6"/>
    <n v="129.30000000000001"/>
    <x v="102"/>
    <n v="384.9"/>
    <n v="1528.3999999999999"/>
    <n v="245.6"/>
    <n v="647.6"/>
    <n v="120.1"/>
    <n v="4516.0999999999995"/>
    <n v="4516.0999999999995"/>
  </r>
  <r>
    <x v="2"/>
    <x v="4"/>
    <x v="4"/>
    <n v="132.9"/>
    <n v="141.6"/>
    <n v="126.3"/>
    <n v="137.69999999999999"/>
    <n v="118.1"/>
    <n v="137.9"/>
    <n v="125.6"/>
    <n v="138.30000000000001"/>
    <n v="119.4"/>
    <n v="136"/>
    <n v="127.6"/>
    <n v="144.5"/>
    <n v="133.69999999999999"/>
    <n v="138.19999999999999"/>
    <n v="131.4"/>
    <n v="137.19999999999999"/>
    <n v="132.1"/>
    <n v="130.9"/>
    <n v="128.4"/>
    <n v="123"/>
    <n v="116.7"/>
    <n v="125.7"/>
    <n v="146.19999999999999"/>
    <n v="129.4"/>
    <n v="134.80000000000001"/>
    <n v="125.3"/>
    <n v="131.4"/>
    <x v="103"/>
    <n v="406.8"/>
    <n v="1574"/>
    <n v="251.4"/>
    <n v="661.39999999999986"/>
    <n v="129.4"/>
    <n v="4613.2"/>
    <n v="4613.2"/>
  </r>
  <r>
    <x v="0"/>
    <x v="4"/>
    <x v="5"/>
    <n v="137.4"/>
    <n v="145.69999999999999"/>
    <n v="135.5"/>
    <n v="142.9"/>
    <n v="123.6"/>
    <n v="157.5"/>
    <n v="137.80000000000001"/>
    <n v="127.2"/>
    <n v="111.8"/>
    <n v="137.4"/>
    <n v="132.19999999999999"/>
    <n v="154.30000000000001"/>
    <n v="139.1"/>
    <n v="150.80000000000001"/>
    <n v="144.1"/>
    <n v="149.80000000000001"/>
    <n v="139.5"/>
    <n v="141.80000000000001"/>
    <n v="138.4"/>
    <n v="131.19999999999999"/>
    <n v="126.4"/>
    <n v="136.80000000000001"/>
    <n v="157"/>
    <n v="144.30000000000001"/>
    <n v="144.4"/>
    <n v="135.1"/>
    <n v="139.80000000000001"/>
    <x v="104"/>
    <n v="444.7"/>
    <n v="1704.5"/>
    <n v="269.60000000000002"/>
    <n v="717.6"/>
    <n v="144.30000000000001"/>
    <n v="4918.8"/>
    <n v="4918.8"/>
  </r>
  <r>
    <x v="1"/>
    <x v="4"/>
    <x v="5"/>
    <n v="135"/>
    <n v="148.19999999999999"/>
    <n v="130.5"/>
    <n v="140.69999999999999"/>
    <n v="116.4"/>
    <n v="151.30000000000001"/>
    <n v="131.4"/>
    <n v="112.8"/>
    <n v="105.3"/>
    <n v="139.6"/>
    <n v="126.6"/>
    <n v="148.69999999999999"/>
    <n v="136.4"/>
    <n v="138.6"/>
    <n v="127.9"/>
    <n v="137"/>
    <n v="143.19999999999999"/>
    <n v="132.5"/>
    <n v="132"/>
    <n v="128.1"/>
    <n v="119.8"/>
    <n v="128"/>
    <n v="160.30000000000001"/>
    <n v="124.7"/>
    <n v="140.4"/>
    <n v="128.9"/>
    <n v="135.4"/>
    <x v="105"/>
    <n v="403.5"/>
    <n v="1612.5000000000002"/>
    <n v="260.10000000000002"/>
    <n v="682.3"/>
    <n v="124.7"/>
    <n v="4681.2999999999993"/>
    <n v="4681.2999999999993"/>
  </r>
  <r>
    <x v="2"/>
    <x v="4"/>
    <x v="5"/>
    <n v="136.6"/>
    <n v="146.6"/>
    <n v="133.6"/>
    <n v="142.1"/>
    <n v="121"/>
    <n v="154.6"/>
    <n v="135.6"/>
    <n v="122.3"/>
    <n v="109.6"/>
    <n v="138.1"/>
    <n v="129.9"/>
    <n v="151.69999999999999"/>
    <n v="138.1"/>
    <n v="146"/>
    <n v="137.4"/>
    <n v="144.69999999999999"/>
    <n v="143.19999999999999"/>
    <n v="137.4"/>
    <n v="136"/>
    <n v="129.9"/>
    <n v="122.9"/>
    <n v="131.80000000000001"/>
    <n v="157.9"/>
    <n v="136.9"/>
    <n v="142.1"/>
    <n v="132.1"/>
    <n v="137.80000000000001"/>
    <x v="70"/>
    <n v="428.09999999999997"/>
    <n v="1666.2"/>
    <n v="265.89999999999998"/>
    <n v="700.80000000000007"/>
    <n v="136.9"/>
    <n v="4820.8"/>
    <n v="4820.8"/>
  </r>
  <r>
    <x v="0"/>
    <x v="4"/>
    <x v="6"/>
    <n v="137.4"/>
    <n v="159.5"/>
    <n v="134.5"/>
    <n v="142.6"/>
    <n v="124"/>
    <n v="143.69999999999999"/>
    <n v="133.4"/>
    <n v="125.1"/>
    <n v="109.3"/>
    <n v="139.30000000000001"/>
    <n v="137.69999999999999"/>
    <n v="156.4"/>
    <n v="139.19999999999999"/>
    <n v="151.30000000000001"/>
    <n v="146.6"/>
    <n v="150.69999999999999"/>
    <n v="139.5"/>
    <n v="149.5"/>
    <n v="151.30000000000001"/>
    <n v="133.9"/>
    <n v="130.19999999999999"/>
    <n v="145.9"/>
    <n v="163.30000000000001"/>
    <n v="146.9"/>
    <n v="156.69999999999999"/>
    <n v="142.9"/>
    <n v="142.4"/>
    <x v="106"/>
    <n v="448.59999999999997"/>
    <n v="1765.8"/>
    <n v="285.20000000000005"/>
    <n v="755.69999999999993"/>
    <n v="146.9"/>
    <n v="5037.3999999999996"/>
    <n v="5037.3999999999996"/>
  </r>
  <r>
    <x v="1"/>
    <x v="4"/>
    <x v="6"/>
    <n v="140.4"/>
    <n v="156.69999999999999"/>
    <n v="138.30000000000001"/>
    <n v="142.4"/>
    <n v="118.6"/>
    <n v="149.69999999999999"/>
    <n v="161.6"/>
    <n v="124.4"/>
    <n v="111.2"/>
    <n v="141"/>
    <n v="128.9"/>
    <n v="154.5"/>
    <n v="143.80000000000001"/>
    <n v="144"/>
    <n v="131.69999999999999"/>
    <n v="142.19999999999999"/>
    <n v="150.1"/>
    <n v="137.19999999999999"/>
    <n v="139.80000000000001"/>
    <n v="132.6"/>
    <n v="120.1"/>
    <n v="134"/>
    <n v="166.2"/>
    <n v="129.4"/>
    <n v="148"/>
    <n v="133.30000000000001"/>
    <n v="141.5"/>
    <x v="107"/>
    <n v="417.9"/>
    <n v="1675.3000000000002"/>
    <n v="272.39999999999998"/>
    <n v="710.90000000000009"/>
    <n v="129.4"/>
    <n v="4888"/>
    <n v="4888"/>
  </r>
  <r>
    <x v="2"/>
    <x v="4"/>
    <x v="6"/>
    <n v="138.30000000000001"/>
    <n v="158.5"/>
    <n v="136"/>
    <n v="142.5"/>
    <n v="122"/>
    <n v="146.5"/>
    <n v="143"/>
    <n v="124.9"/>
    <n v="109.9"/>
    <n v="139.9"/>
    <n v="134"/>
    <n v="155.5"/>
    <n v="140.9"/>
    <n v="148.4"/>
    <n v="140.4"/>
    <n v="147.30000000000001"/>
    <n v="150.1"/>
    <n v="143.69999999999999"/>
    <n v="146.9"/>
    <n v="133.4"/>
    <n v="124.9"/>
    <n v="139.19999999999999"/>
    <n v="164.1"/>
    <n v="140.30000000000001"/>
    <n v="151.6"/>
    <n v="138.19999999999999"/>
    <n v="142"/>
    <x v="108"/>
    <n v="436.1"/>
    <n v="1730.3"/>
    <n v="280.3"/>
    <n v="733.39999999999986"/>
    <n v="140.30000000000001"/>
    <n v="4972"/>
    <n v="4972"/>
  </r>
  <r>
    <x v="0"/>
    <x v="4"/>
    <x v="7"/>
    <n v="149.23333333333332"/>
    <n v="167.13333333333335"/>
    <n v="149.20000000000002"/>
    <n v="155.56666666666669"/>
    <n v="134.6"/>
    <n v="150.03333333333333"/>
    <n v="170.43333333333331"/>
    <n v="150.46666666666667"/>
    <n v="120.43333333333334"/>
    <n v="156.6"/>
    <n v="136.5"/>
    <n v="159.50617283950621"/>
    <n v="151.66666666666666"/>
    <n v="150.42469135802469"/>
    <n v="140.22592592592594"/>
    <n v="148.88148148148147"/>
    <n v="151.53703703703707"/>
    <n v="145.47160493827161"/>
    <n v="149.93333333333334"/>
    <n v="145.21481481481479"/>
    <n v="129.23333333333335"/>
    <n v="143.17654320987654"/>
    <n v="171.78765432098763"/>
    <n v="147.19629629629631"/>
    <n v="155.86296296296297"/>
    <n v="142.98518518518517"/>
    <n v="148.38765432098768"/>
    <x v="109"/>
    <n v="439.53209876543212"/>
    <n v="1778.9456790123461"/>
    <n v="295.14814814814815"/>
    <n v="761.00864197530859"/>
    <n v="147.19629629629631"/>
    <n v="5226.0074074074082"/>
    <n v="5226.0074074074082"/>
  </r>
  <r>
    <x v="1"/>
    <x v="4"/>
    <x v="7"/>
    <n v="149.91111111111113"/>
    <n v="167.14444444444447"/>
    <n v="149.9666666666667"/>
    <n v="155.55555555555557"/>
    <n v="133.76666666666665"/>
    <n v="150.94444444444446"/>
    <n v="173.01111111111109"/>
    <n v="150.55555555555557"/>
    <n v="120.64444444444445"/>
    <n v="155.9"/>
    <n v="135.6"/>
    <n v="159.48600823045271"/>
    <n v="152.18888888888887"/>
    <n v="150.31069958847738"/>
    <n v="139.9345679012346"/>
    <n v="148.74197530864197"/>
    <n v="152.21604938271608"/>
    <n v="145.21769547325104"/>
    <n v="148.47777777777779"/>
    <n v="145.21975308641973"/>
    <n v="128.94444444444446"/>
    <n v="142.81316872427985"/>
    <n v="171.82798353909462"/>
    <n v="146.96172839506175"/>
    <n v="155.61728395061729"/>
    <n v="142.74691358024691"/>
    <n v="148.32798353909467"/>
    <x v="110"/>
    <n v="438.98724279835392"/>
    <n v="1776.2831275720166"/>
    <n v="293.69753086419752"/>
    <n v="759.96707818930042"/>
    <n v="146.96172839506175"/>
    <n v="5223.6098765432098"/>
    <n v="5223.6098765432098"/>
  </r>
  <r>
    <x v="2"/>
    <x v="4"/>
    <x v="7"/>
    <n v="149.28148148148148"/>
    <n v="167.12592592592594"/>
    <n v="149.32222222222222"/>
    <n v="155.5740740740741"/>
    <n v="134.48888888888888"/>
    <n v="150.2925925925926"/>
    <n v="170.68148148148146"/>
    <n v="150.47407407407408"/>
    <n v="120.45925925925927"/>
    <n v="156.53333333333333"/>
    <n v="136.29999999999998"/>
    <n v="159.50727023319618"/>
    <n v="151.75185185185185"/>
    <n v="150.45130315500685"/>
    <n v="140.26831275720167"/>
    <n v="148.91152263374485"/>
    <n v="152.01028806584364"/>
    <n v="145.46433470507546"/>
    <n v="149.7037037037037"/>
    <n v="145.21522633744851"/>
    <n v="129.1925925925926"/>
    <n v="143.09903978052125"/>
    <n v="171.75212620027432"/>
    <n v="147.26008230452678"/>
    <n v="155.80082304526749"/>
    <n v="142.9736625514403"/>
    <n v="148.3854595336077"/>
    <x v="111"/>
    <n v="439.63113854595338"/>
    <n v="1779.1293552812069"/>
    <n v="294.91893004115218"/>
    <n v="760.88573388203019"/>
    <n v="147.26008230452678"/>
    <n v="5226.3576131687232"/>
    <n v="5226.3576131687232"/>
  </r>
  <r>
    <x v="0"/>
    <x v="4"/>
    <x v="8"/>
    <n v="145.1"/>
    <n v="198.5"/>
    <n v="168.6"/>
    <n v="155.80000000000001"/>
    <n v="184.4"/>
    <n v="162.30000000000001"/>
    <n v="138.4"/>
    <n v="165.1"/>
    <n v="114.3"/>
    <n v="169.7"/>
    <n v="164.6"/>
    <n v="169.8"/>
    <n v="158.69999999999999"/>
    <n v="165.3"/>
    <n v="160.6"/>
    <n v="164.5"/>
    <n v="139.5"/>
    <n v="158.80000000000001"/>
    <n v="169.1"/>
    <n v="159.30000000000001"/>
    <n v="153.19999999999999"/>
    <n v="160"/>
    <n v="189.6"/>
    <n v="161.69999999999999"/>
    <n v="167.6"/>
    <n v="161.1"/>
    <n v="161.1"/>
    <x v="112"/>
    <n v="490.4"/>
    <n v="1949.2"/>
    <n v="328.4"/>
    <n v="840"/>
    <n v="161.69999999999999"/>
    <n v="5703.2999999999993"/>
    <n v="5703.2999999999993"/>
  </r>
  <r>
    <x v="1"/>
    <x v="4"/>
    <x v="8"/>
    <n v="148.80000000000001"/>
    <n v="204.3"/>
    <n v="173"/>
    <n v="156.5"/>
    <n v="168.8"/>
    <n v="172.5"/>
    <n v="166.5"/>
    <n v="165.9"/>
    <n v="115.9"/>
    <n v="165.2"/>
    <n v="152"/>
    <n v="171.1"/>
    <n v="164.2"/>
    <n v="156.5"/>
    <n v="140.19999999999999"/>
    <n v="154.1"/>
    <n v="161.6"/>
    <n v="150.1"/>
    <n v="160.4"/>
    <n v="157.5"/>
    <n v="145"/>
    <n v="152.6"/>
    <n v="198.2"/>
    <n v="155.5"/>
    <n v="156.6"/>
    <n v="152.30000000000001"/>
    <n v="159.5"/>
    <x v="113"/>
    <n v="450.79999999999995"/>
    <n v="1888.3"/>
    <n v="317.89999999999998"/>
    <n v="815.2"/>
    <n v="155.5"/>
    <n v="5596.9"/>
    <n v="5596.9"/>
  </r>
  <r>
    <x v="2"/>
    <x v="4"/>
    <x v="8"/>
    <n v="146.30000000000001"/>
    <n v="200.5"/>
    <n v="170.3"/>
    <n v="156.1"/>
    <n v="178.7"/>
    <n v="167.1"/>
    <n v="147.9"/>
    <n v="165.4"/>
    <n v="114.8"/>
    <n v="168.2"/>
    <n v="159.30000000000001"/>
    <n v="170.4"/>
    <n v="160.69999999999999"/>
    <n v="161.80000000000001"/>
    <n v="152.1"/>
    <n v="160.4"/>
    <n v="161.6"/>
    <n v="154.69999999999999"/>
    <n v="165.8"/>
    <n v="158.6"/>
    <n v="148.9"/>
    <n v="155.80000000000001"/>
    <n v="191.9"/>
    <n v="159.4"/>
    <n v="161.19999999999999"/>
    <n v="156.80000000000001"/>
    <n v="160.4"/>
    <x v="114"/>
    <n v="474.29999999999995"/>
    <n v="1932.2"/>
    <n v="324.39999999999998"/>
    <n v="825.09999999999991"/>
    <n v="159.4"/>
    <n v="5661.6999999999989"/>
    <n v="5661.6999999999989"/>
  </r>
  <r>
    <x v="0"/>
    <x v="4"/>
    <x v="9"/>
    <n v="152.9"/>
    <n v="214.7"/>
    <n v="161.4"/>
    <n v="164.6"/>
    <n v="209.9"/>
    <n v="168"/>
    <n v="160.4"/>
    <n v="165"/>
    <n v="118.9"/>
    <n v="186.6"/>
    <n v="173.2"/>
    <n v="180.4"/>
    <n v="170.8"/>
    <n v="179.3"/>
    <n v="177.2"/>
    <n v="179"/>
    <n v="139.5"/>
    <n v="168.9"/>
    <n v="177.7"/>
    <n v="168.5"/>
    <n v="167.1"/>
    <n v="167.6"/>
    <n v="192.9"/>
    <n v="175.3"/>
    <n v="171.8"/>
    <n v="170.9"/>
    <n v="172.5"/>
    <x v="115"/>
    <n v="535.5"/>
    <n v="2064.7999999999997"/>
    <n v="346.2"/>
    <n v="878.49999999999989"/>
    <n v="175.3"/>
    <n v="6051.8"/>
    <n v="6051.8"/>
  </r>
  <r>
    <x v="1"/>
    <x v="4"/>
    <x v="9"/>
    <n v="156.69999999999999"/>
    <n v="221.2"/>
    <n v="164.1"/>
    <n v="165.4"/>
    <n v="189.5"/>
    <n v="174.5"/>
    <n v="203.2"/>
    <n v="164.1"/>
    <n v="121.2"/>
    <n v="181.4"/>
    <n v="158.5"/>
    <n v="184.9"/>
    <n v="177.5"/>
    <n v="170"/>
    <n v="155.9"/>
    <n v="167.8"/>
    <n v="167.5"/>
    <n v="161.1"/>
    <n v="170.1"/>
    <n v="168.2"/>
    <n v="159.4"/>
    <n v="163.19999999999999"/>
    <n v="197.5"/>
    <n v="173.5"/>
    <n v="165.2"/>
    <n v="163.80000000000001"/>
    <n v="170.8"/>
    <x v="116"/>
    <n v="493.7"/>
    <n v="2019.4000000000003"/>
    <n v="338.29999999999995"/>
    <n v="863.2"/>
    <n v="173.5"/>
    <n v="5976.8"/>
    <n v="5976.8"/>
  </r>
  <r>
    <x v="2"/>
    <x v="4"/>
    <x v="9"/>
    <n v="154.1"/>
    <n v="217"/>
    <n v="162.4"/>
    <n v="164.9"/>
    <n v="202.4"/>
    <n v="171"/>
    <n v="174.9"/>
    <n v="164.7"/>
    <n v="119.7"/>
    <n v="184.9"/>
    <n v="167.1"/>
    <n v="182.5"/>
    <n v="173.3"/>
    <n v="175.6"/>
    <n v="168.4"/>
    <n v="174.6"/>
    <n v="167.5"/>
    <n v="165.2"/>
    <n v="174.8"/>
    <n v="168.4"/>
    <n v="163"/>
    <n v="165.1"/>
    <n v="194.1"/>
    <n v="174.6"/>
    <n v="167.9"/>
    <n v="167.5"/>
    <n v="171.7"/>
    <x v="117"/>
    <n v="518.6"/>
    <n v="2059.1999999999998"/>
    <n v="343.20000000000005"/>
    <n v="869.19999999999993"/>
    <n v="174.6"/>
    <n v="6029.1"/>
    <n v="6029.1"/>
  </r>
  <r>
    <x v="0"/>
    <x v="4"/>
    <x v="10"/>
    <n v="173.2"/>
    <n v="211.5"/>
    <n v="171"/>
    <n v="179.6"/>
    <n v="173.3"/>
    <n v="169"/>
    <n v="148.69999999999999"/>
    <n v="174.9"/>
    <n v="121.9"/>
    <n v="221"/>
    <n v="178.7"/>
    <n v="191.1"/>
    <n v="176.8"/>
    <n v="191.2"/>
    <n v="187.9"/>
    <n v="190.8"/>
    <n v="139.5"/>
    <n v="179.8"/>
    <n v="187.8"/>
    <n v="184.9"/>
    <n v="169.7"/>
    <n v="173.8"/>
    <n v="199.9"/>
    <n v="182.5"/>
    <n v="180.3"/>
    <n v="179.5"/>
    <n v="179.8"/>
    <x v="118"/>
    <n v="569.90000000000009"/>
    <n v="2168.1000000000004"/>
    <n v="372.70000000000005"/>
    <n v="916"/>
    <n v="182.5"/>
    <n v="6317.4000000000005"/>
    <n v="6317.4000000000005"/>
  </r>
  <r>
    <x v="1"/>
    <x v="4"/>
    <x v="10"/>
    <n v="174.7"/>
    <n v="219.4"/>
    <n v="176.7"/>
    <n v="179.4"/>
    <n v="164.4"/>
    <n v="175.8"/>
    <n v="185"/>
    <n v="176.9"/>
    <n v="124.2"/>
    <n v="211.9"/>
    <n v="165.9"/>
    <n v="197.7"/>
    <n v="183.1"/>
    <n v="181.3"/>
    <n v="168.1"/>
    <n v="179.3"/>
    <n v="175.6"/>
    <n v="170.1"/>
    <n v="182.2"/>
    <n v="185.6"/>
    <n v="160.4"/>
    <n v="169.2"/>
    <n v="204.2"/>
    <n v="183.4"/>
    <n v="174.8"/>
    <n v="171.6"/>
    <n v="178.2"/>
    <x v="119"/>
    <n v="528.70000000000005"/>
    <n v="2134.2000000000003"/>
    <n v="367.79999999999995"/>
    <n v="903.19999999999993"/>
    <n v="183.4"/>
    <n v="6269"/>
    <n v="6269"/>
  </r>
  <r>
    <x v="2"/>
    <x v="4"/>
    <x v="10"/>
    <n v="173.7"/>
    <n v="214.3"/>
    <n v="173.2"/>
    <n v="179.5"/>
    <n v="170"/>
    <n v="172.2"/>
    <n v="161"/>
    <n v="175.6"/>
    <n v="122.7"/>
    <n v="218"/>
    <n v="173.4"/>
    <n v="194.2"/>
    <n v="179.1"/>
    <n v="187.3"/>
    <n v="179.7"/>
    <n v="186.2"/>
    <n v="175.6"/>
    <n v="175.2"/>
    <n v="185.7"/>
    <n v="185.2"/>
    <n v="164.8"/>
    <n v="171.2"/>
    <n v="201"/>
    <n v="182.8"/>
    <n v="177.1"/>
    <n v="175.7"/>
    <n v="179.1"/>
    <x v="120"/>
    <n v="553.20000000000005"/>
    <n v="2171.8000000000002"/>
    <n v="370.9"/>
    <n v="907.8"/>
    <n v="182.8"/>
    <n v="6310.6"/>
    <n v="6310.6"/>
  </r>
  <r>
    <x v="0"/>
    <x v="5"/>
    <x v="0"/>
    <n v="110.2"/>
    <n v="108.8"/>
    <n v="109.9"/>
    <n v="105.6"/>
    <n v="106.2"/>
    <n v="105.7"/>
    <n v="101.4"/>
    <n v="105.7"/>
    <n v="105"/>
    <n v="103.3"/>
    <n v="105.6"/>
    <n v="108.2"/>
    <n v="106.6"/>
    <n v="107.6"/>
    <n v="106.8"/>
    <n v="107.5"/>
    <n v="139.5"/>
    <n v="105.6"/>
    <n v="104.7"/>
    <n v="104.3"/>
    <n v="104.6"/>
    <n v="104"/>
    <n v="106.5"/>
    <n v="106.1"/>
    <n v="104.3"/>
    <n v="104.6"/>
    <n v="106"/>
    <x v="121"/>
    <n v="321.89999999999998"/>
    <n v="1301.4999999999998"/>
    <n v="209"/>
    <n v="525.5"/>
    <n v="106.1"/>
    <n v="3740.0999999999995"/>
    <n v="3740.0999999999995"/>
  </r>
  <r>
    <x v="1"/>
    <x v="5"/>
    <x v="0"/>
    <n v="113.9"/>
    <n v="111.4"/>
    <n v="113.2"/>
    <n v="104.3"/>
    <n v="102.7"/>
    <n v="104.9"/>
    <n v="103.8"/>
    <n v="103.5"/>
    <n v="102.6"/>
    <n v="102.4"/>
    <n v="107"/>
    <n v="109.8"/>
    <n v="107.3"/>
    <n v="107.2"/>
    <n v="106"/>
    <n v="107"/>
    <n v="100.4"/>
    <n v="105.7"/>
    <n v="105.2"/>
    <n v="104.2"/>
    <n v="105.5"/>
    <n v="103.5"/>
    <n v="106.8"/>
    <n v="106"/>
    <n v="103.8"/>
    <n v="104.9"/>
    <n v="105"/>
    <x v="122"/>
    <n v="320.2"/>
    <n v="1261.3000000000002"/>
    <n v="209.4"/>
    <n v="525"/>
    <n v="106"/>
    <n v="3702.7000000000003"/>
    <n v="3702.7000000000003"/>
  </r>
  <r>
    <x v="2"/>
    <x v="5"/>
    <x v="0"/>
    <n v="111.4"/>
    <n v="109.7"/>
    <n v="111.2"/>
    <n v="105.1"/>
    <n v="104.9"/>
    <n v="105.3"/>
    <n v="102.2"/>
    <n v="105"/>
    <n v="104.2"/>
    <n v="103"/>
    <n v="106.2"/>
    <n v="108.9"/>
    <n v="106.9"/>
    <n v="107.4"/>
    <n v="106.5"/>
    <n v="107.3"/>
    <n v="100.4"/>
    <n v="105.6"/>
    <n v="104.9"/>
    <n v="104.3"/>
    <n v="105.1"/>
    <n v="103.7"/>
    <n v="106.6"/>
    <n v="106.1"/>
    <n v="104"/>
    <n v="104.7"/>
    <n v="105.5"/>
    <x v="123"/>
    <n v="321.2"/>
    <n v="1261.8999999999999"/>
    <n v="209.2"/>
    <n v="525.1"/>
    <n v="106.1"/>
    <n v="3701.4"/>
    <n v="3701.4"/>
  </r>
  <r>
    <x v="0"/>
    <x v="5"/>
    <x v="1"/>
    <n v="120.1"/>
    <n v="118.1"/>
    <n v="120.7"/>
    <n v="116.1"/>
    <n v="109.3"/>
    <n v="119.6"/>
    <n v="117.9"/>
    <n v="110.2"/>
    <n v="101.2"/>
    <n v="110.7"/>
    <n v="113"/>
    <n v="118.3"/>
    <n v="116.2"/>
    <n v="117.5"/>
    <n v="114.9"/>
    <n v="117.2"/>
    <n v="139.5"/>
    <n v="113.4"/>
    <n v="111.4"/>
    <n v="108.9"/>
    <n v="111.2"/>
    <n v="110.2"/>
    <n v="114.6"/>
    <n v="113.4"/>
    <n v="112.4"/>
    <n v="111.3"/>
    <n v="114.6"/>
    <x v="124"/>
    <n v="349.6"/>
    <n v="1384.6000000000001"/>
    <n v="220.3"/>
    <n v="561.9"/>
    <n v="113.4"/>
    <n v="4007.8000000000006"/>
    <n v="4007.8000000000006"/>
  </r>
  <r>
    <x v="1"/>
    <x v="5"/>
    <x v="1"/>
    <n v="122.1"/>
    <n v="121.4"/>
    <n v="121.5"/>
    <n v="116.2"/>
    <n v="102.8"/>
    <n v="117.7"/>
    <n v="113.3"/>
    <n v="108.9"/>
    <n v="96.3"/>
    <n v="114.1"/>
    <n v="112.2"/>
    <n v="120.5"/>
    <n v="116"/>
    <n v="115.8"/>
    <n v="112.1"/>
    <n v="115.2"/>
    <n v="113.2"/>
    <n v="113"/>
    <n v="110.8"/>
    <n v="109.2"/>
    <n v="111.6"/>
    <n v="110.9"/>
    <n v="116.7"/>
    <n v="110.9"/>
    <n v="111.8"/>
    <n v="111.4"/>
    <n v="113.7"/>
    <x v="125"/>
    <n v="343.09999999999997"/>
    <n v="1351.2"/>
    <n v="220"/>
    <n v="561.70000000000005"/>
    <n v="110.9"/>
    <n v="3959"/>
    <n v="3959"/>
  </r>
  <r>
    <x v="2"/>
    <x v="5"/>
    <x v="1"/>
    <n v="120.7"/>
    <n v="119.3"/>
    <n v="121"/>
    <n v="116.1"/>
    <n v="106.9"/>
    <n v="118.7"/>
    <n v="116.3"/>
    <n v="109.8"/>
    <n v="99.6"/>
    <n v="111.8"/>
    <n v="112.7"/>
    <n v="119.3"/>
    <n v="116.1"/>
    <n v="116.8"/>
    <n v="113.7"/>
    <n v="116.4"/>
    <n v="113.2"/>
    <n v="113.2"/>
    <n v="111.2"/>
    <n v="109"/>
    <n v="111.4"/>
    <n v="110.6"/>
    <n v="115.2"/>
    <n v="112.5"/>
    <n v="112"/>
    <n v="111.3"/>
    <n v="114.2"/>
    <x v="126"/>
    <n v="346.9"/>
    <n v="1355.2"/>
    <n v="220.2"/>
    <n v="561.6"/>
    <n v="112.5"/>
    <n v="3972.1999999999994"/>
    <n v="3972.1999999999994"/>
  </r>
  <r>
    <x v="0"/>
    <x v="5"/>
    <x v="2"/>
    <n v="123.3"/>
    <n v="124.7"/>
    <n v="118.9"/>
    <n v="126"/>
    <n v="111.8"/>
    <n v="130.9"/>
    <n v="128"/>
    <n v="119.9"/>
    <n v="98.9"/>
    <n v="119.4"/>
    <n v="118.9"/>
    <n v="127.7"/>
    <n v="123.1"/>
    <n v="126"/>
    <n v="122.9"/>
    <n v="125.5"/>
    <n v="139.5"/>
    <n v="120.2"/>
    <n v="118.2"/>
    <n v="110.8"/>
    <n v="111.6"/>
    <n v="115.5"/>
    <n v="124.7"/>
    <n v="120.6"/>
    <n v="119.4"/>
    <n v="115.5"/>
    <n v="121.1"/>
    <x v="127"/>
    <n v="374.4"/>
    <n v="1454.9"/>
    <n v="229"/>
    <n v="595.69999999999993"/>
    <n v="120.6"/>
    <n v="4225.5"/>
    <n v="4225.5"/>
  </r>
  <r>
    <x v="1"/>
    <x v="5"/>
    <x v="2"/>
    <n v="124"/>
    <n v="126.7"/>
    <n v="113.5"/>
    <n v="125.9"/>
    <n v="104.8"/>
    <n v="123.8"/>
    <n v="131.4"/>
    <n v="127.2"/>
    <n v="93.2"/>
    <n v="127.4"/>
    <n v="117"/>
    <n v="129.19999999999999"/>
    <n v="123.9"/>
    <n v="121.7"/>
    <n v="116.9"/>
    <n v="120.9"/>
    <n v="118.6"/>
    <n v="118"/>
    <n v="114.3"/>
    <n v="111.3"/>
    <n v="108.4"/>
    <n v="115.4"/>
    <n v="128.80000000000001"/>
    <n v="114.4"/>
    <n v="120.6"/>
    <n v="113.8"/>
    <n v="119.1"/>
    <x v="128"/>
    <n v="359.5"/>
    <n v="1409.3"/>
    <n v="225.6"/>
    <n v="593"/>
    <n v="114.4"/>
    <n v="4155.3999999999996"/>
    <n v="4155.3999999999996"/>
  </r>
  <r>
    <x v="2"/>
    <x v="5"/>
    <x v="2"/>
    <n v="123.5"/>
    <n v="125.4"/>
    <n v="116.8"/>
    <n v="126"/>
    <n v="109.2"/>
    <n v="127.6"/>
    <n v="129.19999999999999"/>
    <n v="122.4"/>
    <n v="97"/>
    <n v="122.1"/>
    <n v="118.1"/>
    <n v="128.4"/>
    <n v="123.4"/>
    <n v="124.3"/>
    <n v="120.4"/>
    <n v="123.7"/>
    <n v="118.6"/>
    <n v="119.2"/>
    <n v="116.7"/>
    <n v="111"/>
    <n v="109.9"/>
    <n v="115.4"/>
    <n v="125.8"/>
    <n v="118.3"/>
    <n v="120.1"/>
    <n v="114.7"/>
    <n v="120.2"/>
    <x v="129"/>
    <n v="368.4"/>
    <n v="1423.3999999999999"/>
    <n v="227.7"/>
    <n v="594.30000000000007"/>
    <n v="118.3"/>
    <n v="4182.8999999999996"/>
    <n v="4182.8999999999996"/>
  </r>
  <r>
    <x v="0"/>
    <x v="5"/>
    <x v="3"/>
    <n v="127.3"/>
    <n v="134.4"/>
    <n v="125.1"/>
    <n v="130.5"/>
    <n v="118.3"/>
    <n v="131.69999999999999"/>
    <n v="130.69999999999999"/>
    <n v="161.19999999999999"/>
    <n v="100.4"/>
    <n v="130.80000000000001"/>
    <n v="124.9"/>
    <n v="137"/>
    <n v="130.4"/>
    <n v="134.4"/>
    <n v="130.19999999999999"/>
    <n v="133.80000000000001"/>
    <n v="139.5"/>
    <n v="127.7"/>
    <n v="124.8"/>
    <n v="117.4"/>
    <n v="113.6"/>
    <n v="122.5"/>
    <n v="135"/>
    <n v="127"/>
    <n v="127.5"/>
    <n v="121.1"/>
    <n v="128"/>
    <x v="130"/>
    <n v="398.40000000000003"/>
    <n v="1533.4"/>
    <n v="242.2"/>
    <n v="633.1"/>
    <n v="127"/>
    <n v="4489.8"/>
    <n v="4489.8"/>
  </r>
  <r>
    <x v="1"/>
    <x v="5"/>
    <x v="3"/>
    <n v="124.8"/>
    <n v="136.30000000000001"/>
    <n v="123.7"/>
    <n v="129.69999999999999"/>
    <n v="107.9"/>
    <n v="119.9"/>
    <n v="128.1"/>
    <n v="170.3"/>
    <n v="101.8"/>
    <n v="140.1"/>
    <n v="120.7"/>
    <n v="135.4"/>
    <n v="128.9"/>
    <n v="126.4"/>
    <n v="120.3"/>
    <n v="125.5"/>
    <n v="124.9"/>
    <n v="122.3"/>
    <n v="119.7"/>
    <n v="117.1"/>
    <n v="108.5"/>
    <n v="119.1"/>
    <n v="140.6"/>
    <n v="114.8"/>
    <n v="126.4"/>
    <n v="117.3"/>
    <n v="123.8"/>
    <x v="131"/>
    <n v="372.2"/>
    <n v="1465.6"/>
    <n v="236.8"/>
    <n v="618.19999999999993"/>
    <n v="114.8"/>
    <n v="4360.4000000000005"/>
    <n v="4360.4000000000005"/>
  </r>
  <r>
    <x v="2"/>
    <x v="5"/>
    <x v="3"/>
    <n v="126.5"/>
    <n v="135.1"/>
    <n v="124.6"/>
    <n v="130.19999999999999"/>
    <n v="114.5"/>
    <n v="126.2"/>
    <n v="129.80000000000001"/>
    <n v="164.3"/>
    <n v="100.9"/>
    <n v="133.9"/>
    <n v="123.1"/>
    <n v="136.30000000000001"/>
    <n v="129.80000000000001"/>
    <n v="131.30000000000001"/>
    <n v="126.1"/>
    <n v="130.5"/>
    <n v="124.9"/>
    <n v="125.1"/>
    <n v="122.9"/>
    <n v="117.3"/>
    <n v="110.9"/>
    <n v="120.6"/>
    <n v="136.5"/>
    <n v="122.4"/>
    <n v="126.9"/>
    <n v="119.3"/>
    <n v="126"/>
    <x v="132"/>
    <n v="387.9"/>
    <n v="1495.4"/>
    <n v="240.2"/>
    <n v="625.69999999999993"/>
    <n v="122.4"/>
    <n v="4424.3999999999996"/>
    <n v="4424.3999999999996"/>
  </r>
  <r>
    <x v="0"/>
    <x v="5"/>
    <x v="4"/>
    <n v="133.6"/>
    <n v="138.80000000000001"/>
    <n v="128.80000000000001"/>
    <n v="137.19999999999999"/>
    <n v="121.6"/>
    <n v="139.69999999999999"/>
    <n v="119.7"/>
    <n v="148"/>
    <n v="116.9"/>
    <n v="135.6"/>
    <n v="129.80000000000001"/>
    <n v="145.4"/>
    <n v="133.4"/>
    <n v="141.6"/>
    <n v="136.19999999999999"/>
    <n v="140.80000000000001"/>
    <n v="139.5"/>
    <n v="134.1"/>
    <n v="130.6"/>
    <n v="123.3"/>
    <n v="119.8"/>
    <n v="128.30000000000001"/>
    <n v="144.19999999999999"/>
    <n v="134.19999999999999"/>
    <n v="135.19999999999999"/>
    <n v="127.4"/>
    <n v="132.80000000000001"/>
    <x v="133"/>
    <n v="418.59999999999997"/>
    <n v="1607.8"/>
    <n v="253.89999999999998"/>
    <n v="669.3"/>
    <n v="134.19999999999999"/>
    <n v="4678.1000000000004"/>
    <n v="4678.1000000000004"/>
  </r>
  <r>
    <x v="1"/>
    <x v="5"/>
    <x v="4"/>
    <n v="132.69999999999999"/>
    <n v="139.4"/>
    <n v="128.4"/>
    <n v="134.9"/>
    <n v="114"/>
    <n v="136.80000000000001"/>
    <n v="122.2"/>
    <n v="135.80000000000001"/>
    <n v="120.3"/>
    <n v="142.6"/>
    <n v="123.6"/>
    <n v="142.4"/>
    <n v="132.6"/>
    <n v="130.80000000000001"/>
    <n v="122.8"/>
    <n v="129.6"/>
    <n v="131.1"/>
    <n v="125.6"/>
    <n v="123.1"/>
    <n v="121.7"/>
    <n v="115.6"/>
    <n v="122.4"/>
    <n v="147.5"/>
    <n v="120.8"/>
    <n v="132.80000000000001"/>
    <n v="122.6"/>
    <n v="128.69999999999999"/>
    <x v="134"/>
    <n v="383.20000000000005"/>
    <n v="1523.8000000000002"/>
    <n v="244.8"/>
    <n v="646.1"/>
    <n v="120.8"/>
    <n v="4503.6000000000004"/>
    <n v="4503.6000000000004"/>
  </r>
  <r>
    <x v="2"/>
    <x v="5"/>
    <x v="4"/>
    <n v="133.30000000000001"/>
    <n v="139"/>
    <n v="128.6"/>
    <n v="136.30000000000001"/>
    <n v="118.8"/>
    <n v="138.30000000000001"/>
    <n v="120.5"/>
    <n v="143.9"/>
    <n v="118"/>
    <n v="137.9"/>
    <n v="127.2"/>
    <n v="144"/>
    <n v="133.1"/>
    <n v="137.30000000000001"/>
    <n v="130.6"/>
    <n v="136.4"/>
    <n v="131.1"/>
    <n v="130.1"/>
    <n v="127.8"/>
    <n v="122.6"/>
    <n v="117.6"/>
    <n v="125"/>
    <n v="145.1"/>
    <n v="129.1"/>
    <n v="133.80000000000001"/>
    <n v="125.1"/>
    <n v="130.9"/>
    <x v="135"/>
    <n v="404.29999999999995"/>
    <n v="1566.4999999999998"/>
    <n v="250.39999999999998"/>
    <n v="658.1"/>
    <n v="129.1"/>
    <n v="4598.2"/>
    <n v="4598.2"/>
  </r>
  <r>
    <x v="0"/>
    <x v="5"/>
    <x v="5"/>
    <n v="136.80000000000001"/>
    <n v="143.80000000000001"/>
    <n v="140"/>
    <n v="142"/>
    <n v="123.2"/>
    <n v="152.9"/>
    <n v="138"/>
    <n v="129.30000000000001"/>
    <n v="117.1"/>
    <n v="136.30000000000001"/>
    <n v="131.19999999999999"/>
    <n v="152.80000000000001"/>
    <n v="138.6"/>
    <n v="149.19999999999999"/>
    <n v="143"/>
    <n v="148.30000000000001"/>
    <n v="139.5"/>
    <n v="139.9"/>
    <n v="136.69999999999999"/>
    <n v="129.30000000000001"/>
    <n v="124.6"/>
    <n v="135.1"/>
    <n v="155.1"/>
    <n v="142.6"/>
    <n v="142.69999999999999"/>
    <n v="133.30000000000001"/>
    <n v="138.69999999999999"/>
    <x v="136"/>
    <n v="440.5"/>
    <n v="1685.9999999999995"/>
    <n v="266"/>
    <n v="708.8"/>
    <n v="142.6"/>
    <n v="4883.3"/>
    <n v="4883.3"/>
  </r>
  <r>
    <x v="1"/>
    <x v="5"/>
    <x v="5"/>
    <n v="135"/>
    <n v="143.1"/>
    <n v="135.5"/>
    <n v="139.9"/>
    <n v="116.5"/>
    <n v="138.5"/>
    <n v="128"/>
    <n v="115.5"/>
    <n v="114.2"/>
    <n v="140.69999999999999"/>
    <n v="126.2"/>
    <n v="147.6"/>
    <n v="134.80000000000001"/>
    <n v="136.69999999999999"/>
    <n v="126.7"/>
    <n v="135.19999999999999"/>
    <n v="142"/>
    <n v="130.80000000000001"/>
    <n v="130.5"/>
    <n v="126.7"/>
    <n v="117.8"/>
    <n v="126.8"/>
    <n v="159.69999999999999"/>
    <n v="126.4"/>
    <n v="137.80000000000001"/>
    <n v="127.1"/>
    <n v="134"/>
    <x v="137"/>
    <n v="398.59999999999997"/>
    <n v="1597.1"/>
    <n v="257.2"/>
    <n v="677.80000000000007"/>
    <n v="126.4"/>
    <n v="4646.2"/>
    <n v="4646.2"/>
  </r>
  <r>
    <x v="2"/>
    <x v="5"/>
    <x v="5"/>
    <n v="136.19999999999999"/>
    <n v="143.6"/>
    <n v="138.30000000000001"/>
    <n v="141.19999999999999"/>
    <n v="120.7"/>
    <n v="146.19999999999999"/>
    <n v="134.6"/>
    <n v="124.6"/>
    <n v="116.1"/>
    <n v="137.80000000000001"/>
    <n v="129.1"/>
    <n v="150.4"/>
    <n v="137.19999999999999"/>
    <n v="144.30000000000001"/>
    <n v="136.19999999999999"/>
    <n v="143.1"/>
    <n v="142"/>
    <n v="135.6"/>
    <n v="134.30000000000001"/>
    <n v="128.19999999999999"/>
    <n v="121"/>
    <n v="130.4"/>
    <n v="156.30000000000001"/>
    <n v="136.5"/>
    <n v="139.80000000000001"/>
    <n v="130.30000000000001"/>
    <n v="136.5"/>
    <x v="138"/>
    <n v="423.6"/>
    <n v="1647.7"/>
    <n v="262.5"/>
    <n v="693.3"/>
    <n v="136.5"/>
    <n v="4783.1000000000004"/>
    <n v="4783.1000000000004"/>
  </r>
  <r>
    <x v="0"/>
    <x v="5"/>
    <x v="6"/>
    <n v="136.9"/>
    <n v="154.1"/>
    <n v="138.69999999999999"/>
    <n v="142.5"/>
    <n v="124.1"/>
    <n v="136.1"/>
    <n v="128.19999999999999"/>
    <n v="122.3"/>
    <n v="108.3"/>
    <n v="138.9"/>
    <n v="137.4"/>
    <n v="156.4"/>
    <n v="137.30000000000001"/>
    <n v="150.80000000000001"/>
    <n v="146.1"/>
    <n v="150.1"/>
    <n v="139.5"/>
    <n v="150"/>
    <n v="150.4"/>
    <n v="134"/>
    <n v="129.9"/>
    <n v="143.80000000000001"/>
    <n v="162.9"/>
    <n v="146.4"/>
    <n v="155.5"/>
    <n v="142.4"/>
    <n v="141.19999999999999"/>
    <x v="139"/>
    <n v="447"/>
    <n v="1759.4"/>
    <n v="284.39999999999998"/>
    <n v="751"/>
    <n v="146.4"/>
    <n v="5003"/>
    <n v="5003"/>
  </r>
  <r>
    <x v="1"/>
    <x v="5"/>
    <x v="6"/>
    <n v="139.69999999999999"/>
    <n v="151.1"/>
    <n v="142.9"/>
    <n v="141.9"/>
    <n v="118.4"/>
    <n v="139.4"/>
    <n v="141.19999999999999"/>
    <n v="120.7"/>
    <n v="110.4"/>
    <n v="140.69999999999999"/>
    <n v="128.5"/>
    <n v="153.9"/>
    <n v="139.6"/>
    <n v="143.5"/>
    <n v="131.19999999999999"/>
    <n v="141.6"/>
    <n v="149"/>
    <n v="136.80000000000001"/>
    <n v="139.19999999999999"/>
    <n v="132.5"/>
    <n v="119.9"/>
    <n v="133"/>
    <n v="165.3"/>
    <n v="128.80000000000001"/>
    <n v="146.69999999999999"/>
    <n v="132.80000000000001"/>
    <n v="139.5"/>
    <x v="140"/>
    <n v="416.29999999999995"/>
    <n v="1667.5"/>
    <n v="271.7"/>
    <n v="706.59999999999991"/>
    <n v="128.80000000000001"/>
    <n v="4830.5"/>
    <n v="4830.5"/>
  </r>
  <r>
    <x v="2"/>
    <x v="5"/>
    <x v="6"/>
    <n v="137.80000000000001"/>
    <n v="153"/>
    <n v="140.30000000000001"/>
    <n v="142.30000000000001"/>
    <n v="122"/>
    <n v="137.6"/>
    <n v="132.6"/>
    <n v="121.8"/>
    <n v="109"/>
    <n v="139.5"/>
    <n v="133.69999999999999"/>
    <n v="155.19999999999999"/>
    <n v="138.1"/>
    <n v="147.9"/>
    <n v="139.9"/>
    <n v="146.69999999999999"/>
    <n v="149"/>
    <n v="143.80000000000001"/>
    <n v="146.19999999999999"/>
    <n v="133.4"/>
    <n v="124.6"/>
    <n v="137.69999999999999"/>
    <n v="163.5"/>
    <n v="139.69999999999999"/>
    <n v="150.30000000000001"/>
    <n v="137.69999999999999"/>
    <n v="140.4"/>
    <x v="141"/>
    <n v="434.5"/>
    <n v="1722.7"/>
    <n v="279.60000000000002"/>
    <n v="728.90000000000009"/>
    <n v="139.69999999999999"/>
    <n v="4928.6000000000004"/>
    <n v="4928.6000000000004"/>
  </r>
  <r>
    <x v="0"/>
    <x v="5"/>
    <x v="7"/>
    <n v="144.4"/>
    <n v="166.8"/>
    <n v="147.6"/>
    <n v="151.69999999999999"/>
    <n v="133.30000000000001"/>
    <n v="141.80000000000001"/>
    <n v="152.30000000000001"/>
    <n v="141.80000000000001"/>
    <n v="112.6"/>
    <n v="154"/>
    <n v="140.1"/>
    <n v="160"/>
    <n v="148.19999999999999"/>
    <n v="153.4"/>
    <n v="147.6"/>
    <n v="152.5"/>
    <n v="139.5"/>
    <n v="151.5"/>
    <n v="156.69999999999999"/>
    <n v="145.1"/>
    <n v="135.80000000000001"/>
    <n v="151.19999999999999"/>
    <n v="170.5"/>
    <n v="153.4"/>
    <n v="161.19999999999999"/>
    <n v="148.6"/>
    <n v="149.80000000000001"/>
    <x v="142"/>
    <n v="453.5"/>
    <n v="1818.4"/>
    <n v="301.79999999999995"/>
    <n v="784.9"/>
    <n v="153.4"/>
    <n v="5253.2"/>
    <n v="5253.2"/>
  </r>
  <r>
    <x v="1"/>
    <x v="5"/>
    <x v="7"/>
    <n v="146.5"/>
    <n v="167.5"/>
    <n v="148.9"/>
    <n v="151.1"/>
    <n v="127.5"/>
    <n v="143.30000000000001"/>
    <n v="167"/>
    <n v="139.69999999999999"/>
    <n v="114.4"/>
    <n v="151.5"/>
    <n v="131.9"/>
    <n v="159.1"/>
    <n v="150.1"/>
    <n v="147.69999999999999"/>
    <n v="133.80000000000001"/>
    <n v="145.6"/>
    <n v="154.5"/>
    <n v="140.80000000000001"/>
    <n v="145"/>
    <n v="145.30000000000001"/>
    <n v="124.6"/>
    <n v="137.9"/>
    <n v="173.3"/>
    <n v="141.4"/>
    <n v="152.5"/>
    <n v="138.69999999999999"/>
    <n v="147.30000000000001"/>
    <x v="143"/>
    <n v="427.1"/>
    <n v="1742.4"/>
    <n v="290.3"/>
    <n v="743.8"/>
    <n v="141.4"/>
    <n v="5102.1000000000004"/>
    <n v="5102.1000000000004"/>
  </r>
  <r>
    <x v="2"/>
    <x v="5"/>
    <x v="7"/>
    <n v="145.1"/>
    <n v="167"/>
    <n v="148.1"/>
    <n v="151.5"/>
    <n v="131.19999999999999"/>
    <n v="142.5"/>
    <n v="157.30000000000001"/>
    <n v="141.1"/>
    <n v="113.2"/>
    <n v="153.19999999999999"/>
    <n v="136.69999999999999"/>
    <n v="159.6"/>
    <n v="148.9"/>
    <n v="151.19999999999999"/>
    <n v="141.9"/>
    <n v="149.80000000000001"/>
    <n v="154.5"/>
    <n v="146.4"/>
    <n v="152.30000000000001"/>
    <n v="145.19999999999999"/>
    <n v="129.9"/>
    <n v="143.69999999999999"/>
    <n v="171.2"/>
    <n v="148.9"/>
    <n v="156.1"/>
    <n v="143.80000000000001"/>
    <n v="148.6"/>
    <x v="144"/>
    <n v="442.90000000000003"/>
    <n v="1791.1000000000004"/>
    <n v="297.5"/>
    <n v="763.7"/>
    <n v="148.9"/>
    <n v="5190.6000000000004"/>
    <n v="5190.6000000000004"/>
  </r>
  <r>
    <x v="0"/>
    <x v="5"/>
    <x v="8"/>
    <n v="142.5"/>
    <n v="189.4"/>
    <n v="163.19999999999999"/>
    <n v="154.5"/>
    <n v="168.2"/>
    <n v="150.5"/>
    <n v="141"/>
    <n v="159.19999999999999"/>
    <n v="111.7"/>
    <n v="164"/>
    <n v="160.6"/>
    <n v="166.4"/>
    <n v="154.5"/>
    <n v="159.6"/>
    <n v="154.4"/>
    <n v="158.9"/>
    <n v="139.5"/>
    <n v="154.80000000000001"/>
    <n v="164.6"/>
    <n v="153.1"/>
    <n v="151.30000000000001"/>
    <n v="157.80000000000001"/>
    <n v="186.1"/>
    <n v="156"/>
    <n v="163.80000000000001"/>
    <n v="157.30000000000001"/>
    <n v="156.69999999999999"/>
    <x v="145"/>
    <n v="472.9"/>
    <n v="1899.8999999999999"/>
    <n v="317.7"/>
    <n v="821"/>
    <n v="156"/>
    <n v="5537.2"/>
    <n v="5537.2"/>
  </r>
  <r>
    <x v="1"/>
    <x v="5"/>
    <x v="8"/>
    <n v="147.5"/>
    <n v="197.5"/>
    <n v="164.7"/>
    <n v="155.6"/>
    <n v="156.4"/>
    <n v="157.30000000000001"/>
    <n v="166.1"/>
    <n v="161.1"/>
    <n v="114.3"/>
    <n v="162.6"/>
    <n v="150.69999999999999"/>
    <n v="170.3"/>
    <n v="160.4"/>
    <n v="155.1"/>
    <n v="138.69999999999999"/>
    <n v="152.6"/>
    <n v="159.9"/>
    <n v="147.19999999999999"/>
    <n v="156.9"/>
    <n v="154.9"/>
    <n v="141.69999999999999"/>
    <n v="148.6"/>
    <n v="193.5"/>
    <n v="154.80000000000001"/>
    <n v="157.6"/>
    <n v="150"/>
    <n v="156.9"/>
    <x v="146"/>
    <n v="446.4"/>
    <n v="1861.4999999999998"/>
    <n v="311.8"/>
    <n v="804.5"/>
    <n v="154.80000000000001"/>
    <n v="5488.7"/>
    <n v="5488.7"/>
  </r>
  <r>
    <x v="2"/>
    <x v="5"/>
    <x v="8"/>
    <n v="144.1"/>
    <n v="192.2"/>
    <n v="163.80000000000001"/>
    <n v="154.9"/>
    <n v="163.9"/>
    <n v="153.69999999999999"/>
    <n v="149.5"/>
    <n v="159.80000000000001"/>
    <n v="112.6"/>
    <n v="163.5"/>
    <n v="156.5"/>
    <n v="168.2"/>
    <n v="156.69999999999999"/>
    <n v="157.80000000000001"/>
    <n v="147.9"/>
    <n v="156.4"/>
    <n v="159.9"/>
    <n v="151.19999999999999"/>
    <n v="161.69999999999999"/>
    <n v="153.80000000000001"/>
    <n v="146.19999999999999"/>
    <n v="152.6"/>
    <n v="188.1"/>
    <n v="155.5"/>
    <n v="160.19999999999999"/>
    <n v="153.80000000000001"/>
    <n v="156.80000000000001"/>
    <x v="147"/>
    <n v="462.1"/>
    <n v="1891.3"/>
    <n v="315.5"/>
    <n v="810.2"/>
    <n v="155.5"/>
    <n v="5518.5"/>
    <n v="5518.5"/>
  </r>
  <r>
    <x v="0"/>
    <x v="5"/>
    <x v="9"/>
    <n v="150.19999999999999"/>
    <n v="208"/>
    <n v="167.9"/>
    <n v="162"/>
    <n v="203.1"/>
    <n v="155.9"/>
    <n v="155.80000000000001"/>
    <n v="164.2"/>
    <n v="118.1"/>
    <n v="178.7"/>
    <n v="171.2"/>
    <n v="177.4"/>
    <n v="166.6"/>
    <n v="175.4"/>
    <n v="173.2"/>
    <n v="175.1"/>
    <n v="139.5"/>
    <n v="166.5"/>
    <n v="176"/>
    <n v="167.4"/>
    <n v="162"/>
    <n v="166.6"/>
    <n v="192.3"/>
    <n v="168.9"/>
    <n v="170.6"/>
    <n v="168.3"/>
    <n v="168.7"/>
    <x v="148"/>
    <n v="523.70000000000005"/>
    <n v="2033.5"/>
    <n v="343.4"/>
    <n v="866.7"/>
    <n v="168.9"/>
    <n v="5946.4"/>
    <n v="5946.4"/>
  </r>
  <r>
    <x v="1"/>
    <x v="5"/>
    <x v="9"/>
    <n v="153.69999999999999"/>
    <n v="215.8"/>
    <n v="167.7"/>
    <n v="162.6"/>
    <n v="180"/>
    <n v="159.6"/>
    <n v="188.4"/>
    <n v="163.4"/>
    <n v="120.3"/>
    <n v="174.7"/>
    <n v="157.1"/>
    <n v="181.5"/>
    <n v="171.5"/>
    <n v="167.1"/>
    <n v="152.6"/>
    <n v="164.9"/>
    <n v="165.3"/>
    <n v="158.6"/>
    <n v="168.2"/>
    <n v="166.8"/>
    <n v="154.19999999999999"/>
    <n v="160.80000000000001"/>
    <n v="197.5"/>
    <n v="164.5"/>
    <n v="162.69999999999999"/>
    <n v="160.6"/>
    <n v="166.5"/>
    <x v="149"/>
    <n v="484.6"/>
    <n v="1983.2"/>
    <n v="335"/>
    <n v="846.1"/>
    <n v="164.5"/>
    <n v="5845.2000000000007"/>
    <n v="5845.2000000000007"/>
  </r>
  <r>
    <x v="2"/>
    <x v="5"/>
    <x v="9"/>
    <n v="151.30000000000001"/>
    <n v="210.7"/>
    <n v="167.8"/>
    <n v="162.19999999999999"/>
    <n v="194.6"/>
    <n v="157.6"/>
    <n v="166.9"/>
    <n v="163.9"/>
    <n v="118.8"/>
    <n v="177.4"/>
    <n v="165.3"/>
    <n v="179.3"/>
    <n v="168.4"/>
    <n v="172.1"/>
    <n v="164.6"/>
    <n v="171.1"/>
    <n v="165.3"/>
    <n v="162.80000000000001"/>
    <n v="173"/>
    <n v="167.2"/>
    <n v="157.9"/>
    <n v="163.30000000000001"/>
    <n v="193.7"/>
    <n v="167.2"/>
    <n v="166"/>
    <n v="164.6"/>
    <n v="167.7"/>
    <x v="150"/>
    <n v="507.79999999999995"/>
    <n v="2024.2"/>
    <n v="340.2"/>
    <n v="854.80000000000007"/>
    <n v="167.2"/>
    <n v="5911.2"/>
    <n v="5911.2"/>
  </r>
  <r>
    <x v="0"/>
    <x v="5"/>
    <x v="10"/>
    <n v="174.3"/>
    <n v="205.2"/>
    <n v="173.9"/>
    <n v="177"/>
    <n v="183.3"/>
    <n v="167.2"/>
    <n v="140.9"/>
    <n v="170.5"/>
    <n v="119.1"/>
    <n v="212.1"/>
    <n v="177.6"/>
    <n v="189.9"/>
    <n v="174.8"/>
    <n v="190"/>
    <n v="187"/>
    <n v="189.6"/>
    <n v="139.5"/>
    <n v="178.6"/>
    <n v="186.6"/>
    <n v="180.7"/>
    <n v="169"/>
    <n v="172.8"/>
    <n v="198.4"/>
    <n v="181.4"/>
    <n v="178.5"/>
    <n v="177.9"/>
    <n v="178"/>
    <x v="151"/>
    <n v="566.6"/>
    <n v="2152.1000000000004"/>
    <n v="367.29999999999995"/>
    <n v="909"/>
    <n v="181.4"/>
    <n v="6260.8"/>
    <n v="6260.8"/>
  </r>
  <r>
    <x v="1"/>
    <x v="5"/>
    <x v="10"/>
    <n v="174.7"/>
    <n v="212.2"/>
    <n v="177.2"/>
    <n v="177.9"/>
    <n v="172.2"/>
    <n v="172.1"/>
    <n v="175.9"/>
    <n v="172.2"/>
    <n v="121.9"/>
    <n v="204.8"/>
    <n v="164.9"/>
    <n v="196.6"/>
    <n v="180.8"/>
    <n v="180.2"/>
    <n v="167"/>
    <n v="178.2"/>
    <n v="173.5"/>
    <n v="169.2"/>
    <n v="180.8"/>
    <n v="181.5"/>
    <n v="159.80000000000001"/>
    <n v="168.4"/>
    <n v="202.7"/>
    <n v="182.6"/>
    <n v="172.5"/>
    <n v="170"/>
    <n v="176.3"/>
    <x v="152"/>
    <n v="525.4"/>
    <n v="2116.3999999999996"/>
    <n v="362.3"/>
    <n v="896.2"/>
    <n v="182.6"/>
    <n v="6203.7"/>
    <n v="6203.7"/>
  </r>
  <r>
    <x v="2"/>
    <x v="5"/>
    <x v="10"/>
    <n v="174.4"/>
    <n v="207.7"/>
    <n v="175.2"/>
    <n v="177.3"/>
    <n v="179.2"/>
    <n v="169.5"/>
    <n v="152.80000000000001"/>
    <n v="171.1"/>
    <n v="120"/>
    <n v="209.7"/>
    <n v="172.3"/>
    <n v="193"/>
    <n v="177"/>
    <n v="186.1"/>
    <n v="178.7"/>
    <n v="185.1"/>
    <n v="173.5"/>
    <n v="174.2"/>
    <n v="184.4"/>
    <n v="181"/>
    <n v="164.2"/>
    <n v="170.3"/>
    <n v="199.5"/>
    <n v="181.9"/>
    <n v="175"/>
    <n v="174.1"/>
    <n v="177.2"/>
    <x v="153"/>
    <n v="549.9"/>
    <n v="2153.9"/>
    <n v="365.4"/>
    <n v="900.80000000000007"/>
    <n v="181.9"/>
    <n v="6249.2"/>
    <n v="6249.2"/>
  </r>
  <r>
    <x v="0"/>
    <x v="6"/>
    <x v="0"/>
    <n v="112.3"/>
    <n v="112.1"/>
    <n v="108.1"/>
    <n v="108.3"/>
    <n v="105.9"/>
    <n v="109.2"/>
    <n v="118"/>
    <n v="106.8"/>
    <n v="104.1"/>
    <n v="105.4"/>
    <n v="108.2"/>
    <n v="111"/>
    <n v="110.6"/>
    <n v="109.7"/>
    <n v="108.8"/>
    <n v="109.5"/>
    <n v="139.5"/>
    <n v="107.5"/>
    <n v="106.3"/>
    <n v="102.5"/>
    <n v="105"/>
    <n v="105.6"/>
    <n v="109"/>
    <n v="108.5"/>
    <n v="106.5"/>
    <n v="105.5"/>
    <n v="108.9"/>
    <x v="154"/>
    <n v="328"/>
    <n v="1318.4"/>
    <n v="208.8"/>
    <n v="535.1"/>
    <n v="108.5"/>
    <n v="3810.3"/>
    <n v="3810.3"/>
  </r>
  <r>
    <x v="1"/>
    <x v="6"/>
    <x v="0"/>
    <n v="117"/>
    <n v="120.1"/>
    <n v="112.5"/>
    <n v="107.3"/>
    <n v="101.3"/>
    <n v="112.4"/>
    <n v="143.6"/>
    <n v="105.4"/>
    <n v="101.4"/>
    <n v="106.4"/>
    <n v="110"/>
    <n v="112.2"/>
    <n v="115"/>
    <n v="109.2"/>
    <n v="107.2"/>
    <n v="108.9"/>
    <n v="106.6"/>
    <n v="107.7"/>
    <n v="106.5"/>
    <n v="103.3"/>
    <n v="105.2"/>
    <n v="105.2"/>
    <n v="110.9"/>
    <n v="108"/>
    <n v="108.1"/>
    <n v="106.1"/>
    <n v="109.7"/>
    <x v="155"/>
    <n v="325.3"/>
    <n v="1286.8"/>
    <n v="209.8"/>
    <n v="538.30000000000007"/>
    <n v="108"/>
    <n v="3824.8"/>
    <n v="3824.8"/>
  </r>
  <r>
    <x v="2"/>
    <x v="6"/>
    <x v="0"/>
    <n v="113.8"/>
    <n v="114.9"/>
    <n v="109.8"/>
    <n v="107.9"/>
    <n v="104.2"/>
    <n v="110.7"/>
    <n v="126.7"/>
    <n v="106.3"/>
    <n v="103.2"/>
    <n v="105.7"/>
    <n v="109"/>
    <n v="111.6"/>
    <n v="112.2"/>
    <n v="109.5"/>
    <n v="108.1"/>
    <n v="109.3"/>
    <n v="106.6"/>
    <n v="107.6"/>
    <n v="106.4"/>
    <n v="102.8"/>
    <n v="105.1"/>
    <n v="105.4"/>
    <n v="109.5"/>
    <n v="108.3"/>
    <n v="107.4"/>
    <n v="105.8"/>
    <n v="109.3"/>
    <x v="156"/>
    <n v="326.89999999999998"/>
    <n v="1286"/>
    <n v="209.2"/>
    <n v="536.4"/>
    <n v="108.3"/>
    <n v="3794.5"/>
    <n v="3794.5"/>
  </r>
  <r>
    <x v="0"/>
    <x v="6"/>
    <x v="1"/>
    <n v="120.7"/>
    <n v="121.6"/>
    <n v="116.1"/>
    <n v="119.3"/>
    <n v="110.3"/>
    <n v="125.8"/>
    <n v="129.30000000000001"/>
    <n v="112.2"/>
    <n v="103.6"/>
    <n v="112.3"/>
    <n v="114.9"/>
    <n v="120.1"/>
    <n v="119.5"/>
    <n v="119.7"/>
    <n v="117.3"/>
    <n v="119.3"/>
    <n v="139.5"/>
    <n v="114.9"/>
    <n v="112.8"/>
    <n v="108"/>
    <n v="112.2"/>
    <n v="111.4"/>
    <n v="117.3"/>
    <n v="114.4"/>
    <n v="114.3"/>
    <n v="112.3"/>
    <n v="117"/>
    <x v="157"/>
    <n v="356.3"/>
    <n v="1401.1000000000001"/>
    <n v="220.8"/>
    <n v="569.70000000000005"/>
    <n v="114.4"/>
    <n v="4073.6000000000004"/>
    <n v="4073.6000000000004"/>
  </r>
  <r>
    <x v="1"/>
    <x v="6"/>
    <x v="1"/>
    <n v="123.1"/>
    <n v="125.9"/>
    <n v="115.4"/>
    <n v="120.4"/>
    <n v="103.4"/>
    <n v="131.19999999999999"/>
    <n v="137.5"/>
    <n v="112.8"/>
    <n v="101.4"/>
    <n v="118.3"/>
    <n v="113.2"/>
    <n v="122.4"/>
    <n v="122"/>
    <n v="117.4"/>
    <n v="113.2"/>
    <n v="116.7"/>
    <n v="113.9"/>
    <n v="114.3"/>
    <n v="111.4"/>
    <n v="108.7"/>
    <n v="111.5"/>
    <n v="111.8"/>
    <n v="119"/>
    <n v="111.2"/>
    <n v="115.1"/>
    <n v="112.2"/>
    <n v="116.4"/>
    <x v="158"/>
    <n v="347.3"/>
    <n v="1364.2"/>
    <n v="220.10000000000002"/>
    <n v="569.30000000000007"/>
    <n v="111.2"/>
    <n v="4047.9"/>
    <n v="4047.9"/>
  </r>
  <r>
    <x v="2"/>
    <x v="6"/>
    <x v="1"/>
    <n v="121.5"/>
    <n v="123.1"/>
    <n v="115.8"/>
    <n v="119.7"/>
    <n v="107.8"/>
    <n v="128.30000000000001"/>
    <n v="132.1"/>
    <n v="112.4"/>
    <n v="102.9"/>
    <n v="114.3"/>
    <n v="114.2"/>
    <n v="121.2"/>
    <n v="120.4"/>
    <n v="118.8"/>
    <n v="115.6"/>
    <n v="118.3"/>
    <n v="113.9"/>
    <n v="114.6"/>
    <n v="112.3"/>
    <n v="108.3"/>
    <n v="111.8"/>
    <n v="111.6"/>
    <n v="117.8"/>
    <n v="113.2"/>
    <n v="114.8"/>
    <n v="112.3"/>
    <n v="116.7"/>
    <x v="159"/>
    <n v="352.7"/>
    <n v="1370.9999999999998"/>
    <n v="220.6"/>
    <n v="569.69999999999993"/>
    <n v="113.2"/>
    <n v="4047.7"/>
    <n v="4047.7"/>
  </r>
  <r>
    <x v="0"/>
    <x v="6"/>
    <x v="2"/>
    <n v="124.1"/>
    <n v="130.4"/>
    <n v="122.1"/>
    <n v="128.69999999999999"/>
    <n v="114.1"/>
    <n v="133.19999999999999"/>
    <n v="135.19999999999999"/>
    <n v="131.9"/>
    <n v="96.3"/>
    <n v="123"/>
    <n v="121.1"/>
    <n v="131.19999999999999"/>
    <n v="126.6"/>
    <n v="128.4"/>
    <n v="125.1"/>
    <n v="128"/>
    <n v="139.5"/>
    <n v="122.8"/>
    <n v="120.4"/>
    <n v="113"/>
    <n v="114.2"/>
    <n v="117.9"/>
    <n v="128.19999999999999"/>
    <n v="122.6"/>
    <n v="122"/>
    <n v="117.9"/>
    <n v="124.1"/>
    <x v="160"/>
    <n v="381.5"/>
    <n v="1482.1"/>
    <n v="233.4"/>
    <n v="608.6"/>
    <n v="122.6"/>
    <n v="4323.5"/>
    <n v="4323.5"/>
  </r>
  <r>
    <x v="1"/>
    <x v="6"/>
    <x v="2"/>
    <n v="123.6"/>
    <n v="134.4"/>
    <n v="120.9"/>
    <n v="127.3"/>
    <n v="106"/>
    <n v="132.30000000000001"/>
    <n v="146.69999999999999"/>
    <n v="148.1"/>
    <n v="89.8"/>
    <n v="130.5"/>
    <n v="118"/>
    <n v="130.5"/>
    <n v="128.5"/>
    <n v="123.2"/>
    <n v="117.6"/>
    <n v="122.3"/>
    <n v="119"/>
    <n v="119.2"/>
    <n v="115.4"/>
    <n v="112.5"/>
    <n v="111.7"/>
    <n v="116.2"/>
    <n v="132.1"/>
    <n v="115.1"/>
    <n v="123.8"/>
    <n v="116"/>
    <n v="121.7"/>
    <x v="161"/>
    <n v="363.1"/>
    <n v="1428.1"/>
    <n v="227.9"/>
    <n v="603.20000000000005"/>
    <n v="115.1"/>
    <n v="4258.8999999999996"/>
    <n v="4258.8999999999996"/>
  </r>
  <r>
    <x v="2"/>
    <x v="6"/>
    <x v="2"/>
    <n v="123.9"/>
    <n v="131.80000000000001"/>
    <n v="121.6"/>
    <n v="128.19999999999999"/>
    <n v="111.1"/>
    <n v="132.80000000000001"/>
    <n v="139.1"/>
    <n v="137.4"/>
    <n v="94.1"/>
    <n v="125.5"/>
    <n v="119.8"/>
    <n v="130.9"/>
    <n v="127.3"/>
    <n v="126.4"/>
    <n v="122"/>
    <n v="125.7"/>
    <n v="119"/>
    <n v="121.1"/>
    <n v="118.5"/>
    <n v="112.8"/>
    <n v="112.9"/>
    <n v="116.9"/>
    <n v="129.19999999999999"/>
    <n v="119.8"/>
    <n v="123.1"/>
    <n v="117"/>
    <n v="123"/>
    <x v="162"/>
    <n v="374.1"/>
    <n v="1447.3999999999999"/>
    <n v="231.3"/>
    <n v="606"/>
    <n v="119.8"/>
    <n v="4282.3"/>
    <n v="4282.3"/>
  </r>
  <r>
    <x v="0"/>
    <x v="6"/>
    <x v="3"/>
    <n v="128.6"/>
    <n v="138.6"/>
    <n v="126.6"/>
    <n v="133.6"/>
    <n v="118.6"/>
    <n v="137.4"/>
    <n v="152.5"/>
    <n v="169.2"/>
    <n v="108.8"/>
    <n v="133.1"/>
    <n v="126.4"/>
    <n v="139.19999999999999"/>
    <n v="136"/>
    <n v="136.30000000000001"/>
    <n v="131.6"/>
    <n v="135.6"/>
    <n v="139.5"/>
    <n v="129.30000000000001"/>
    <n v="126.2"/>
    <n v="119.9"/>
    <n v="116.3"/>
    <n v="124.1"/>
    <n v="137.19999999999999"/>
    <n v="128"/>
    <n v="130.19999999999999"/>
    <n v="123.3"/>
    <n v="131.9"/>
    <x v="163"/>
    <n v="403.5"/>
    <n v="1554.2"/>
    <n v="246.10000000000002"/>
    <n v="642.79999999999995"/>
    <n v="128"/>
    <n v="4595.2"/>
    <n v="4595.2"/>
  </r>
  <r>
    <x v="1"/>
    <x v="6"/>
    <x v="3"/>
    <n v="125.9"/>
    <n v="143.9"/>
    <n v="130.9"/>
    <n v="131"/>
    <n v="110.2"/>
    <n v="135.5"/>
    <n v="173.7"/>
    <n v="184.4"/>
    <n v="112"/>
    <n v="142.80000000000001"/>
    <n v="121.6"/>
    <n v="136.9"/>
    <n v="138.19999999999999"/>
    <n v="127.6"/>
    <n v="121.1"/>
    <n v="126.6"/>
    <n v="125.5"/>
    <n v="123.2"/>
    <n v="120.6"/>
    <n v="118.8"/>
    <n v="112.3"/>
    <n v="119.9"/>
    <n v="142.69999999999999"/>
    <n v="115.5"/>
    <n v="129.30000000000001"/>
    <n v="119.6"/>
    <n v="128.1"/>
    <x v="164"/>
    <n v="375.29999999999995"/>
    <n v="1483.1"/>
    <n v="239.39999999999998"/>
    <n v="627"/>
    <n v="115.5"/>
    <n v="4511.8"/>
    <n v="4511.8"/>
  </r>
  <r>
    <x v="2"/>
    <x v="6"/>
    <x v="3"/>
    <n v="127.7"/>
    <n v="140.5"/>
    <n v="128.30000000000001"/>
    <n v="132.6"/>
    <n v="115.5"/>
    <n v="136.5"/>
    <n v="159.69999999999999"/>
    <n v="174.3"/>
    <n v="109.9"/>
    <n v="136.30000000000001"/>
    <n v="124.4"/>
    <n v="138.1"/>
    <n v="136.80000000000001"/>
    <n v="132.9"/>
    <n v="127.2"/>
    <n v="132"/>
    <n v="125.5"/>
    <n v="126.4"/>
    <n v="124.1"/>
    <n v="119.4"/>
    <n v="114.2"/>
    <n v="121.7"/>
    <n v="138.69999999999999"/>
    <n v="123.3"/>
    <n v="129.69999999999999"/>
    <n v="121.5"/>
    <n v="130.1"/>
    <x v="165"/>
    <n v="392.1"/>
    <n v="1515.1000000000001"/>
    <n v="243.5"/>
    <n v="634.9"/>
    <n v="123.3"/>
    <n v="4546.2"/>
    <n v="4546.2"/>
  </r>
  <r>
    <x v="0"/>
    <x v="6"/>
    <x v="4"/>
    <n v="133.5"/>
    <n v="143.69999999999999"/>
    <n v="128"/>
    <n v="138.6"/>
    <n v="120.9"/>
    <n v="140.9"/>
    <n v="128.80000000000001"/>
    <n v="140.19999999999999"/>
    <n v="118.9"/>
    <n v="133.5"/>
    <n v="130.4"/>
    <n v="146.5"/>
    <n v="134.9"/>
    <n v="143.1"/>
    <n v="137.69999999999999"/>
    <n v="142.30000000000001"/>
    <n v="139.5"/>
    <n v="135.19999999999999"/>
    <n v="131.30000000000001"/>
    <n v="124.1"/>
    <n v="119.4"/>
    <n v="129.80000000000001"/>
    <n v="145.80000000000001"/>
    <n v="134.80000000000001"/>
    <n v="136.9"/>
    <n v="128.1"/>
    <n v="133.9"/>
    <x v="166"/>
    <n v="423.09999999999997"/>
    <n v="1619.8999999999999"/>
    <n v="255.4"/>
    <n v="675.40000000000009"/>
    <n v="134.80000000000001"/>
    <n v="4712.6000000000004"/>
    <n v="4712.6000000000004"/>
  </r>
  <r>
    <x v="1"/>
    <x v="6"/>
    <x v="4"/>
    <n v="132.9"/>
    <n v="148.69999999999999"/>
    <n v="128.30000000000001"/>
    <n v="137.30000000000001"/>
    <n v="113.5"/>
    <n v="137.19999999999999"/>
    <n v="142.19999999999999"/>
    <n v="128.19999999999999"/>
    <n v="120.9"/>
    <n v="138.80000000000001"/>
    <n v="124.2"/>
    <n v="143.1"/>
    <n v="135.69999999999999"/>
    <n v="131.5"/>
    <n v="123.2"/>
    <n v="130.19999999999999"/>
    <n v="131.4"/>
    <n v="126.8"/>
    <n v="123.8"/>
    <n v="122.5"/>
    <n v="113.9"/>
    <n v="122.9"/>
    <n v="148.6"/>
    <n v="119"/>
    <n v="134.30000000000001"/>
    <n v="122.7"/>
    <n v="129.9"/>
    <x v="167"/>
    <n v="384.9"/>
    <n v="1528.0999999999997"/>
    <n v="246.3"/>
    <n v="647.5"/>
    <n v="119"/>
    <n v="4537.8"/>
    <n v="4537.8"/>
  </r>
  <r>
    <x v="2"/>
    <x v="6"/>
    <x v="4"/>
    <n v="133.30000000000001"/>
    <n v="145.5"/>
    <n v="128.1"/>
    <n v="138.1"/>
    <n v="118.2"/>
    <n v="139.19999999999999"/>
    <n v="133.30000000000001"/>
    <n v="136.19999999999999"/>
    <n v="119.6"/>
    <n v="135.30000000000001"/>
    <n v="127.8"/>
    <n v="144.9"/>
    <n v="135.19999999999999"/>
    <n v="138.5"/>
    <n v="131.69999999999999"/>
    <n v="137.5"/>
    <n v="131.4"/>
    <n v="131.19999999999999"/>
    <n v="128.5"/>
    <n v="123.4"/>
    <n v="116.5"/>
    <n v="125.9"/>
    <n v="146.5"/>
    <n v="128.80000000000001"/>
    <n v="135.4"/>
    <n v="125.5"/>
    <n v="132"/>
    <x v="168"/>
    <n v="407.7"/>
    <n v="1575.3"/>
    <n v="251.9"/>
    <n v="662.1"/>
    <n v="128.80000000000001"/>
    <n v="4631.7"/>
    <n v="4631.7"/>
  </r>
  <r>
    <x v="0"/>
    <x v="6"/>
    <x v="5"/>
    <n v="137.6"/>
    <n v="148.1"/>
    <n v="136.69999999999999"/>
    <n v="143.19999999999999"/>
    <n v="124"/>
    <n v="154.1"/>
    <n v="143.5"/>
    <n v="126"/>
    <n v="112.4"/>
    <n v="137.6"/>
    <n v="132.80000000000001"/>
    <n v="154.30000000000001"/>
    <n v="140"/>
    <n v="151.30000000000001"/>
    <n v="144.69999999999999"/>
    <n v="150.30000000000001"/>
    <n v="139.5"/>
    <n v="142.19999999999999"/>
    <n v="138.4"/>
    <n v="131.4"/>
    <n v="127.4"/>
    <n v="137.80000000000001"/>
    <n v="157.30000000000001"/>
    <n v="145.1"/>
    <n v="145.1"/>
    <n v="135.6"/>
    <n v="140.5"/>
    <x v="169"/>
    <n v="446.3"/>
    <n v="1710.4999999999998"/>
    <n v="269.8"/>
    <n v="720.90000000000009"/>
    <n v="145.1"/>
    <n v="4937.7999999999993"/>
    <n v="4937.7999999999993"/>
  </r>
  <r>
    <x v="1"/>
    <x v="6"/>
    <x v="5"/>
    <n v="135.30000000000001"/>
    <n v="149.69999999999999"/>
    <n v="133.9"/>
    <n v="140.80000000000001"/>
    <n v="116.6"/>
    <n v="152.19999999999999"/>
    <n v="144"/>
    <n v="112.3"/>
    <n v="108.4"/>
    <n v="140"/>
    <n v="126.7"/>
    <n v="149"/>
    <n v="138.4"/>
    <n v="138.9"/>
    <n v="128.69999999999999"/>
    <n v="137.4"/>
    <n v="142.5"/>
    <n v="133.1"/>
    <n v="132.6"/>
    <n v="128.19999999999999"/>
    <n v="120.4"/>
    <n v="128.5"/>
    <n v="161"/>
    <n v="126.5"/>
    <n v="141.19999999999999"/>
    <n v="129.5"/>
    <n v="136.19999999999999"/>
    <x v="170"/>
    <n v="405"/>
    <n v="1619.0000000000002"/>
    <n v="260.79999999999995"/>
    <n v="686.7"/>
    <n v="126.5"/>
    <n v="4718.8"/>
    <n v="4718.8"/>
  </r>
  <r>
    <x v="2"/>
    <x v="6"/>
    <x v="5"/>
    <n v="136.9"/>
    <n v="148.69999999999999"/>
    <n v="135.6"/>
    <n v="142.30000000000001"/>
    <n v="121.3"/>
    <n v="153.19999999999999"/>
    <n v="143.69999999999999"/>
    <n v="121.4"/>
    <n v="111.1"/>
    <n v="138.4"/>
    <n v="130.30000000000001"/>
    <n v="151.80000000000001"/>
    <n v="139.4"/>
    <n v="146.4"/>
    <n v="138.1"/>
    <n v="145.19999999999999"/>
    <n v="142.5"/>
    <n v="137.9"/>
    <n v="136.19999999999999"/>
    <n v="130.1"/>
    <n v="123.7"/>
    <n v="132.6"/>
    <n v="158.30000000000001"/>
    <n v="138.1"/>
    <n v="142.80000000000001"/>
    <n v="132.6"/>
    <n v="138.5"/>
    <x v="171"/>
    <n v="429.7"/>
    <n v="1671.8999999999996"/>
    <n v="266.29999999999995"/>
    <n v="704.4"/>
    <n v="138.1"/>
    <n v="4846.3999999999996"/>
    <n v="4846.3999999999996"/>
  </r>
  <r>
    <x v="0"/>
    <x v="6"/>
    <x v="6"/>
    <n v="137.80000000000001"/>
    <n v="163.5"/>
    <n v="136.19999999999999"/>
    <n v="143.19999999999999"/>
    <n v="124.3"/>
    <n v="143.30000000000001"/>
    <n v="140.6"/>
    <n v="128.69999999999999"/>
    <n v="110.6"/>
    <n v="140.4"/>
    <n v="138"/>
    <n v="156.6"/>
    <n v="141"/>
    <n v="151.4"/>
    <n v="146.5"/>
    <n v="150.69999999999999"/>
    <n v="139.5"/>
    <n v="149.6"/>
    <n v="151.69999999999999"/>
    <n v="134.80000000000001"/>
    <n v="130.19999999999999"/>
    <n v="146.4"/>
    <n v="164.2"/>
    <n v="147.80000000000001"/>
    <n v="157.69999999999999"/>
    <n v="143.30000000000001"/>
    <n v="143.6"/>
    <x v="172"/>
    <n v="448.59999999999997"/>
    <n v="1770.5"/>
    <n v="286.5"/>
    <n v="759.40000000000009"/>
    <n v="147.80000000000001"/>
    <n v="5069.1999999999989"/>
    <n v="5069.1999999999989"/>
  </r>
  <r>
    <x v="1"/>
    <x v="6"/>
    <x v="6"/>
    <n v="140.69999999999999"/>
    <n v="159.6"/>
    <n v="140.4"/>
    <n v="143.4"/>
    <n v="118.6"/>
    <n v="150.9"/>
    <n v="169.8"/>
    <n v="127.4"/>
    <n v="111.8"/>
    <n v="141"/>
    <n v="129"/>
    <n v="155.1"/>
    <n v="145.6"/>
    <n v="144.30000000000001"/>
    <n v="131.69999999999999"/>
    <n v="142.4"/>
    <n v="149.4"/>
    <n v="137.4"/>
    <n v="140.30000000000001"/>
    <n v="133.69999999999999"/>
    <n v="119.6"/>
    <n v="134.30000000000001"/>
    <n v="166.7"/>
    <n v="130.5"/>
    <n v="148.9"/>
    <n v="133.6"/>
    <n v="142.1"/>
    <x v="173"/>
    <n v="418.4"/>
    <n v="1679.2"/>
    <n v="274"/>
    <n v="714"/>
    <n v="130.5"/>
    <n v="4918.8999999999996"/>
    <n v="4918.8999999999996"/>
  </r>
  <r>
    <x v="2"/>
    <x v="6"/>
    <x v="6"/>
    <n v="138.69999999999999"/>
    <n v="162.1"/>
    <n v="137.80000000000001"/>
    <n v="143.30000000000001"/>
    <n v="122.2"/>
    <n v="146.80000000000001"/>
    <n v="150.5"/>
    <n v="128.30000000000001"/>
    <n v="111"/>
    <n v="140.6"/>
    <n v="134.19999999999999"/>
    <n v="155.9"/>
    <n v="142.69999999999999"/>
    <n v="148.6"/>
    <n v="140.4"/>
    <n v="147.4"/>
    <n v="149.4"/>
    <n v="143.80000000000001"/>
    <n v="147.4"/>
    <n v="134.30000000000001"/>
    <n v="124.6"/>
    <n v="139.6"/>
    <n v="164.9"/>
    <n v="141.19999999999999"/>
    <n v="152.5"/>
    <n v="138.6"/>
    <n v="142.9"/>
    <x v="174"/>
    <n v="436.4"/>
    <n v="1734.1"/>
    <n v="281.70000000000005"/>
    <n v="736.80000000000007"/>
    <n v="141.19999999999999"/>
    <n v="5003.1000000000004"/>
    <n v="5003.1000000000004"/>
  </r>
  <r>
    <x v="0"/>
    <x v="6"/>
    <x v="7"/>
    <n v="148.19999999999999"/>
    <n v="190.3"/>
    <n v="149.4"/>
    <n v="153.30000000000001"/>
    <n v="138.19999999999999"/>
    <n v="143.19999999999999"/>
    <n v="148.9"/>
    <n v="150.30000000000001"/>
    <n v="113.2"/>
    <n v="159.80000000000001"/>
    <n v="142.1"/>
    <n v="161.80000000000001"/>
    <n v="152.30000000000001"/>
    <n v="154.69999999999999"/>
    <n v="150"/>
    <n v="154.1"/>
    <n v="139.5"/>
    <n v="151.69999999999999"/>
    <n v="158.19999999999999"/>
    <n v="151.19999999999999"/>
    <n v="141.4"/>
    <n v="153.19999999999999"/>
    <n v="182.4"/>
    <n v="144.9"/>
    <n v="161.80000000000001"/>
    <n v="151.69999999999999"/>
    <n v="152.69999999999999"/>
    <x v="175"/>
    <n v="458.79999999999995"/>
    <n v="1843.1000000000004"/>
    <n v="309.39999999999998"/>
    <n v="794"/>
    <n v="144.9"/>
    <n v="5356.3"/>
    <n v="5356.3"/>
  </r>
  <r>
    <x v="1"/>
    <x v="6"/>
    <x v="7"/>
    <n v="152.69999999999999"/>
    <n v="197"/>
    <n v="154.6"/>
    <n v="153.4"/>
    <n v="132.9"/>
    <n v="151.80000000000001"/>
    <n v="171.2"/>
    <n v="152"/>
    <n v="116.3"/>
    <n v="158.80000000000001"/>
    <n v="135.6"/>
    <n v="161.69999999999999"/>
    <n v="157"/>
    <n v="149.1"/>
    <n v="136.6"/>
    <n v="147.19999999999999"/>
    <n v="154.69999999999999"/>
    <n v="140.4"/>
    <n v="148.1"/>
    <n v="152.19999999999999"/>
    <n v="129.30000000000001"/>
    <n v="144.5"/>
    <n v="186.7"/>
    <n v="137.1"/>
    <n v="152.5"/>
    <n v="142"/>
    <n v="150.80000000000001"/>
    <x v="176"/>
    <n v="432.9"/>
    <n v="1778.3999999999999"/>
    <n v="300.29999999999995"/>
    <n v="762.8"/>
    <n v="137.1"/>
    <n v="5269.4"/>
    <n v="5269.4"/>
  </r>
  <r>
    <x v="2"/>
    <x v="6"/>
    <x v="7"/>
    <n v="149.6"/>
    <n v="192.7"/>
    <n v="151.4"/>
    <n v="153.30000000000001"/>
    <n v="136.30000000000001"/>
    <n v="147.19999999999999"/>
    <n v="156.5"/>
    <n v="150.9"/>
    <n v="114.2"/>
    <n v="159.5"/>
    <n v="139.4"/>
    <n v="161.80000000000001"/>
    <n v="154"/>
    <n v="152.5"/>
    <n v="144.4"/>
    <n v="151.4"/>
    <n v="154.69999999999999"/>
    <n v="146.4"/>
    <n v="154.4"/>
    <n v="151.6"/>
    <n v="135"/>
    <n v="148.30000000000001"/>
    <n v="183.5"/>
    <n v="141.9"/>
    <n v="156.4"/>
    <n v="147"/>
    <n v="151.80000000000001"/>
    <x v="177"/>
    <n v="448.29999999999995"/>
    <n v="1820.5"/>
    <n v="306"/>
    <n v="777.1"/>
    <n v="141.9"/>
    <n v="5318.7000000000007"/>
    <n v="5318.7000000000007"/>
  </r>
  <r>
    <x v="0"/>
    <x v="6"/>
    <x v="8"/>
    <n v="145.6"/>
    <n v="200.1"/>
    <n v="179.3"/>
    <n v="156.1"/>
    <n v="190.4"/>
    <n v="158.6"/>
    <n v="144.69999999999999"/>
    <n v="165.5"/>
    <n v="114.6"/>
    <n v="170"/>
    <n v="165.5"/>
    <n v="171.7"/>
    <n v="160.5"/>
    <n v="165.3"/>
    <n v="159.9"/>
    <n v="164.6"/>
    <n v="139.5"/>
    <n v="159.19999999999999"/>
    <n v="169.7"/>
    <n v="159.4"/>
    <n v="154.19999999999999"/>
    <n v="160.4"/>
    <n v="189.1"/>
    <n v="162.1"/>
    <n v="166.8"/>
    <n v="161.5"/>
    <n v="162.1"/>
    <x v="178"/>
    <n v="489.80000000000007"/>
    <n v="1950.2"/>
    <n v="329.1"/>
    <n v="839.90000000000009"/>
    <n v="162.1"/>
    <n v="5731.6"/>
    <n v="5731.6"/>
  </r>
  <r>
    <x v="1"/>
    <x v="6"/>
    <x v="8"/>
    <n v="149.19999999999999"/>
    <n v="205.5"/>
    <n v="182.8"/>
    <n v="156.5"/>
    <n v="172.2"/>
    <n v="171.5"/>
    <n v="176.2"/>
    <n v="166.9"/>
    <n v="116.1"/>
    <n v="165.5"/>
    <n v="152.30000000000001"/>
    <n v="173.3"/>
    <n v="166.2"/>
    <n v="157.30000000000001"/>
    <n v="140.5"/>
    <n v="154.80000000000001"/>
    <n v="160.5"/>
    <n v="149.80000000000001"/>
    <n v="160.80000000000001"/>
    <n v="158"/>
    <n v="147.5"/>
    <n v="150.69999999999999"/>
    <n v="195.6"/>
    <n v="156.1"/>
    <n v="158.1"/>
    <n v="153.4"/>
    <n v="160.4"/>
    <x v="179"/>
    <n v="452.6"/>
    <n v="1889.6999999999998"/>
    <n v="318.8"/>
    <n v="813.9"/>
    <n v="156.1"/>
    <n v="5629.2"/>
    <n v="5629.2"/>
  </r>
  <r>
    <x v="2"/>
    <x v="6"/>
    <x v="8"/>
    <n v="146.69999999999999"/>
    <n v="202"/>
    <n v="180.7"/>
    <n v="156.19999999999999"/>
    <n v="183.7"/>
    <n v="164.6"/>
    <n v="155.4"/>
    <n v="166"/>
    <n v="115.1"/>
    <n v="168.5"/>
    <n v="160"/>
    <n v="172.4"/>
    <n v="162.6"/>
    <n v="162.19999999999999"/>
    <n v="151.80000000000001"/>
    <n v="160.69999999999999"/>
    <n v="160.5"/>
    <n v="154.80000000000001"/>
    <n v="166.3"/>
    <n v="158.80000000000001"/>
    <n v="150.69999999999999"/>
    <n v="154.9"/>
    <n v="190.8"/>
    <n v="159.80000000000001"/>
    <n v="161.69999999999999"/>
    <n v="157.6"/>
    <n v="161.30000000000001"/>
    <x v="180"/>
    <n v="474.7"/>
    <n v="1933"/>
    <n v="325.10000000000002"/>
    <n v="824.80000000000007"/>
    <n v="159.80000000000001"/>
    <n v="5691.5000000000009"/>
    <n v="5691.5000000000009"/>
  </r>
  <r>
    <x v="0"/>
    <x v="6"/>
    <x v="9"/>
    <n v="153.80000000000001"/>
    <n v="217.2"/>
    <n v="169.6"/>
    <n v="165.4"/>
    <n v="208.1"/>
    <n v="165.8"/>
    <n v="167.3"/>
    <n v="164.6"/>
    <n v="119.1"/>
    <n v="188.9"/>
    <n v="174.2"/>
    <n v="181.9"/>
    <n v="172.4"/>
    <n v="180.7"/>
    <n v="178.7"/>
    <n v="180.4"/>
    <n v="139.5"/>
    <n v="170.3"/>
    <n v="178.2"/>
    <n v="169.5"/>
    <n v="165.5"/>
    <n v="168"/>
    <n v="192.9"/>
    <n v="176.7"/>
    <n v="172.6"/>
    <n v="171"/>
    <n v="173.6"/>
    <x v="181"/>
    <n v="539.79999999999995"/>
    <n v="2073"/>
    <n v="347.7"/>
    <n v="881.19999999999993"/>
    <n v="176.7"/>
    <n v="6090"/>
    <n v="6090"/>
  </r>
  <r>
    <x v="1"/>
    <x v="6"/>
    <x v="9"/>
    <n v="157.5"/>
    <n v="223.4"/>
    <n v="172.8"/>
    <n v="166.4"/>
    <n v="188.6"/>
    <n v="174.1"/>
    <n v="211.5"/>
    <n v="163.6"/>
    <n v="121.4"/>
    <n v="183.5"/>
    <n v="159.1"/>
    <n v="186.3"/>
    <n v="179.3"/>
    <n v="171.6"/>
    <n v="157.4"/>
    <n v="169.4"/>
    <n v="166.8"/>
    <n v="162.1"/>
    <n v="170.9"/>
    <n v="169.2"/>
    <n v="157.19999999999999"/>
    <n v="164.1"/>
    <n v="198.3"/>
    <n v="174.9"/>
    <n v="166.5"/>
    <n v="163.80000000000001"/>
    <n v="171.4"/>
    <x v="182"/>
    <n v="498.4"/>
    <n v="2028.4"/>
    <n v="340.1"/>
    <n v="867.59999999999991"/>
    <n v="174.9"/>
    <n v="6022"/>
    <n v="6022"/>
  </r>
  <r>
    <x v="2"/>
    <x v="6"/>
    <x v="9"/>
    <n v="155"/>
    <n v="219.4"/>
    <n v="170.8"/>
    <n v="165.8"/>
    <n v="200.9"/>
    <n v="169.7"/>
    <n v="182.3"/>
    <n v="164.3"/>
    <n v="119.9"/>
    <n v="187.1"/>
    <n v="167.9"/>
    <n v="183.9"/>
    <n v="174.9"/>
    <n v="177.1"/>
    <n v="169.9"/>
    <n v="176"/>
    <n v="166.8"/>
    <n v="166.4"/>
    <n v="175.4"/>
    <n v="169.4"/>
    <n v="161.1"/>
    <n v="165.8"/>
    <n v="194.3"/>
    <n v="176"/>
    <n v="169"/>
    <n v="167.5"/>
    <n v="172.6"/>
    <x v="183"/>
    <n v="523"/>
    <n v="2067.1999999999998"/>
    <n v="344.8"/>
    <n v="872.6"/>
    <n v="176"/>
    <n v="6069.5000000000009"/>
    <n v="6069.5000000000009"/>
  </r>
  <r>
    <x v="0"/>
    <x v="7"/>
    <x v="0"/>
    <n v="113.4"/>
    <n v="114.9"/>
    <n v="110.5"/>
    <n v="109.3"/>
    <n v="106.2"/>
    <n v="110.3"/>
    <n v="129.19999999999999"/>
    <n v="107.1"/>
    <n v="104.3"/>
    <n v="106.4"/>
    <n v="109.1"/>
    <n v="112.1"/>
    <n v="113.1"/>
    <n v="110.5"/>
    <n v="109.5"/>
    <n v="110.3"/>
    <n v="139.5"/>
    <n v="108.3"/>
    <n v="106.9"/>
    <n v="102.5"/>
    <n v="106.8"/>
    <n v="106.4"/>
    <n v="109.8"/>
    <n v="109.5"/>
    <n v="107.8"/>
    <n v="106.5"/>
    <n v="110.7"/>
    <x v="184"/>
    <n v="330.3"/>
    <n v="1327.8"/>
    <n v="209.4"/>
    <n v="540"/>
    <n v="109.5"/>
    <n v="3853.3999999999996"/>
    <n v="3853.3999999999996"/>
  </r>
  <r>
    <x v="1"/>
    <x v="7"/>
    <x v="0"/>
    <n v="117.8"/>
    <n v="119.2"/>
    <n v="114"/>
    <n v="108.3"/>
    <n v="101.1"/>
    <n v="113.2"/>
    <n v="160.9"/>
    <n v="105.1"/>
    <n v="101.3"/>
    <n v="107.5"/>
    <n v="110.4"/>
    <n v="113.1"/>
    <n v="117.5"/>
    <n v="109.8"/>
    <n v="107.8"/>
    <n v="109.5"/>
    <n v="107.7"/>
    <n v="108.1"/>
    <n v="107.1"/>
    <n v="103.2"/>
    <n v="107.3"/>
    <n v="105.9"/>
    <n v="111.7"/>
    <n v="108.6"/>
    <n v="110.1"/>
    <n v="107.3"/>
    <n v="111.4"/>
    <x v="185"/>
    <n v="327.10000000000002"/>
    <n v="1296.7999999999997"/>
    <n v="210.3"/>
    <n v="543.6"/>
    <n v="108.6"/>
    <n v="3867.2"/>
    <n v="3867.2"/>
  </r>
  <r>
    <x v="2"/>
    <x v="7"/>
    <x v="0"/>
    <n v="114.8"/>
    <n v="116.4"/>
    <n v="111.9"/>
    <n v="108.9"/>
    <n v="104.3"/>
    <n v="111.7"/>
    <n v="140"/>
    <n v="106.4"/>
    <n v="103.3"/>
    <n v="106.8"/>
    <n v="109.6"/>
    <n v="112.6"/>
    <n v="114.7"/>
    <n v="110.2"/>
    <n v="108.8"/>
    <n v="110"/>
    <n v="107.7"/>
    <n v="108.2"/>
    <n v="107"/>
    <n v="102.8"/>
    <n v="107.1"/>
    <n v="106.1"/>
    <n v="110.3"/>
    <n v="109.2"/>
    <n v="109.1"/>
    <n v="106.9"/>
    <n v="111"/>
    <x v="186"/>
    <n v="329"/>
    <n v="1296.5"/>
    <n v="209.8"/>
    <n v="541.59999999999991"/>
    <n v="109.2"/>
    <n v="3838.2999999999997"/>
    <n v="3838.2999999999997"/>
  </r>
  <r>
    <x v="0"/>
    <x v="7"/>
    <x v="1"/>
    <n v="121.7"/>
    <n v="122.5"/>
    <n v="117.7"/>
    <n v="120.6"/>
    <n v="110.4"/>
    <n v="129.1"/>
    <n v="150.1"/>
    <n v="113.2"/>
    <n v="104.8"/>
    <n v="113.3"/>
    <n v="115.6"/>
    <n v="120.9"/>
    <n v="123.3"/>
    <n v="120.7"/>
    <n v="118.3"/>
    <n v="120.3"/>
    <n v="139.5"/>
    <n v="115.4"/>
    <n v="113.4"/>
    <n v="108.8"/>
    <n v="113.2"/>
    <n v="111.8"/>
    <n v="118"/>
    <n v="115.3"/>
    <n v="115.5"/>
    <n v="113.1"/>
    <n v="119.5"/>
    <x v="187"/>
    <n v="359.3"/>
    <n v="1410.2"/>
    <n v="222.2"/>
    <n v="573.70000000000005"/>
    <n v="115.3"/>
    <n v="4128.5999999999995"/>
    <n v="4128.5999999999995"/>
  </r>
  <r>
    <x v="1"/>
    <x v="7"/>
    <x v="1"/>
    <n v="123.8"/>
    <n v="126.4"/>
    <n v="118"/>
    <n v="121.6"/>
    <n v="103.5"/>
    <n v="133.69999999999999"/>
    <n v="172.4"/>
    <n v="113.1"/>
    <n v="102.7"/>
    <n v="120"/>
    <n v="113.8"/>
    <n v="123.4"/>
    <n v="127.1"/>
    <n v="118"/>
    <n v="113.6"/>
    <n v="117.4"/>
    <n v="114.8"/>
    <n v="114.9"/>
    <n v="111.5"/>
    <n v="109.7"/>
    <n v="113"/>
    <n v="112.4"/>
    <n v="121"/>
    <n v="111.6"/>
    <n v="117.8"/>
    <n v="113.5"/>
    <n v="118.9"/>
    <x v="188"/>
    <n v="349"/>
    <n v="1375.7"/>
    <n v="221.2"/>
    <n v="576.29999999999995"/>
    <n v="111.6"/>
    <n v="4121.7"/>
    <n v="4121.7"/>
  </r>
  <r>
    <x v="2"/>
    <x v="7"/>
    <x v="1"/>
    <n v="122.4"/>
    <n v="123.9"/>
    <n v="117.8"/>
    <n v="121"/>
    <n v="107.9"/>
    <n v="131.19999999999999"/>
    <n v="157.69999999999999"/>
    <n v="113.2"/>
    <n v="104.1"/>
    <n v="115.5"/>
    <n v="114.8"/>
    <n v="122.1"/>
    <n v="124.7"/>
    <n v="119.6"/>
    <n v="116.3"/>
    <n v="119.1"/>
    <n v="114.8"/>
    <n v="115.2"/>
    <n v="112.7"/>
    <n v="109.2"/>
    <n v="113.1"/>
    <n v="112.1"/>
    <n v="118.8"/>
    <n v="113.9"/>
    <n v="116.8"/>
    <n v="113.3"/>
    <n v="119.2"/>
    <x v="189"/>
    <n v="355"/>
    <n v="1381.6000000000001"/>
    <n v="221.9"/>
    <n v="574.9"/>
    <n v="113.9"/>
    <n v="4109.7"/>
    <n v="4109.7"/>
  </r>
  <r>
    <x v="0"/>
    <x v="7"/>
    <x v="2"/>
    <n v="124"/>
    <n v="131.5"/>
    <n v="122"/>
    <n v="128.69999999999999"/>
    <n v="113.5"/>
    <n v="133.30000000000001"/>
    <n v="140.80000000000001"/>
    <n v="133.80000000000001"/>
    <n v="94.1"/>
    <n v="123.4"/>
    <n v="121"/>
    <n v="131.69999999999999"/>
    <n v="127.5"/>
    <n v="128.80000000000001"/>
    <n v="125.5"/>
    <n v="128.30000000000001"/>
    <n v="139.5"/>
    <n v="123"/>
    <n v="120.8"/>
    <n v="112.7"/>
    <n v="114.1"/>
    <n v="118"/>
    <n v="129.4"/>
    <n v="123"/>
    <n v="122.9"/>
    <n v="118.1"/>
    <n v="124.7"/>
    <x v="190"/>
    <n v="382.6"/>
    <n v="1486.0000000000002"/>
    <n v="233.5"/>
    <n v="611.4"/>
    <n v="123"/>
    <n v="4338.8"/>
    <n v="4338.8"/>
  </r>
  <r>
    <x v="1"/>
    <x v="7"/>
    <x v="2"/>
    <n v="123.2"/>
    <n v="134.30000000000001"/>
    <n v="119.5"/>
    <n v="127.7"/>
    <n v="106.3"/>
    <n v="132.80000000000001"/>
    <n v="153.5"/>
    <n v="149.5"/>
    <n v="85.7"/>
    <n v="131.5"/>
    <n v="118.3"/>
    <n v="131.1"/>
    <n v="129.5"/>
    <n v="123.5"/>
    <n v="117.9"/>
    <n v="122.7"/>
    <n v="119.9"/>
    <n v="119.5"/>
    <n v="116"/>
    <n v="111.7"/>
    <n v="111.5"/>
    <n v="116.6"/>
    <n v="133.1"/>
    <n v="115.3"/>
    <n v="125.4"/>
    <n v="116.3"/>
    <n v="122.4"/>
    <x v="191"/>
    <n v="364.1"/>
    <n v="1433.1"/>
    <n v="227.7"/>
    <n v="606.69999999999993"/>
    <n v="115.3"/>
    <n v="4274.5"/>
    <n v="4274.5"/>
  </r>
  <r>
    <x v="2"/>
    <x v="7"/>
    <x v="2"/>
    <n v="123.7"/>
    <n v="132.5"/>
    <n v="121"/>
    <n v="128.30000000000001"/>
    <n v="110.9"/>
    <n v="133.1"/>
    <n v="145.1"/>
    <n v="139.1"/>
    <n v="91.3"/>
    <n v="126.1"/>
    <n v="119.9"/>
    <n v="131.4"/>
    <n v="128.19999999999999"/>
    <n v="126.7"/>
    <n v="122.3"/>
    <n v="126.1"/>
    <n v="119.9"/>
    <n v="121.3"/>
    <n v="119"/>
    <n v="112.3"/>
    <n v="112.7"/>
    <n v="117.2"/>
    <n v="130.4"/>
    <n v="120.1"/>
    <n v="124.4"/>
    <n v="117.2"/>
    <n v="123.6"/>
    <x v="192"/>
    <n v="375.1"/>
    <n v="1452.4"/>
    <n v="231.3"/>
    <n v="609.30000000000007"/>
    <n v="120.1"/>
    <n v="4298.7000000000007"/>
    <n v="4298.7000000000007"/>
  </r>
  <r>
    <x v="0"/>
    <x v="7"/>
    <x v="3"/>
    <n v="129.30000000000001"/>
    <n v="139.5"/>
    <n v="129.6"/>
    <n v="134.5"/>
    <n v="119.5"/>
    <n v="138.5"/>
    <n v="158.19999999999999"/>
    <n v="171.8"/>
    <n v="110.3"/>
    <n v="134.30000000000001"/>
    <n v="127.3"/>
    <n v="139.9"/>
    <n v="137.6"/>
    <n v="137.19999999999999"/>
    <n v="132.19999999999999"/>
    <n v="136.5"/>
    <n v="139.5"/>
    <n v="130"/>
    <n v="126.7"/>
    <n v="120.9"/>
    <n v="116.4"/>
    <n v="125.2"/>
    <n v="138"/>
    <n v="128.19999999999999"/>
    <n v="130.80000000000001"/>
    <n v="123.8"/>
    <n v="133"/>
    <x v="193"/>
    <n v="405.9"/>
    <n v="1561.6000000000001"/>
    <n v="247.60000000000002"/>
    <n v="646"/>
    <n v="128.19999999999999"/>
    <n v="4631.3999999999996"/>
    <n v="4631.3999999999996"/>
  </r>
  <r>
    <x v="1"/>
    <x v="7"/>
    <x v="3"/>
    <n v="126.8"/>
    <n v="144.19999999999999"/>
    <n v="136.6"/>
    <n v="131.80000000000001"/>
    <n v="111"/>
    <n v="137"/>
    <n v="179.5"/>
    <n v="188.4"/>
    <n v="113.3"/>
    <n v="143.9"/>
    <n v="121.7"/>
    <n v="137.5"/>
    <n v="139.80000000000001"/>
    <n v="127.9"/>
    <n v="121.1"/>
    <n v="126.9"/>
    <n v="126.4"/>
    <n v="123.5"/>
    <n v="120.9"/>
    <n v="120"/>
    <n v="111.7"/>
    <n v="120.3"/>
    <n v="142.9"/>
    <n v="115.5"/>
    <n v="130.80000000000001"/>
    <n v="119.9"/>
    <n v="129"/>
    <x v="107"/>
    <n v="375.9"/>
    <n v="1487.9"/>
    <n v="240.9"/>
    <n v="629.4"/>
    <n v="115.5"/>
    <n v="4545.6000000000004"/>
    <n v="4545.6000000000004"/>
  </r>
  <r>
    <x v="2"/>
    <x v="7"/>
    <x v="3"/>
    <n v="128.5"/>
    <n v="141.19999999999999"/>
    <n v="132.30000000000001"/>
    <n v="133.5"/>
    <n v="116.4"/>
    <n v="137.80000000000001"/>
    <n v="165.4"/>
    <n v="177.4"/>
    <n v="111.3"/>
    <n v="137.5"/>
    <n v="125"/>
    <n v="138.80000000000001"/>
    <n v="138.4"/>
    <n v="133.5"/>
    <n v="127.6"/>
    <n v="132.69999999999999"/>
    <n v="126.4"/>
    <n v="126.9"/>
    <n v="124.5"/>
    <n v="120.5"/>
    <n v="113.9"/>
    <n v="122.4"/>
    <n v="139.30000000000001"/>
    <n v="123.4"/>
    <n v="130.80000000000001"/>
    <n v="121.9"/>
    <n v="131.1"/>
    <x v="194"/>
    <n v="393.8"/>
    <n v="1521.9"/>
    <n v="245"/>
    <n v="637.80000000000007"/>
    <n v="123.4"/>
    <n v="4582"/>
    <n v="4582"/>
  </r>
  <r>
    <x v="0"/>
    <x v="7"/>
    <x v="4"/>
    <n v="134"/>
    <n v="144.19999999999999"/>
    <n v="129.80000000000001"/>
    <n v="139"/>
    <n v="120.9"/>
    <n v="143.9"/>
    <n v="151.5"/>
    <n v="138.1"/>
    <n v="120"/>
    <n v="133.9"/>
    <n v="131.4"/>
    <n v="147.69999999999999"/>
    <n v="138.5"/>
    <n v="144.30000000000001"/>
    <n v="138.1"/>
    <n v="143.5"/>
    <n v="139.5"/>
    <n v="136.1"/>
    <n v="132.1"/>
    <n v="124.4"/>
    <n v="119.1"/>
    <n v="130.6"/>
    <n v="147.4"/>
    <n v="135.30000000000001"/>
    <n v="138.6"/>
    <n v="128.6"/>
    <n v="136.19999999999999"/>
    <x v="195"/>
    <n v="425.9"/>
    <n v="1628.9999999999998"/>
    <n v="256.5"/>
    <n v="680.5"/>
    <n v="135.30000000000001"/>
    <n v="4764.8"/>
    <n v="4764.8"/>
  </r>
  <r>
    <x v="1"/>
    <x v="7"/>
    <x v="4"/>
    <n v="132.80000000000001"/>
    <n v="148.4"/>
    <n v="129.4"/>
    <n v="137.69999999999999"/>
    <n v="113.4"/>
    <n v="139.4"/>
    <n v="175.1"/>
    <n v="124.7"/>
    <n v="121.5"/>
    <n v="137.80000000000001"/>
    <n v="124.4"/>
    <n v="143.69999999999999"/>
    <n v="139.80000000000001"/>
    <n v="131.6"/>
    <n v="123.7"/>
    <n v="130.4"/>
    <n v="132.6"/>
    <n v="127.2"/>
    <n v="125"/>
    <n v="122.4"/>
    <n v="113.2"/>
    <n v="123.5"/>
    <n v="150.5"/>
    <n v="119.7"/>
    <n v="135.5"/>
    <n v="123"/>
    <n v="131.80000000000001"/>
    <x v="196"/>
    <n v="385.70000000000005"/>
    <n v="1535.3000000000002"/>
    <n v="247.4"/>
    <n v="652.20000000000005"/>
    <n v="119.7"/>
    <n v="4588.7000000000007"/>
    <n v="4588.7000000000007"/>
  </r>
  <r>
    <x v="2"/>
    <x v="7"/>
    <x v="4"/>
    <n v="133.6"/>
    <n v="145.69999999999999"/>
    <n v="129.6"/>
    <n v="138.5"/>
    <n v="118.1"/>
    <n v="141.80000000000001"/>
    <n v="159.5"/>
    <n v="133.6"/>
    <n v="120.5"/>
    <n v="135.19999999999999"/>
    <n v="128.5"/>
    <n v="145.80000000000001"/>
    <n v="139"/>
    <n v="139.30000000000001"/>
    <n v="132.1"/>
    <n v="138.30000000000001"/>
    <n v="132.6"/>
    <n v="131.9"/>
    <n v="129.4"/>
    <n v="123.6"/>
    <n v="116"/>
    <n v="126.6"/>
    <n v="148.19999999999999"/>
    <n v="129.4"/>
    <n v="136.80000000000001"/>
    <n v="125.9"/>
    <n v="134.19999999999999"/>
    <x v="197"/>
    <n v="409.7"/>
    <n v="1584.1999999999998"/>
    <n v="253"/>
    <n v="666.9"/>
    <n v="129.4"/>
    <n v="4683.2"/>
    <n v="4683.2"/>
  </r>
  <r>
    <x v="0"/>
    <x v="7"/>
    <x v="5"/>
    <n v="138.4"/>
    <n v="149.30000000000001"/>
    <n v="139.30000000000001"/>
    <n v="143.4"/>
    <n v="124.1"/>
    <n v="153.30000000000001"/>
    <n v="154.19999999999999"/>
    <n v="126.4"/>
    <n v="114.3"/>
    <n v="138.19999999999999"/>
    <n v="132.80000000000001"/>
    <n v="154.80000000000001"/>
    <n v="142"/>
    <n v="151.5"/>
    <n v="145.1"/>
    <n v="150.6"/>
    <n v="139.5"/>
    <n v="143.1"/>
    <n v="139"/>
    <n v="131.4"/>
    <n v="127.5"/>
    <n v="138.4"/>
    <n v="156.1"/>
    <n v="146.80000000000001"/>
    <n v="145.80000000000001"/>
    <n v="136"/>
    <n v="141.80000000000001"/>
    <x v="198"/>
    <n v="447.20000000000005"/>
    <n v="1714.8"/>
    <n v="270.39999999999998"/>
    <n v="723.1"/>
    <n v="146.80000000000001"/>
    <n v="4966"/>
    <n v="4966"/>
  </r>
  <r>
    <x v="1"/>
    <x v="7"/>
    <x v="5"/>
    <n v="135.6"/>
    <n v="148.6"/>
    <n v="139.1"/>
    <n v="141"/>
    <n v="116.7"/>
    <n v="149.69999999999999"/>
    <n v="159.19999999999999"/>
    <n v="112.6"/>
    <n v="111.8"/>
    <n v="140.30000000000001"/>
    <n v="126.8"/>
    <n v="149.4"/>
    <n v="140.30000000000001"/>
    <n v="139.6"/>
    <n v="128.9"/>
    <n v="137.9"/>
    <n v="143.6"/>
    <n v="133.6"/>
    <n v="133.6"/>
    <n v="128.19999999999999"/>
    <n v="120.1"/>
    <n v="129"/>
    <n v="161.4"/>
    <n v="128.1"/>
    <n v="144"/>
    <n v="130.19999999999999"/>
    <n v="137.5"/>
    <x v="199"/>
    <n v="406.4"/>
    <n v="1628"/>
    <n v="261.79999999999995"/>
    <n v="692.7"/>
    <n v="128.1"/>
    <n v="4760"/>
    <n v="4760"/>
  </r>
  <r>
    <x v="2"/>
    <x v="7"/>
    <x v="5"/>
    <n v="137.5"/>
    <n v="149.1"/>
    <n v="139.19999999999999"/>
    <n v="142.5"/>
    <n v="121.4"/>
    <n v="151.6"/>
    <n v="155.9"/>
    <n v="121.7"/>
    <n v="113.5"/>
    <n v="138.9"/>
    <n v="130.30000000000001"/>
    <n v="152.30000000000001"/>
    <n v="141.4"/>
    <n v="146.80000000000001"/>
    <n v="138.4"/>
    <n v="145.6"/>
    <n v="143.6"/>
    <n v="138.6"/>
    <n v="137"/>
    <n v="130.1"/>
    <n v="123.6"/>
    <n v="133.1"/>
    <n v="157.5"/>
    <n v="139.69999999999999"/>
    <n v="144.69999999999999"/>
    <n v="133.19999999999999"/>
    <n v="139.80000000000001"/>
    <x v="200"/>
    <n v="430.80000000000007"/>
    <n v="1678.7"/>
    <n v="267.10000000000002"/>
    <n v="708.2"/>
    <n v="139.69999999999999"/>
    <n v="4880.1000000000004"/>
    <n v="4880.1000000000004"/>
  </r>
  <r>
    <x v="0"/>
    <x v="7"/>
    <x v="6"/>
    <n v="138.4"/>
    <n v="164"/>
    <n v="138.4"/>
    <n v="143.9"/>
    <n v="124.4"/>
    <n v="146.4"/>
    <n v="150.1"/>
    <n v="130.6"/>
    <n v="110.8"/>
    <n v="141.69999999999999"/>
    <n v="138.5"/>
    <n v="156.69999999999999"/>
    <n v="143"/>
    <n v="151.6"/>
    <n v="146.6"/>
    <n v="150.9"/>
    <n v="139.5"/>
    <n v="150"/>
    <n v="152.19999999999999"/>
    <n v="136.1"/>
    <n v="131.19999999999999"/>
    <n v="147.5"/>
    <n v="164.5"/>
    <n v="146.80000000000001"/>
    <n v="159.1"/>
    <n v="144.19999999999999"/>
    <n v="144.9"/>
    <x v="201"/>
    <n v="449.1"/>
    <n v="1775.9999999999998"/>
    <n v="288.29999999999995"/>
    <n v="762.09999999999991"/>
    <n v="146.80000000000001"/>
    <n v="5102.3999999999996"/>
    <n v="5102.3999999999996"/>
  </r>
  <r>
    <x v="1"/>
    <x v="7"/>
    <x v="6"/>
    <n v="141.4"/>
    <n v="160.19999999999999"/>
    <n v="142.5"/>
    <n v="144.1"/>
    <n v="119.3"/>
    <n v="154.69999999999999"/>
    <n v="180.1"/>
    <n v="128.9"/>
    <n v="111.8"/>
    <n v="141.6"/>
    <n v="129.5"/>
    <n v="155.6"/>
    <n v="147.69999999999999"/>
    <n v="144.69999999999999"/>
    <n v="131.9"/>
    <n v="142.69999999999999"/>
    <n v="150.6"/>
    <n v="137.69999999999999"/>
    <n v="140.80000000000001"/>
    <n v="135.1"/>
    <n v="120.6"/>
    <n v="135"/>
    <n v="167.2"/>
    <n v="127"/>
    <n v="150.4"/>
    <n v="134.5"/>
    <n v="143.30000000000001"/>
    <x v="202"/>
    <n v="419.3"/>
    <n v="1683.7"/>
    <n v="275.89999999999998"/>
    <n v="714.1"/>
    <n v="127"/>
    <n v="4950.3999999999996"/>
    <n v="4950.3999999999996"/>
  </r>
  <r>
    <x v="2"/>
    <x v="7"/>
    <x v="6"/>
    <n v="139.30000000000001"/>
    <n v="162.69999999999999"/>
    <n v="140"/>
    <n v="144"/>
    <n v="122.5"/>
    <n v="150.30000000000001"/>
    <n v="160.30000000000001"/>
    <n v="130"/>
    <n v="111.1"/>
    <n v="141.69999999999999"/>
    <n v="134.69999999999999"/>
    <n v="156.19999999999999"/>
    <n v="144.69999999999999"/>
    <n v="148.9"/>
    <n v="140.5"/>
    <n v="147.6"/>
    <n v="150.6"/>
    <n v="144.19999999999999"/>
    <n v="147.9"/>
    <n v="135.69999999999999"/>
    <n v="125.6"/>
    <n v="140.5"/>
    <n v="165.2"/>
    <n v="139.30000000000001"/>
    <n v="154"/>
    <n v="139.5"/>
    <n v="144.19999999999999"/>
    <x v="203"/>
    <n v="437"/>
    <n v="1739.9999999999998"/>
    <n v="283.60000000000002"/>
    <n v="738.5"/>
    <n v="139.30000000000001"/>
    <n v="5036.6000000000004"/>
    <n v="5036.6000000000004"/>
  </r>
  <r>
    <x v="0"/>
    <x v="7"/>
    <x v="7"/>
    <n v="148.19999999999999"/>
    <n v="190.3"/>
    <n v="149.4"/>
    <n v="153.30000000000001"/>
    <n v="138.19999999999999"/>
    <n v="143.19999999999999"/>
    <n v="148.9"/>
    <n v="150.30000000000001"/>
    <n v="113.2"/>
    <n v="159.80000000000001"/>
    <n v="142.1"/>
    <n v="161.80000000000001"/>
    <n v="152.30000000000001"/>
    <n v="154.69999999999999"/>
    <n v="150"/>
    <n v="154.1"/>
    <n v="139.5"/>
    <n v="151.69999999999999"/>
    <n v="158.19999999999999"/>
    <n v="151.19999999999999"/>
    <n v="141.4"/>
    <n v="153.19999999999999"/>
    <n v="182.4"/>
    <n v="144.9"/>
    <n v="161.80000000000001"/>
    <n v="151.69999999999999"/>
    <n v="152.69999999999999"/>
    <x v="175"/>
    <n v="458.79999999999995"/>
    <n v="1843.1000000000004"/>
    <n v="309.39999999999998"/>
    <n v="794"/>
    <n v="144.9"/>
    <n v="5356.3"/>
    <n v="5356.3"/>
  </r>
  <r>
    <x v="1"/>
    <x v="7"/>
    <x v="7"/>
    <n v="152.69999999999999"/>
    <n v="197"/>
    <n v="154.6"/>
    <n v="153.4"/>
    <n v="132.9"/>
    <n v="151.80000000000001"/>
    <n v="171.2"/>
    <n v="152"/>
    <n v="116.3"/>
    <n v="158.80000000000001"/>
    <n v="135.6"/>
    <n v="161.69999999999999"/>
    <n v="157"/>
    <n v="149.1"/>
    <n v="136.6"/>
    <n v="147.19999999999999"/>
    <n v="154.69999999999999"/>
    <n v="140.4"/>
    <n v="148.1"/>
    <n v="152.19999999999999"/>
    <n v="129.30000000000001"/>
    <n v="144.5"/>
    <n v="186.7"/>
    <n v="137.1"/>
    <n v="152.5"/>
    <n v="142"/>
    <n v="150.80000000000001"/>
    <x v="176"/>
    <n v="432.9"/>
    <n v="1778.3999999999999"/>
    <n v="300.29999999999995"/>
    <n v="762.8"/>
    <n v="137.1"/>
    <n v="5269.4"/>
    <n v="5269.4"/>
  </r>
  <r>
    <x v="2"/>
    <x v="7"/>
    <x v="7"/>
    <n v="149.6"/>
    <n v="192.7"/>
    <n v="151.4"/>
    <n v="153.30000000000001"/>
    <n v="136.30000000000001"/>
    <n v="147.19999999999999"/>
    <n v="156.5"/>
    <n v="150.9"/>
    <n v="114.2"/>
    <n v="159.5"/>
    <n v="139.4"/>
    <n v="161.80000000000001"/>
    <n v="154"/>
    <n v="152.5"/>
    <n v="144.4"/>
    <n v="151.4"/>
    <n v="154.69999999999999"/>
    <n v="146.4"/>
    <n v="154.4"/>
    <n v="151.6"/>
    <n v="135"/>
    <n v="148.30000000000001"/>
    <n v="183.5"/>
    <n v="141.9"/>
    <n v="156.4"/>
    <n v="147"/>
    <n v="151.80000000000001"/>
    <x v="177"/>
    <n v="448.29999999999995"/>
    <n v="1820.5"/>
    <n v="306"/>
    <n v="777.1"/>
    <n v="141.9"/>
    <n v="5318.7000000000007"/>
    <n v="5318.7000000000007"/>
  </r>
  <r>
    <x v="0"/>
    <x v="7"/>
    <x v="8"/>
    <n v="145.1"/>
    <n v="204.5"/>
    <n v="180.4"/>
    <n v="157.1"/>
    <n v="188.7"/>
    <n v="157.69999999999999"/>
    <n v="152.80000000000001"/>
    <n v="163.6"/>
    <n v="113.9"/>
    <n v="169.7"/>
    <n v="166.2"/>
    <n v="171"/>
    <n v="161.69999999999999"/>
    <n v="166"/>
    <n v="161.1"/>
    <n v="165.3"/>
    <n v="139.5"/>
    <n v="160.30000000000001"/>
    <n v="170.4"/>
    <n v="160.4"/>
    <n v="157.1"/>
    <n v="160.69999999999999"/>
    <n v="189.7"/>
    <n v="162.5"/>
    <n v="167.2"/>
    <n v="162.80000000000001"/>
    <n v="163.19999999999999"/>
    <x v="204"/>
    <n v="492.40000000000003"/>
    <n v="1960.2"/>
    <n v="330.8"/>
    <n v="842.89999999999986"/>
    <n v="162.5"/>
    <n v="5758.7"/>
    <n v="5758.7"/>
  </r>
  <r>
    <x v="1"/>
    <x v="7"/>
    <x v="8"/>
    <n v="149.1"/>
    <n v="210.9"/>
    <n v="185"/>
    <n v="158.19999999999999"/>
    <n v="170.6"/>
    <n v="170.9"/>
    <n v="186.4"/>
    <n v="164.7"/>
    <n v="115.7"/>
    <n v="165.5"/>
    <n v="153.4"/>
    <n v="173.5"/>
    <n v="167.9"/>
    <n v="157.9"/>
    <n v="141.9"/>
    <n v="155.5"/>
    <n v="161.5"/>
    <n v="150.69999999999999"/>
    <n v="161.5"/>
    <n v="159.6"/>
    <n v="149.5"/>
    <n v="151.19999999999999"/>
    <n v="195.5"/>
    <n v="157.69999999999999"/>
    <n v="160.30000000000001"/>
    <n v="155"/>
    <n v="161.80000000000001"/>
    <x v="205"/>
    <n v="455.3"/>
    <n v="1902.8"/>
    <n v="321.10000000000002"/>
    <n v="819.7"/>
    <n v="157.69999999999999"/>
    <n v="5670.7000000000007"/>
    <n v="5670.7000000000007"/>
  </r>
  <r>
    <x v="2"/>
    <x v="7"/>
    <x v="8"/>
    <n v="146.4"/>
    <n v="206.8"/>
    <n v="182.2"/>
    <n v="157.5"/>
    <n v="182.1"/>
    <n v="163.9"/>
    <n v="164.2"/>
    <n v="164"/>
    <n v="114.5"/>
    <n v="168.3"/>
    <n v="160.9"/>
    <n v="172.2"/>
    <n v="164"/>
    <n v="162.80000000000001"/>
    <n v="153.1"/>
    <n v="161.4"/>
    <n v="161.5"/>
    <n v="155.80000000000001"/>
    <n v="167"/>
    <n v="160.1"/>
    <n v="153.1"/>
    <n v="155.30000000000001"/>
    <n v="191.2"/>
    <n v="160.69999999999999"/>
    <n v="163.19999999999999"/>
    <n v="159"/>
    <n v="162.5"/>
    <x v="206"/>
    <n v="477.29999999999995"/>
    <n v="1945.1999999999998"/>
    <n v="327.10000000000002"/>
    <n v="829.4"/>
    <n v="160.69999999999999"/>
    <n v="5726"/>
    <n v="5726"/>
  </r>
  <r>
    <x v="0"/>
    <x v="7"/>
    <x v="9"/>
    <n v="155.19999999999999"/>
    <n v="210.8"/>
    <n v="174.3"/>
    <n v="166.3"/>
    <n v="202.2"/>
    <n v="169.6"/>
    <n v="168.6"/>
    <n v="164.4"/>
    <n v="119.2"/>
    <n v="191.8"/>
    <n v="174.5"/>
    <n v="183.1"/>
    <n v="172.5"/>
    <n v="182"/>
    <n v="180.3"/>
    <n v="181.7"/>
    <n v="139.5"/>
    <n v="171.3"/>
    <n v="178.8"/>
    <n v="169.7"/>
    <n v="166.3"/>
    <n v="168.6"/>
    <n v="193.2"/>
    <n v="179.6"/>
    <n v="174.7"/>
    <n v="171.8"/>
    <n v="174.3"/>
    <x v="207"/>
    <n v="544"/>
    <n v="2085.6999999999998"/>
    <n v="348.5"/>
    <n v="887.89999999999986"/>
    <n v="179.6"/>
    <n v="6118.5999999999995"/>
    <n v="6118.5999999999995"/>
  </r>
  <r>
    <x v="1"/>
    <x v="7"/>
    <x v="9"/>
    <n v="159.30000000000001"/>
    <n v="217.1"/>
    <n v="176.6"/>
    <n v="167.1"/>
    <n v="184.8"/>
    <n v="179.5"/>
    <n v="208.5"/>
    <n v="164"/>
    <n v="121.5"/>
    <n v="186.3"/>
    <n v="159.80000000000001"/>
    <n v="187.7"/>
    <n v="179.4"/>
    <n v="172.7"/>
    <n v="158.69999999999999"/>
    <n v="170.6"/>
    <n v="167.8"/>
    <n v="163.1"/>
    <n v="171.7"/>
    <n v="169.8"/>
    <n v="157.4"/>
    <n v="164.6"/>
    <n v="198.6"/>
    <n v="179.5"/>
    <n v="169.1"/>
    <n v="164.7"/>
    <n v="172.3"/>
    <x v="208"/>
    <n v="502"/>
    <n v="2043.5999999999997"/>
    <n v="341.5"/>
    <n v="876.5"/>
    <n v="179.5"/>
    <n v="6055.2"/>
    <n v="6055.2"/>
  </r>
  <r>
    <x v="2"/>
    <x v="7"/>
    <x v="9"/>
    <n v="156.5"/>
    <n v="213"/>
    <n v="175.2"/>
    <n v="166.6"/>
    <n v="195.8"/>
    <n v="174.2"/>
    <n v="182.1"/>
    <n v="164.3"/>
    <n v="120"/>
    <n v="190"/>
    <n v="168.4"/>
    <n v="185.2"/>
    <n v="175"/>
    <n v="178.3"/>
    <n v="171.3"/>
    <n v="177.3"/>
    <n v="167.8"/>
    <n v="167.4"/>
    <n v="176.1"/>
    <n v="169.7"/>
    <n v="161.6"/>
    <n v="166.3"/>
    <n v="194.6"/>
    <n v="179.6"/>
    <n v="171.4"/>
    <n v="168.4"/>
    <n v="173.4"/>
    <x v="209"/>
    <n v="526.90000000000009"/>
    <n v="2081.3999999999996"/>
    <n v="345.79999999999995"/>
    <n v="880.3"/>
    <n v="179.6"/>
    <n v="6100.7000000000007"/>
    <n v="6100.7000000000007"/>
  </r>
  <r>
    <x v="0"/>
    <x v="8"/>
    <x v="0"/>
    <n v="107.5"/>
    <n v="106.3"/>
    <n v="108.1"/>
    <n v="104.9"/>
    <n v="106.1"/>
    <n v="103.9"/>
    <n v="101.9"/>
    <n v="106.1"/>
    <n v="106.8"/>
    <n v="103.1"/>
    <n v="104.8"/>
    <n v="106.7"/>
    <n v="105.5"/>
    <n v="106.5"/>
    <n v="105.8"/>
    <n v="106.4"/>
    <n v="139.5"/>
    <n v="104.8"/>
    <n v="104"/>
    <n v="104.7"/>
    <n v="103.3"/>
    <n v="103.4"/>
    <n v="105.1"/>
    <n v="105.5"/>
    <n v="103.8"/>
    <n v="104"/>
    <n v="105.1"/>
    <x v="210"/>
    <n v="318.70000000000005"/>
    <n v="1292.8"/>
    <n v="208.7"/>
    <n v="521.79999999999995"/>
    <n v="105.5"/>
    <n v="3713.7"/>
    <n v="3713.7"/>
  </r>
  <r>
    <x v="1"/>
    <x v="8"/>
    <x v="0"/>
    <n v="110.5"/>
    <n v="109.1"/>
    <n v="113"/>
    <n v="103.6"/>
    <n v="103.4"/>
    <n v="102.3"/>
    <n v="102.9"/>
    <n v="105.8"/>
    <n v="105.1"/>
    <n v="101.8"/>
    <n v="105.1"/>
    <n v="107.9"/>
    <n v="105.9"/>
    <n v="105.9"/>
    <n v="105"/>
    <n v="105.8"/>
    <n v="100.3"/>
    <n v="104.8"/>
    <n v="104.1"/>
    <n v="104.3"/>
    <n v="103.2"/>
    <n v="102.9"/>
    <n v="105.2"/>
    <n v="105.4"/>
    <n v="103.5"/>
    <n v="103.7"/>
    <n v="104"/>
    <x v="211"/>
    <n v="316.7"/>
    <n v="1250.4000000000001"/>
    <n v="208.39999999999998"/>
    <n v="520.70000000000005"/>
    <n v="105.4"/>
    <n v="3672.6000000000004"/>
    <n v="3672.6000000000004"/>
  </r>
  <r>
    <x v="2"/>
    <x v="8"/>
    <x v="0"/>
    <n v="108.4"/>
    <n v="107.3"/>
    <n v="110"/>
    <n v="104.4"/>
    <n v="105.1"/>
    <n v="103.2"/>
    <n v="102.2"/>
    <n v="106"/>
    <n v="106.2"/>
    <n v="102.7"/>
    <n v="104.9"/>
    <n v="107.3"/>
    <n v="105.6"/>
    <n v="106.3"/>
    <n v="105.5"/>
    <n v="106.2"/>
    <n v="100.3"/>
    <n v="104.8"/>
    <n v="104"/>
    <n v="104.5"/>
    <n v="103.2"/>
    <n v="103.1"/>
    <n v="105.1"/>
    <n v="105.5"/>
    <n v="103.6"/>
    <n v="103.9"/>
    <n v="104.6"/>
    <x v="212"/>
    <n v="318"/>
    <n v="1252.0999999999999"/>
    <n v="208.5"/>
    <n v="521.19999999999993"/>
    <n v="105.5"/>
    <n v="3673.1"/>
    <n v="3673.1"/>
  </r>
  <r>
    <x v="0"/>
    <x v="8"/>
    <x v="1"/>
    <n v="118.9"/>
    <n v="117.1"/>
    <n v="120.5"/>
    <n v="114.4"/>
    <n v="109"/>
    <n v="115.5"/>
    <n v="123.9"/>
    <n v="109.6"/>
    <n v="101.8"/>
    <n v="110.2"/>
    <n v="112.4"/>
    <n v="117.3"/>
    <n v="116"/>
    <n v="116.5"/>
    <n v="114.5"/>
    <n v="116.2"/>
    <n v="139.5"/>
    <n v="112.6"/>
    <n v="110.6"/>
    <n v="108.3"/>
    <n v="110.5"/>
    <n v="109.6"/>
    <n v="114"/>
    <n v="113"/>
    <n v="111.8"/>
    <n v="110.6"/>
    <n v="114.2"/>
    <x v="213"/>
    <n v="347.2"/>
    <n v="1377.1"/>
    <n v="218.89999999999998"/>
    <n v="559"/>
    <n v="113"/>
    <n v="3988.8"/>
    <n v="3988.8"/>
  </r>
  <r>
    <x v="1"/>
    <x v="8"/>
    <x v="1"/>
    <n v="121.2"/>
    <n v="122"/>
    <n v="129.9"/>
    <n v="113.6"/>
    <n v="102.9"/>
    <n v="112.1"/>
    <n v="118.9"/>
    <n v="107.5"/>
    <n v="96.9"/>
    <n v="112.7"/>
    <n v="112.1"/>
    <n v="119"/>
    <n v="115.5"/>
    <n v="114.8"/>
    <n v="111.3"/>
    <n v="114.3"/>
    <n v="111.6"/>
    <n v="111.9"/>
    <n v="109.7"/>
    <n v="108"/>
    <n v="110.8"/>
    <n v="109.8"/>
    <n v="115.7"/>
    <n v="111"/>
    <n v="111.5"/>
    <n v="110.5"/>
    <n v="112.9"/>
    <x v="214"/>
    <n v="340.4"/>
    <n v="1340.3999999999999"/>
    <n v="217.7"/>
    <n v="558.5"/>
    <n v="111"/>
    <n v="3941.2999999999993"/>
    <n v="3941.2999999999993"/>
  </r>
  <r>
    <x v="2"/>
    <x v="8"/>
    <x v="1"/>
    <n v="119.6"/>
    <n v="118.8"/>
    <n v="124.1"/>
    <n v="114.1"/>
    <n v="106.8"/>
    <n v="113.9"/>
    <n v="122.2"/>
    <n v="108.9"/>
    <n v="100.2"/>
    <n v="111"/>
    <n v="112.3"/>
    <n v="118.1"/>
    <n v="115.8"/>
    <n v="115.8"/>
    <n v="113.2"/>
    <n v="115.4"/>
    <n v="111.6"/>
    <n v="112.3"/>
    <n v="110.3"/>
    <n v="108.2"/>
    <n v="110.7"/>
    <n v="109.7"/>
    <n v="114.5"/>
    <n v="112.2"/>
    <n v="111.6"/>
    <n v="110.6"/>
    <n v="113.6"/>
    <x v="215"/>
    <n v="344.4"/>
    <n v="1345.5"/>
    <n v="218.5"/>
    <n v="558.6"/>
    <n v="112.2"/>
    <n v="3952.7999999999997"/>
    <n v="3952.7999999999997"/>
  </r>
  <r>
    <x v="0"/>
    <x v="8"/>
    <x v="2"/>
    <n v="123.1"/>
    <n v="123.1"/>
    <n v="122.1"/>
    <n v="124.9"/>
    <n v="111"/>
    <n v="130.4"/>
    <n v="132.30000000000001"/>
    <n v="117.2"/>
    <n v="100.5"/>
    <n v="117.2"/>
    <n v="117.9"/>
    <n v="125.6"/>
    <n v="122.8"/>
    <n v="124.4"/>
    <n v="121.6"/>
    <n v="124"/>
    <n v="139.5"/>
    <n v="118.9"/>
    <n v="116.6"/>
    <n v="110.2"/>
    <n v="111"/>
    <n v="114"/>
    <n v="122.7"/>
    <n v="118.4"/>
    <n v="118.2"/>
    <n v="114.5"/>
    <n v="120.3"/>
    <x v="216"/>
    <n v="370"/>
    <n v="1439.5000000000002"/>
    <n v="226.8"/>
    <n v="587.79999999999995"/>
    <n v="118.4"/>
    <n v="4192.2000000000007"/>
    <n v="4192.2000000000007"/>
  </r>
  <r>
    <x v="1"/>
    <x v="8"/>
    <x v="2"/>
    <n v="124"/>
    <n v="125.5"/>
    <n v="126.6"/>
    <n v="125.2"/>
    <n v="104.3"/>
    <n v="121.3"/>
    <n v="134.4"/>
    <n v="122.9"/>
    <n v="96.1"/>
    <n v="126.6"/>
    <n v="116.5"/>
    <n v="128"/>
    <n v="123.5"/>
    <n v="121"/>
    <n v="116.1"/>
    <n v="120.2"/>
    <n v="117.3"/>
    <n v="117.2"/>
    <n v="113.7"/>
    <n v="111.4"/>
    <n v="107.9"/>
    <n v="114.6"/>
    <n v="127.4"/>
    <n v="113.4"/>
    <n v="120.8"/>
    <n v="113.4"/>
    <n v="118.5"/>
    <x v="217"/>
    <n v="357.3"/>
    <n v="1401.0000000000002"/>
    <n v="225.10000000000002"/>
    <n v="589.6"/>
    <n v="113.4"/>
    <n v="4147.8999999999996"/>
    <n v="4147.8999999999996"/>
  </r>
  <r>
    <x v="2"/>
    <x v="8"/>
    <x v="2"/>
    <n v="123.4"/>
    <n v="123.9"/>
    <n v="123.8"/>
    <n v="125"/>
    <n v="108.5"/>
    <n v="126.2"/>
    <n v="133"/>
    <n v="119.1"/>
    <n v="99"/>
    <n v="120.3"/>
    <n v="117.3"/>
    <n v="126.7"/>
    <n v="123.1"/>
    <n v="123.1"/>
    <n v="119.3"/>
    <n v="122.5"/>
    <n v="117.3"/>
    <n v="118.1"/>
    <n v="115.5"/>
    <n v="110.7"/>
    <n v="109.4"/>
    <n v="114.3"/>
    <n v="124"/>
    <n v="116.5"/>
    <n v="119.7"/>
    <n v="114"/>
    <n v="119.5"/>
    <x v="218"/>
    <n v="364.9"/>
    <n v="1410.4"/>
    <n v="226.2"/>
    <n v="588.5"/>
    <n v="116.5"/>
    <n v="4159.2999999999993"/>
    <n v="4159.2999999999993"/>
  </r>
  <r>
    <x v="0"/>
    <x v="8"/>
    <x v="3"/>
    <n v="126.8"/>
    <n v="133.19999999999999"/>
    <n v="126.5"/>
    <n v="130.30000000000001"/>
    <n v="118.9"/>
    <n v="131.6"/>
    <n v="140.1"/>
    <n v="163.80000000000001"/>
    <n v="97.7"/>
    <n v="129.6"/>
    <n v="124.3"/>
    <n v="135.9"/>
    <n v="131.4"/>
    <n v="133.19999999999999"/>
    <n v="128.9"/>
    <n v="132.6"/>
    <n v="139.5"/>
    <n v="126.6"/>
    <n v="123.7"/>
    <n v="114.9"/>
    <n v="113.6"/>
    <n v="121.4"/>
    <n v="133.6"/>
    <n v="126.2"/>
    <n v="126.2"/>
    <n v="120.1"/>
    <n v="128.1"/>
    <x v="219"/>
    <n v="394.70000000000005"/>
    <n v="1520.4"/>
    <n v="238.60000000000002"/>
    <n v="627.5"/>
    <n v="126.2"/>
    <n v="4471.3"/>
    <n v="4471.3"/>
  </r>
  <r>
    <x v="1"/>
    <x v="8"/>
    <x v="3"/>
    <n v="124.7"/>
    <n v="135.9"/>
    <n v="132"/>
    <n v="129.19999999999999"/>
    <n v="109.7"/>
    <n v="119"/>
    <n v="144.1"/>
    <n v="184.2"/>
    <n v="96.7"/>
    <n v="139.5"/>
    <n v="120.5"/>
    <n v="134.69999999999999"/>
    <n v="131.19999999999999"/>
    <n v="125.8"/>
    <n v="119.8"/>
    <n v="124.9"/>
    <n v="123.4"/>
    <n v="121.6"/>
    <n v="119.1"/>
    <n v="114"/>
    <n v="108.9"/>
    <n v="118.5"/>
    <n v="139.5"/>
    <n v="116.9"/>
    <n v="126.4"/>
    <n v="116.8"/>
    <n v="124.2"/>
    <x v="220"/>
    <n v="370.5"/>
    <n v="1458.8000000000002"/>
    <n v="233.1"/>
    <n v="618.09999999999991"/>
    <n v="116.9"/>
    <n v="4381.8999999999996"/>
    <n v="4381.8999999999996"/>
  </r>
  <r>
    <x v="2"/>
    <x v="8"/>
    <x v="3"/>
    <n v="126.1"/>
    <n v="134.1"/>
    <n v="128.6"/>
    <n v="129.9"/>
    <n v="115.5"/>
    <n v="125.7"/>
    <n v="141.5"/>
    <n v="170.7"/>
    <n v="97.4"/>
    <n v="132.9"/>
    <n v="122.7"/>
    <n v="135.30000000000001"/>
    <n v="131.30000000000001"/>
    <n v="130.30000000000001"/>
    <n v="125.1"/>
    <n v="129.5"/>
    <n v="123.4"/>
    <n v="124.2"/>
    <n v="122"/>
    <n v="114.5"/>
    <n v="111.1"/>
    <n v="119.8"/>
    <n v="135.19999999999999"/>
    <n v="122.7"/>
    <n v="126.3"/>
    <n v="118.5"/>
    <n v="126.3"/>
    <x v="221"/>
    <n v="384.9"/>
    <n v="1484.1000000000001"/>
    <n v="236.5"/>
    <n v="622.5"/>
    <n v="122.7"/>
    <n v="4419.7"/>
    <n v="4419.7"/>
  </r>
  <r>
    <x v="0"/>
    <x v="8"/>
    <x v="4"/>
    <n v="133.1"/>
    <n v="137.80000000000001"/>
    <n v="131.9"/>
    <n v="136.69999999999999"/>
    <n v="122"/>
    <n v="136"/>
    <n v="119.8"/>
    <n v="161.69999999999999"/>
    <n v="114.8"/>
    <n v="136.9"/>
    <n v="129"/>
    <n v="143.9"/>
    <n v="133.69999999999999"/>
    <n v="140.69999999999999"/>
    <n v="135.80000000000001"/>
    <n v="140"/>
    <n v="139.5"/>
    <n v="133.19999999999999"/>
    <n v="129.9"/>
    <n v="122.3"/>
    <n v="119.1"/>
    <n v="127"/>
    <n v="143.1"/>
    <n v="132.1"/>
    <n v="134.6"/>
    <n v="126.6"/>
    <n v="132.4"/>
    <x v="222"/>
    <n v="416.5"/>
    <n v="1597.2999999999997"/>
    <n v="252.2"/>
    <n v="663.40000000000009"/>
    <n v="132.1"/>
    <n v="4666.7"/>
    <n v="4666.7"/>
  </r>
  <r>
    <x v="1"/>
    <x v="8"/>
    <x v="4"/>
    <n v="132.19999999999999"/>
    <n v="138.9"/>
    <n v="132.6"/>
    <n v="133.1"/>
    <n v="114"/>
    <n v="129.6"/>
    <n v="118.7"/>
    <n v="155.1"/>
    <n v="117.3"/>
    <n v="144.9"/>
    <n v="123.2"/>
    <n v="141.6"/>
    <n v="132"/>
    <n v="130.19999999999999"/>
    <n v="122.3"/>
    <n v="129"/>
    <n v="129.6"/>
    <n v="125.1"/>
    <n v="122.6"/>
    <n v="120.9"/>
    <n v="115.2"/>
    <n v="122"/>
    <n v="145.6"/>
    <n v="118"/>
    <n v="132.4"/>
    <n v="122.1"/>
    <n v="127.8"/>
    <x v="223"/>
    <n v="381.5"/>
    <n v="1512.9"/>
    <n v="243.5"/>
    <n v="640.1"/>
    <n v="118"/>
    <n v="4491.2"/>
    <n v="4491.2"/>
  </r>
  <r>
    <x v="2"/>
    <x v="8"/>
    <x v="4"/>
    <n v="132.80000000000001"/>
    <n v="138.19999999999999"/>
    <n v="132.19999999999999"/>
    <n v="135.4"/>
    <n v="119.1"/>
    <n v="133"/>
    <n v="119.4"/>
    <n v="159.5"/>
    <n v="115.6"/>
    <n v="139.6"/>
    <n v="126.6"/>
    <n v="142.80000000000001"/>
    <n v="133.1"/>
    <n v="136.6"/>
    <n v="130.19999999999999"/>
    <n v="135.6"/>
    <n v="129.6"/>
    <n v="129.4"/>
    <n v="127.1"/>
    <n v="121.7"/>
    <n v="117"/>
    <n v="124.2"/>
    <n v="143.80000000000001"/>
    <n v="126.8"/>
    <n v="133.30000000000001"/>
    <n v="124.4"/>
    <n v="130.30000000000001"/>
    <x v="224"/>
    <n v="402.4"/>
    <n v="1555.3"/>
    <n v="248.8"/>
    <n v="652.5"/>
    <n v="126.8"/>
    <n v="4586.2999999999993"/>
    <n v="4586.2999999999993"/>
  </r>
  <r>
    <x v="0"/>
    <x v="8"/>
    <x v="5"/>
    <n v="136.6"/>
    <n v="144.4"/>
    <n v="143.80000000000001"/>
    <n v="142"/>
    <n v="123.2"/>
    <n v="147.9"/>
    <n v="152.1"/>
    <n v="131.80000000000001"/>
    <n v="119.5"/>
    <n v="136"/>
    <n v="131.19999999999999"/>
    <n v="151.80000000000001"/>
    <n v="140.4"/>
    <n v="148.30000000000001"/>
    <n v="142.30000000000001"/>
    <n v="147.5"/>
    <n v="139.5"/>
    <n v="139.80000000000001"/>
    <n v="136"/>
    <n v="128.6"/>
    <n v="122.7"/>
    <n v="134.30000000000001"/>
    <n v="153.6"/>
    <n v="142.30000000000001"/>
    <n v="141.6"/>
    <n v="132.30000000000001"/>
    <n v="139.30000000000001"/>
    <x v="225"/>
    <n v="438.1"/>
    <n v="1676.4999999999998"/>
    <n v="264.60000000000002"/>
    <n v="704.09999999999991"/>
    <n v="142.30000000000001"/>
    <n v="4884"/>
    <n v="4884"/>
  </r>
  <r>
    <x v="1"/>
    <x v="8"/>
    <x v="5"/>
    <n v="134.6"/>
    <n v="143.69999999999999"/>
    <n v="143.6"/>
    <n v="139.6"/>
    <n v="116.4"/>
    <n v="133.80000000000001"/>
    <n v="150.5"/>
    <n v="118.4"/>
    <n v="117.3"/>
    <n v="140.5"/>
    <n v="125.9"/>
    <n v="146.80000000000001"/>
    <n v="137.19999999999999"/>
    <n v="136"/>
    <n v="125.9"/>
    <n v="134.4"/>
    <n v="140.4"/>
    <n v="129.5"/>
    <n v="129"/>
    <n v="125.5"/>
    <n v="116.3"/>
    <n v="126.2"/>
    <n v="157.69999999999999"/>
    <n v="127.3"/>
    <n v="137.1"/>
    <n v="125.8"/>
    <n v="134.1"/>
    <x v="226"/>
    <n v="396.29999999999995"/>
    <n v="1585.3"/>
    <n v="254.5"/>
    <n v="674.09999999999991"/>
    <n v="127.3"/>
    <n v="4658.5"/>
    <n v="4658.5"/>
  </r>
  <r>
    <x v="2"/>
    <x v="8"/>
    <x v="5"/>
    <n v="136"/>
    <n v="144.19999999999999"/>
    <n v="143.69999999999999"/>
    <n v="141.1"/>
    <n v="120.7"/>
    <n v="141.30000000000001"/>
    <n v="151.6"/>
    <n v="127.3"/>
    <n v="118.8"/>
    <n v="137.5"/>
    <n v="129"/>
    <n v="149.5"/>
    <n v="139.19999999999999"/>
    <n v="143.5"/>
    <n v="135.5"/>
    <n v="142.30000000000001"/>
    <n v="140.4"/>
    <n v="134.9"/>
    <n v="133.30000000000001"/>
    <n v="127.3"/>
    <n v="119.3"/>
    <n v="129.69999999999999"/>
    <n v="154.69999999999999"/>
    <n v="136.6"/>
    <n v="139"/>
    <n v="129.1"/>
    <n v="136.9"/>
    <x v="227"/>
    <n v="421.3"/>
    <n v="1636.5"/>
    <n v="260.60000000000002"/>
    <n v="689.1"/>
    <n v="136.6"/>
    <n v="4787.4000000000005"/>
    <n v="4787.4000000000005"/>
  </r>
  <r>
    <x v="0"/>
    <x v="8"/>
    <x v="6"/>
    <n v="136.6"/>
    <n v="152.5"/>
    <n v="138.19999999999999"/>
    <n v="142.4"/>
    <n v="123.9"/>
    <n v="135.5"/>
    <n v="131.69999999999999"/>
    <n v="121.3"/>
    <n v="108.4"/>
    <n v="138.9"/>
    <n v="137"/>
    <n v="155.80000000000001"/>
    <n v="137.4"/>
    <n v="150.6"/>
    <n v="145.1"/>
    <n v="149.9"/>
    <n v="139.5"/>
    <n v="150.1"/>
    <n v="149.6"/>
    <n v="133.5"/>
    <n v="128.6"/>
    <n v="142.9"/>
    <n v="162.69999999999999"/>
    <n v="146.19999999999999"/>
    <n v="155.19999999999999"/>
    <n v="141.69999999999999"/>
    <n v="141"/>
    <x v="228"/>
    <n v="445.6"/>
    <n v="1753.9000000000003"/>
    <n v="283.10000000000002"/>
    <n v="748.7"/>
    <n v="146.19999999999999"/>
    <n v="4990.9000000000005"/>
    <n v="4990.9000000000005"/>
  </r>
  <r>
    <x v="1"/>
    <x v="8"/>
    <x v="6"/>
    <n v="138.30000000000001"/>
    <n v="149.4"/>
    <n v="143.5"/>
    <n v="141.69999999999999"/>
    <n v="118.1"/>
    <n v="135.19999999999999"/>
    <n v="130.5"/>
    <n v="118.2"/>
    <n v="110.4"/>
    <n v="140.4"/>
    <n v="128.1"/>
    <n v="153.19999999999999"/>
    <n v="137.30000000000001"/>
    <n v="143"/>
    <n v="130.4"/>
    <n v="141.1"/>
    <n v="147.69999999999999"/>
    <n v="136.30000000000001"/>
    <n v="137.80000000000001"/>
    <n v="131.69999999999999"/>
    <n v="118.6"/>
    <n v="131.9"/>
    <n v="164.7"/>
    <n v="128.6"/>
    <n v="146.6"/>
    <n v="131.80000000000001"/>
    <n v="138"/>
    <x v="229"/>
    <n v="414.5"/>
    <n v="1658.3999999999999"/>
    <n v="269.5"/>
    <n v="703.60000000000014"/>
    <n v="128.6"/>
    <n v="4790.3"/>
    <n v="4790.3"/>
  </r>
  <r>
    <x v="2"/>
    <x v="8"/>
    <x v="6"/>
    <n v="137.1"/>
    <n v="151.4"/>
    <n v="140.19999999999999"/>
    <n v="142.1"/>
    <n v="121.8"/>
    <n v="135.4"/>
    <n v="131.30000000000001"/>
    <n v="120.3"/>
    <n v="109.1"/>
    <n v="139.4"/>
    <n v="133.30000000000001"/>
    <n v="154.6"/>
    <n v="137.4"/>
    <n v="147.6"/>
    <n v="139"/>
    <n v="146.4"/>
    <n v="147.69999999999999"/>
    <n v="143.6"/>
    <n v="145.1"/>
    <n v="132.80000000000001"/>
    <n v="123.3"/>
    <n v="136.69999999999999"/>
    <n v="163.19999999999999"/>
    <n v="139.5"/>
    <n v="150.19999999999999"/>
    <n v="136.9"/>
    <n v="139.6"/>
    <x v="230"/>
    <n v="433"/>
    <n v="1715.1000000000001"/>
    <n v="277.89999999999998"/>
    <n v="726.49999999999989"/>
    <n v="139.5"/>
    <n v="4905.8999999999996"/>
    <n v="4905.8999999999996"/>
  </r>
  <r>
    <x v="0"/>
    <x v="8"/>
    <x v="7"/>
    <n v="143.69999999999999"/>
    <n v="167.3"/>
    <n v="153.5"/>
    <n v="150.5"/>
    <n v="132"/>
    <n v="142.19999999999999"/>
    <n v="191.5"/>
    <n v="141.1"/>
    <n v="113.8"/>
    <n v="151.6"/>
    <n v="139.69999999999999"/>
    <n v="158.69999999999999"/>
    <n v="153"/>
    <n v="152.80000000000001"/>
    <n v="147.4"/>
    <n v="152.1"/>
    <n v="139.5"/>
    <n v="151.69999999999999"/>
    <n v="155.69999999999999"/>
    <n v="142.5"/>
    <n v="136.30000000000001"/>
    <n v="150.1"/>
    <n v="168.6"/>
    <n v="150.4"/>
    <n v="161.69999999999999"/>
    <n v="148.1"/>
    <n v="151.9"/>
    <x v="231"/>
    <n v="452.30000000000007"/>
    <n v="1808.8"/>
    <n v="298.2"/>
    <n v="778.9"/>
    <n v="150.4"/>
    <n v="5276.7999999999993"/>
    <n v="5276.7999999999993"/>
  </r>
  <r>
    <x v="1"/>
    <x v="8"/>
    <x v="7"/>
    <n v="145.6"/>
    <n v="167.6"/>
    <n v="157"/>
    <n v="149.30000000000001"/>
    <n v="126.3"/>
    <n v="144.4"/>
    <n v="207.8"/>
    <n v="139.1"/>
    <n v="114.8"/>
    <n v="149.5"/>
    <n v="131.1"/>
    <n v="158.5"/>
    <n v="154.4"/>
    <n v="147"/>
    <n v="133.19999999999999"/>
    <n v="144.9"/>
    <n v="153.9"/>
    <n v="140.1"/>
    <n v="143.80000000000001"/>
    <n v="142.1"/>
    <n v="126.1"/>
    <n v="137.19999999999999"/>
    <n v="170.8"/>
    <n v="135.1"/>
    <n v="152.1"/>
    <n v="138.4"/>
    <n v="148.19999999999999"/>
    <x v="232"/>
    <n v="425.1"/>
    <n v="1726.3"/>
    <n v="285.89999999999998"/>
    <n v="733.6"/>
    <n v="135.1"/>
    <n v="5116.3"/>
    <n v="5116.3"/>
  </r>
  <r>
    <x v="2"/>
    <x v="8"/>
    <x v="7"/>
    <n v="144.30000000000001"/>
    <n v="167.4"/>
    <n v="154.9"/>
    <n v="150.1"/>
    <n v="129.9"/>
    <n v="143.19999999999999"/>
    <n v="197"/>
    <n v="140.4"/>
    <n v="114.1"/>
    <n v="150.9"/>
    <n v="136.1"/>
    <n v="158.6"/>
    <n v="153.5"/>
    <n v="150.5"/>
    <n v="141.5"/>
    <n v="149.19999999999999"/>
    <n v="153.9"/>
    <n v="146.19999999999999"/>
    <n v="151.19999999999999"/>
    <n v="142.30000000000001"/>
    <n v="130.9"/>
    <n v="142.80000000000001"/>
    <n v="169.2"/>
    <n v="144.6"/>
    <n v="156.1"/>
    <n v="143.4"/>
    <n v="150.19999999999999"/>
    <x v="233"/>
    <n v="441.2"/>
    <n v="1778.3999999999999"/>
    <n v="293.5"/>
    <n v="756.1"/>
    <n v="144.6"/>
    <n v="5209.6000000000004"/>
    <n v="5209.6000000000004"/>
  </r>
  <r>
    <x v="0"/>
    <x v="8"/>
    <x v="8"/>
    <n v="143.4"/>
    <n v="187.5"/>
    <n v="173.4"/>
    <n v="154"/>
    <n v="154.80000000000001"/>
    <n v="147"/>
    <n v="187.8"/>
    <n v="159.5"/>
    <n v="113.8"/>
    <n v="164.5"/>
    <n v="156.1"/>
    <n v="164.3"/>
    <n v="159.6"/>
    <n v="157.5"/>
    <n v="152.4"/>
    <n v="156.80000000000001"/>
    <n v="139.5"/>
    <n v="153.9"/>
    <n v="162.5"/>
    <n v="156.19999999999999"/>
    <n v="147.5"/>
    <n v="155.1"/>
    <n v="184.6"/>
    <n v="150.9"/>
    <n v="163.5"/>
    <n v="155.9"/>
    <n v="158.5"/>
    <x v="234"/>
    <n v="466.7"/>
    <n v="1880.3999999999999"/>
    <n v="318.7"/>
    <n v="810"/>
    <n v="150.9"/>
    <n v="5541.4999999999991"/>
    <n v="5541.4999999999991"/>
  </r>
  <r>
    <x v="1"/>
    <x v="8"/>
    <x v="8"/>
    <n v="148"/>
    <n v="194.8"/>
    <n v="178.4"/>
    <n v="154.4"/>
    <n v="144.1"/>
    <n v="152.6"/>
    <n v="206.8"/>
    <n v="162.1"/>
    <n v="116.3"/>
    <n v="163"/>
    <n v="145.9"/>
    <n v="167.2"/>
    <n v="163.4"/>
    <n v="152.5"/>
    <n v="137.30000000000001"/>
    <n v="150.19999999999999"/>
    <n v="157.69999999999999"/>
    <n v="145.69999999999999"/>
    <n v="154.1"/>
    <n v="157.69999999999999"/>
    <n v="136.9"/>
    <n v="145.4"/>
    <n v="191.8"/>
    <n v="142.9"/>
    <n v="156.1"/>
    <n v="147.6"/>
    <n v="156"/>
    <x v="235"/>
    <n v="440"/>
    <n v="1828.3000000000002"/>
    <n v="311.79999999999995"/>
    <n v="783.80000000000007"/>
    <n v="142.9"/>
    <n v="5460.9000000000005"/>
    <n v="5460.9000000000005"/>
  </r>
  <r>
    <x v="2"/>
    <x v="8"/>
    <x v="8"/>
    <n v="144.9"/>
    <n v="190.1"/>
    <n v="175.3"/>
    <n v="154.1"/>
    <n v="150.9"/>
    <n v="149.6"/>
    <n v="194.2"/>
    <n v="160.4"/>
    <n v="114.6"/>
    <n v="164"/>
    <n v="151.80000000000001"/>
    <n v="165.6"/>
    <n v="161"/>
    <n v="155.5"/>
    <n v="146.1"/>
    <n v="154.19999999999999"/>
    <n v="157.69999999999999"/>
    <n v="150"/>
    <n v="159.30000000000001"/>
    <n v="156.80000000000001"/>
    <n v="141.9"/>
    <n v="149.6"/>
    <n v="186.5"/>
    <n v="147.9"/>
    <n v="159.19999999999999"/>
    <n v="151.9"/>
    <n v="157.30000000000001"/>
    <x v="236"/>
    <n v="455.8"/>
    <n v="1864.7"/>
    <n v="316.10000000000002"/>
    <n v="795.1"/>
    <n v="147.9"/>
    <n v="5508.2000000000007"/>
    <n v="5508.2000000000007"/>
  </r>
  <r>
    <x v="0"/>
    <x v="8"/>
    <x v="9"/>
    <n v="148.30000000000001"/>
    <n v="196.9"/>
    <n v="178"/>
    <n v="160.5"/>
    <n v="192.6"/>
    <n v="151.19999999999999"/>
    <n v="159.19999999999999"/>
    <n v="164"/>
    <n v="119.3"/>
    <n v="173.3"/>
    <n v="169.8"/>
    <n v="175.8"/>
    <n v="164.1"/>
    <n v="173.2"/>
    <n v="169.3"/>
    <n v="172.7"/>
    <n v="139.5"/>
    <n v="164.9"/>
    <n v="174.7"/>
    <n v="163.19999999999999"/>
    <n v="160.80000000000001"/>
    <n v="164.9"/>
    <n v="190.7"/>
    <n v="165.8"/>
    <n v="169.9"/>
    <n v="166.6"/>
    <n v="166.4"/>
    <x v="237"/>
    <n v="515.20000000000005"/>
    <n v="2009.6000000000001"/>
    <n v="337.9"/>
    <n v="857.90000000000009"/>
    <n v="165.8"/>
    <n v="5873.6"/>
    <n v="5873.6"/>
  </r>
  <r>
    <x v="1"/>
    <x v="8"/>
    <x v="9"/>
    <n v="152.19999999999999"/>
    <n v="202.1"/>
    <n v="180.1"/>
    <n v="160.4"/>
    <n v="171"/>
    <n v="156.5"/>
    <n v="203.6"/>
    <n v="163.80000000000001"/>
    <n v="121.3"/>
    <n v="169.8"/>
    <n v="156.6"/>
    <n v="179"/>
    <n v="170.3"/>
    <n v="164.7"/>
    <n v="148.5"/>
    <n v="162.19999999999999"/>
    <n v="164.5"/>
    <n v="156.80000000000001"/>
    <n v="166.1"/>
    <n v="162.80000000000001"/>
    <n v="152.69999999999999"/>
    <n v="158.4"/>
    <n v="196.4"/>
    <n v="161.6"/>
    <n v="161"/>
    <n v="158.6"/>
    <n v="165"/>
    <x v="238"/>
    <n v="475.4"/>
    <n v="1955.7000000000003"/>
    <n v="328.9"/>
    <n v="836"/>
    <n v="161.6"/>
    <n v="5782.7"/>
    <n v="5782.7"/>
  </r>
  <r>
    <x v="2"/>
    <x v="8"/>
    <x v="9"/>
    <n v="149.5"/>
    <n v="198.7"/>
    <n v="178.8"/>
    <n v="160.5"/>
    <n v="184.7"/>
    <n v="153.69999999999999"/>
    <n v="174.3"/>
    <n v="163.9"/>
    <n v="120"/>
    <n v="172.1"/>
    <n v="164.3"/>
    <n v="177.3"/>
    <n v="166.4"/>
    <n v="169.9"/>
    <n v="160.69999999999999"/>
    <n v="168.5"/>
    <n v="164.5"/>
    <n v="161.1"/>
    <n v="171.4"/>
    <n v="163"/>
    <n v="156.5"/>
    <n v="161.19999999999999"/>
    <n v="192.2"/>
    <n v="164.2"/>
    <n v="164.7"/>
    <n v="162.69999999999999"/>
    <n v="165.7"/>
    <x v="54"/>
    <n v="499.1"/>
    <n v="1997.9"/>
    <n v="334.4"/>
    <n v="845"/>
    <n v="164.2"/>
    <n v="5840.5999999999995"/>
    <n v="5840.5999999999995"/>
  </r>
  <r>
    <x v="0"/>
    <x v="8"/>
    <x v="10"/>
    <n v="174"/>
    <n v="208.3"/>
    <n v="192.9"/>
    <n v="174.3"/>
    <n v="192.6"/>
    <n v="156.30000000000001"/>
    <n v="142.9"/>
    <n v="170.7"/>
    <n v="120.3"/>
    <n v="210.5"/>
    <n v="176.9"/>
    <n v="188.5"/>
    <n v="175"/>
    <n v="189"/>
    <n v="186.3"/>
    <n v="188.6"/>
    <n v="139.5"/>
    <n v="177.2"/>
    <n v="184.7"/>
    <n v="178.4"/>
    <n v="168.2"/>
    <n v="171.8"/>
    <n v="196.9"/>
    <n v="183.2"/>
    <n v="177.8"/>
    <n v="176.5"/>
    <n v="177.8"/>
    <x v="239"/>
    <n v="563.9"/>
    <n v="2141.6000000000004"/>
    <n v="363.1"/>
    <n v="906.2"/>
    <n v="183.2"/>
    <n v="6258.0000000000009"/>
    <n v="6258.0000000000009"/>
  </r>
  <r>
    <x v="1"/>
    <x v="8"/>
    <x v="10"/>
    <n v="173.3"/>
    <n v="215.2"/>
    <n v="197"/>
    <n v="175.2"/>
    <n v="178"/>
    <n v="160.5"/>
    <n v="175.3"/>
    <n v="171.2"/>
    <n v="122.7"/>
    <n v="204.3"/>
    <n v="163.69999999999999"/>
    <n v="194.3"/>
    <n v="179.5"/>
    <n v="178.7"/>
    <n v="165.3"/>
    <n v="176.6"/>
    <n v="172.1"/>
    <n v="168"/>
    <n v="178.5"/>
    <n v="178.8"/>
    <n v="159.5"/>
    <n v="167.8"/>
    <n v="201.6"/>
    <n v="180.1"/>
    <n v="171.8"/>
    <n v="168.9"/>
    <n v="174.9"/>
    <x v="240"/>
    <n v="520.6"/>
    <n v="2098.7999999999997"/>
    <n v="357.3"/>
    <n v="890.19999999999993"/>
    <n v="180.1"/>
    <n v="6177.1"/>
    <n v="6177.1"/>
  </r>
  <r>
    <x v="2"/>
    <x v="8"/>
    <x v="10"/>
    <n v="173.8"/>
    <n v="210.7"/>
    <n v="194.5"/>
    <n v="174.6"/>
    <n v="187.2"/>
    <n v="158.30000000000001"/>
    <n v="153.9"/>
    <n v="170.9"/>
    <n v="121.1"/>
    <n v="208.4"/>
    <n v="171.4"/>
    <n v="191.2"/>
    <n v="176.7"/>
    <n v="184.9"/>
    <n v="177.6"/>
    <n v="183.8"/>
    <n v="172.1"/>
    <n v="172.9"/>
    <n v="182.3"/>
    <n v="178.6"/>
    <n v="163.6"/>
    <n v="169.5"/>
    <n v="198.2"/>
    <n v="182"/>
    <n v="174.3"/>
    <n v="172.8"/>
    <n v="176.5"/>
    <x v="241"/>
    <n v="546.29999999999995"/>
    <n v="2139.7999999999997"/>
    <n v="360.9"/>
    <n v="896.8"/>
    <n v="182"/>
    <n v="6236.4999999999991"/>
    <n v="6236.4999999999991"/>
  </r>
  <r>
    <x v="0"/>
    <x v="9"/>
    <x v="0"/>
    <n v="109.2"/>
    <n v="108.7"/>
    <n v="110.2"/>
    <n v="105.4"/>
    <n v="106.7"/>
    <n v="104"/>
    <n v="102.4"/>
    <n v="105.9"/>
    <n v="105.7"/>
    <n v="103.1"/>
    <n v="105.1"/>
    <n v="107.7"/>
    <n v="106.3"/>
    <n v="107.1"/>
    <n v="106.3"/>
    <n v="107"/>
    <n v="139.5"/>
    <n v="105.2"/>
    <n v="104.4"/>
    <n v="104.6"/>
    <n v="103.9"/>
    <n v="104"/>
    <n v="105.6"/>
    <n v="106.2"/>
    <n v="104.1"/>
    <n v="104.4"/>
    <n v="105.8"/>
    <x v="242"/>
    <n v="320.39999999999998"/>
    <n v="1297.8999999999999"/>
    <n v="209"/>
    <n v="524.29999999999995"/>
    <n v="106.2"/>
    <n v="3732"/>
    <n v="3732"/>
  </r>
  <r>
    <x v="1"/>
    <x v="9"/>
    <x v="0"/>
    <n v="112.9"/>
    <n v="112.9"/>
    <n v="116.9"/>
    <n v="104"/>
    <n v="103.5"/>
    <n v="103.1"/>
    <n v="104.9"/>
    <n v="104.1"/>
    <n v="103.8"/>
    <n v="102.3"/>
    <n v="106"/>
    <n v="109"/>
    <n v="107.2"/>
    <n v="106.6"/>
    <n v="105.5"/>
    <n v="106.4"/>
    <n v="100.4"/>
    <n v="105.2"/>
    <n v="104.7"/>
    <n v="104.3"/>
    <n v="104.4"/>
    <n v="103.3"/>
    <n v="106"/>
    <n v="105.7"/>
    <n v="103.7"/>
    <n v="104.3"/>
    <n v="104.7"/>
    <x v="243"/>
    <n v="318.5"/>
    <n v="1256.2"/>
    <n v="209"/>
    <n v="523"/>
    <n v="105.7"/>
    <n v="3697.3"/>
    <n v="3697.3"/>
  </r>
  <r>
    <x v="2"/>
    <x v="9"/>
    <x v="0"/>
    <n v="110.4"/>
    <n v="110.2"/>
    <n v="112.8"/>
    <n v="104.9"/>
    <n v="105.5"/>
    <n v="103.6"/>
    <n v="103.2"/>
    <n v="105.3"/>
    <n v="105.1"/>
    <n v="102.8"/>
    <n v="105.5"/>
    <n v="108.3"/>
    <n v="106.6"/>
    <n v="106.9"/>
    <n v="106"/>
    <n v="106.8"/>
    <n v="100.4"/>
    <n v="105.2"/>
    <n v="104.5"/>
    <n v="104.5"/>
    <n v="104.2"/>
    <n v="103.6"/>
    <n v="105.7"/>
    <n v="106"/>
    <n v="103.9"/>
    <n v="104.4"/>
    <n v="105.3"/>
    <x v="244"/>
    <n v="319.7"/>
    <n v="1257.7000000000003"/>
    <n v="209"/>
    <n v="523.6"/>
    <n v="106"/>
    <n v="3694.2000000000003"/>
    <n v="3694.2000000000003"/>
  </r>
  <r>
    <x v="0"/>
    <x v="9"/>
    <x v="1"/>
    <n v="119.4"/>
    <n v="117.7"/>
    <n v="121.2"/>
    <n v="115"/>
    <n v="109"/>
    <n v="116.6"/>
    <n v="116"/>
    <n v="109.8"/>
    <n v="101.1"/>
    <n v="110.4"/>
    <n v="112.9"/>
    <n v="117.8"/>
    <n v="115.3"/>
    <n v="117.1"/>
    <n v="114.5"/>
    <n v="116.7"/>
    <n v="139.5"/>
    <n v="112.9"/>
    <n v="110.9"/>
    <n v="108.7"/>
    <n v="110.8"/>
    <n v="109.9"/>
    <n v="114.2"/>
    <n v="113.2"/>
    <n v="112"/>
    <n v="110.9"/>
    <n v="114"/>
    <x v="245"/>
    <n v="348.3"/>
    <n v="1380.4"/>
    <n v="219.60000000000002"/>
    <n v="560.20000000000005"/>
    <n v="113.2"/>
    <n v="3990.7"/>
    <n v="3990.7"/>
  </r>
  <r>
    <x v="1"/>
    <x v="9"/>
    <x v="1"/>
    <n v="121.9"/>
    <n v="122"/>
    <n v="124.5"/>
    <n v="115.2"/>
    <n v="102.5"/>
    <n v="114.1"/>
    <n v="111.5"/>
    <n v="108.2"/>
    <n v="95.4"/>
    <n v="113.5"/>
    <n v="112.1"/>
    <n v="119.9"/>
    <n v="115.2"/>
    <n v="115.3"/>
    <n v="111.7"/>
    <n v="114.7"/>
    <n v="112.5"/>
    <n v="112.6"/>
    <n v="110.4"/>
    <n v="108.7"/>
    <n v="111.3"/>
    <n v="110.3"/>
    <n v="116.2"/>
    <n v="111.1"/>
    <n v="111.6"/>
    <n v="111"/>
    <n v="113.1"/>
    <x v="246"/>
    <n v="341.7"/>
    <n v="1346.3999999999996"/>
    <n v="219.10000000000002"/>
    <n v="560.20000000000005"/>
    <n v="111.1"/>
    <n v="3943.3999999999996"/>
    <n v="3943.3999999999996"/>
  </r>
  <r>
    <x v="2"/>
    <x v="9"/>
    <x v="1"/>
    <n v="120.2"/>
    <n v="119.2"/>
    <n v="122.5"/>
    <n v="115.1"/>
    <n v="106.6"/>
    <n v="115.4"/>
    <n v="114.5"/>
    <n v="109.3"/>
    <n v="99.2"/>
    <n v="111.4"/>
    <n v="112.6"/>
    <n v="118.8"/>
    <n v="115.3"/>
    <n v="116.4"/>
    <n v="113.3"/>
    <n v="115.9"/>
    <n v="112.5"/>
    <n v="112.8"/>
    <n v="110.7"/>
    <n v="108.7"/>
    <n v="111.1"/>
    <n v="110.1"/>
    <n v="114.7"/>
    <n v="112.4"/>
    <n v="111.8"/>
    <n v="110.9"/>
    <n v="113.6"/>
    <x v="247"/>
    <n v="345.6"/>
    <n v="1350.4"/>
    <n v="219.4"/>
    <n v="559.90000000000009"/>
    <n v="112.4"/>
    <n v="3955.4"/>
    <n v="3955.4"/>
  </r>
  <r>
    <x v="0"/>
    <x v="9"/>
    <x v="2"/>
    <n v="123.4"/>
    <n v="124.4"/>
    <n v="122.1"/>
    <n v="125.8"/>
    <n v="111.5"/>
    <n v="129.4"/>
    <n v="128.19999999999999"/>
    <n v="118.8"/>
    <n v="100"/>
    <n v="118.6"/>
    <n v="118.8"/>
    <n v="126.8"/>
    <n v="122.8"/>
    <n v="125.4"/>
    <n v="122.7"/>
    <n v="125"/>
    <n v="139.5"/>
    <n v="119.6"/>
    <n v="117.7"/>
    <n v="110.8"/>
    <n v="110.9"/>
    <n v="114.8"/>
    <n v="124.2"/>
    <n v="120"/>
    <n v="118.7"/>
    <n v="115"/>
    <n v="120.6"/>
    <x v="248"/>
    <n v="373.1"/>
    <n v="1449.3000000000002"/>
    <n v="228.5"/>
    <n v="592.70000000000005"/>
    <n v="120"/>
    <n v="4214.2"/>
    <n v="4214.2"/>
  </r>
  <r>
    <x v="1"/>
    <x v="9"/>
    <x v="2"/>
    <n v="124.3"/>
    <n v="126.5"/>
    <n v="119.5"/>
    <n v="125.6"/>
    <n v="104.9"/>
    <n v="121.6"/>
    <n v="131.80000000000001"/>
    <n v="125.1"/>
    <n v="95"/>
    <n v="127.7"/>
    <n v="116.8"/>
    <n v="128.6"/>
    <n v="123.7"/>
    <n v="121.3"/>
    <n v="116.5"/>
    <n v="120.6"/>
    <n v="118.1"/>
    <n v="117.7"/>
    <n v="114.1"/>
    <n v="111.7"/>
    <n v="106.8"/>
    <n v="114.9"/>
    <n v="128.1"/>
    <n v="114"/>
    <n v="120.4"/>
    <n v="113.2"/>
    <n v="118.7"/>
    <x v="249"/>
    <n v="358.4"/>
    <n v="1404.2"/>
    <n v="225.8"/>
    <n v="590.6"/>
    <n v="114"/>
    <n v="4150.1000000000004"/>
    <n v="4150.1000000000004"/>
  </r>
  <r>
    <x v="2"/>
    <x v="9"/>
    <x v="2"/>
    <n v="123.7"/>
    <n v="125.1"/>
    <n v="121.1"/>
    <n v="125.7"/>
    <n v="109.1"/>
    <n v="125.8"/>
    <n v="129.4"/>
    <n v="120.9"/>
    <n v="98.3"/>
    <n v="121.6"/>
    <n v="118"/>
    <n v="127.6"/>
    <n v="123.1"/>
    <n v="123.8"/>
    <n v="120.1"/>
    <n v="123.3"/>
    <n v="118.1"/>
    <n v="118.7"/>
    <n v="116.3"/>
    <n v="111.2"/>
    <n v="108.7"/>
    <n v="114.9"/>
    <n v="125.2"/>
    <n v="117.7"/>
    <n v="119.7"/>
    <n v="114.1"/>
    <n v="119.7"/>
    <x v="250"/>
    <n v="367.2"/>
    <n v="1417.7000000000003"/>
    <n v="227.5"/>
    <n v="591.6"/>
    <n v="117.7"/>
    <n v="4173.4000000000005"/>
    <n v="4173.4000000000005"/>
  </r>
  <r>
    <x v="0"/>
    <x v="9"/>
    <x v="3"/>
    <n v="127.1"/>
    <n v="133.69999999999999"/>
    <n v="127.7"/>
    <n v="130.69999999999999"/>
    <n v="118.5"/>
    <n v="130.4"/>
    <n v="130.9"/>
    <n v="162.80000000000001"/>
    <n v="98.7"/>
    <n v="130.6"/>
    <n v="124.8"/>
    <n v="136.4"/>
    <n v="130.30000000000001"/>
    <n v="133.9"/>
    <n v="129.80000000000001"/>
    <n v="133.4"/>
    <n v="139.5"/>
    <n v="127.1"/>
    <n v="124.3"/>
    <n v="116.8"/>
    <n v="113.9"/>
    <n v="122.3"/>
    <n v="134.4"/>
    <n v="127.5"/>
    <n v="127.1"/>
    <n v="120.9"/>
    <n v="127.9"/>
    <x v="251"/>
    <n v="397.1"/>
    <n v="1530"/>
    <n v="241.1"/>
    <n v="632.19999999999993"/>
    <n v="127.5"/>
    <n v="4483"/>
    <n v="4483"/>
  </r>
  <r>
    <x v="1"/>
    <x v="9"/>
    <x v="3"/>
    <n v="124.8"/>
    <n v="135.1"/>
    <n v="130.30000000000001"/>
    <n v="129.6"/>
    <n v="108.4"/>
    <n v="118.6"/>
    <n v="129.19999999999999"/>
    <n v="176.4"/>
    <n v="99.1"/>
    <n v="139.69999999999999"/>
    <n v="120.6"/>
    <n v="135.19999999999999"/>
    <n v="129.1"/>
    <n v="126.2"/>
    <n v="120.1"/>
    <n v="125.3"/>
    <n v="124.4"/>
    <n v="121.8"/>
    <n v="119.5"/>
    <n v="116.2"/>
    <n v="109.1"/>
    <n v="118.8"/>
    <n v="140"/>
    <n v="116"/>
    <n v="126.3"/>
    <n v="117.2"/>
    <n v="123.8"/>
    <x v="252"/>
    <n v="371.6"/>
    <n v="1463.7"/>
    <n v="235.7"/>
    <n v="618.30000000000007"/>
    <n v="116"/>
    <n v="4365.3999999999996"/>
    <n v="4365.3999999999996"/>
  </r>
  <r>
    <x v="2"/>
    <x v="9"/>
    <x v="3"/>
    <n v="126.4"/>
    <n v="134.19999999999999"/>
    <n v="128.69999999999999"/>
    <n v="130.30000000000001"/>
    <n v="114.8"/>
    <n v="124.9"/>
    <n v="130.30000000000001"/>
    <n v="167.4"/>
    <n v="98.8"/>
    <n v="133.6"/>
    <n v="123"/>
    <n v="135.80000000000001"/>
    <n v="129.9"/>
    <n v="130.9"/>
    <n v="125.8"/>
    <n v="130.19999999999999"/>
    <n v="124.4"/>
    <n v="124.6"/>
    <n v="122.5"/>
    <n v="116.6"/>
    <n v="111.4"/>
    <n v="120.3"/>
    <n v="135.9"/>
    <n v="123.1"/>
    <n v="126.6"/>
    <n v="119.1"/>
    <n v="126"/>
    <x v="253"/>
    <n v="386.9"/>
    <n v="1492.3"/>
    <n v="239.1"/>
    <n v="625"/>
    <n v="123.1"/>
    <n v="4421.3999999999996"/>
    <n v="4421.3999999999996"/>
  </r>
  <r>
    <x v="0"/>
    <x v="9"/>
    <x v="4"/>
    <n v="133.30000000000001"/>
    <n v="138.30000000000001"/>
    <n v="129.30000000000001"/>
    <n v="137.19999999999999"/>
    <n v="122.1"/>
    <n v="138.69999999999999"/>
    <n v="119.1"/>
    <n v="156.9"/>
    <n v="116.2"/>
    <n v="136"/>
    <n v="129.4"/>
    <n v="144.4"/>
    <n v="133.6"/>
    <n v="140.9"/>
    <n v="135.80000000000001"/>
    <n v="140.19999999999999"/>
    <n v="139.5"/>
    <n v="133.6"/>
    <n v="130.1"/>
    <n v="123.2"/>
    <n v="119.5"/>
    <n v="127.7"/>
    <n v="143.69999999999999"/>
    <n v="133.19999999999999"/>
    <n v="134.9"/>
    <n v="127"/>
    <n v="132.6"/>
    <x v="254"/>
    <n v="416.90000000000003"/>
    <n v="1602.3000000000004"/>
    <n v="253.3"/>
    <n v="666.5"/>
    <n v="133.19999999999999"/>
    <n v="4673.5000000000009"/>
    <n v="4673.5000000000009"/>
  </r>
  <r>
    <x v="1"/>
    <x v="9"/>
    <x v="4"/>
    <n v="132.80000000000001"/>
    <n v="139.80000000000001"/>
    <n v="129.30000000000001"/>
    <n v="133.5"/>
    <n v="114.3"/>
    <n v="131.4"/>
    <n v="120.2"/>
    <n v="143.1"/>
    <n v="119.5"/>
    <n v="144"/>
    <n v="123.4"/>
    <n v="141.9"/>
    <n v="132.1"/>
    <n v="130.5"/>
    <n v="122.5"/>
    <n v="129.30000000000001"/>
    <n v="130.5"/>
    <n v="125.3"/>
    <n v="122.9"/>
    <n v="121.7"/>
    <n v="115.5"/>
    <n v="122.2"/>
    <n v="146.30000000000001"/>
    <n v="119.2"/>
    <n v="132.4"/>
    <n v="122.4"/>
    <n v="128.19999999999999"/>
    <x v="255"/>
    <n v="382.3"/>
    <n v="1518.3"/>
    <n v="244.60000000000002"/>
    <n v="642.5"/>
    <n v="119.2"/>
    <n v="4493"/>
    <n v="4493"/>
  </r>
  <r>
    <x v="2"/>
    <x v="9"/>
    <x v="4"/>
    <n v="133.1"/>
    <n v="138.80000000000001"/>
    <n v="129.30000000000001"/>
    <n v="135.80000000000001"/>
    <n v="119.2"/>
    <n v="135.30000000000001"/>
    <n v="119.5"/>
    <n v="152.19999999999999"/>
    <n v="117.3"/>
    <n v="138.69999999999999"/>
    <n v="126.9"/>
    <n v="143.19999999999999"/>
    <n v="133"/>
    <n v="136.80000000000001"/>
    <n v="130.30000000000001"/>
    <n v="135.9"/>
    <n v="130.5"/>
    <n v="129.69999999999999"/>
    <n v="127.4"/>
    <n v="122.6"/>
    <n v="117.4"/>
    <n v="124.6"/>
    <n v="144.4"/>
    <n v="127.9"/>
    <n v="133.4"/>
    <n v="124.8"/>
    <n v="130.6"/>
    <x v="256"/>
    <n v="403"/>
    <n v="1560.9000000000003"/>
    <n v="250"/>
    <n v="655.09999999999991"/>
    <n v="127.9"/>
    <n v="4591.3000000000011"/>
    <n v="4591.3000000000011"/>
  </r>
  <r>
    <x v="0"/>
    <x v="9"/>
    <x v="5"/>
    <n v="136.4"/>
    <n v="143.69999999999999"/>
    <n v="140.6"/>
    <n v="141.5"/>
    <n v="122.9"/>
    <n v="149.4"/>
    <n v="142.4"/>
    <n v="130.19999999999999"/>
    <n v="117.9"/>
    <n v="135.6"/>
    <n v="130.5"/>
    <n v="151.69999999999999"/>
    <n v="138.69999999999999"/>
    <n v="148.69999999999999"/>
    <n v="142.4"/>
    <n v="147.80000000000001"/>
    <n v="139.5"/>
    <n v="139.9"/>
    <n v="136.19999999999999"/>
    <n v="128.80000000000001"/>
    <n v="123.3"/>
    <n v="134.30000000000001"/>
    <n v="153.30000000000001"/>
    <n v="142.4"/>
    <n v="141.5"/>
    <n v="132.5"/>
    <n v="138.5"/>
    <x v="257"/>
    <n v="438.90000000000003"/>
    <n v="1678.1"/>
    <n v="265"/>
    <n v="704"/>
    <n v="142.4"/>
    <n v="4867.5"/>
    <n v="4867.5"/>
  </r>
  <r>
    <x v="1"/>
    <x v="9"/>
    <x v="5"/>
    <n v="134.80000000000001"/>
    <n v="143"/>
    <n v="139.9"/>
    <n v="139.9"/>
    <n v="116.2"/>
    <n v="135.5"/>
    <n v="136.9"/>
    <n v="117"/>
    <n v="115.4"/>
    <n v="140.69999999999999"/>
    <n v="125.9"/>
    <n v="147.1"/>
    <n v="135.6"/>
    <n v="136.30000000000001"/>
    <n v="126.1"/>
    <n v="134.69999999999999"/>
    <n v="141.30000000000001"/>
    <n v="129.9"/>
    <n v="129.80000000000001"/>
    <n v="126.2"/>
    <n v="117.4"/>
    <n v="126.5"/>
    <n v="159.30000000000001"/>
    <n v="127.3"/>
    <n v="137.19999999999999"/>
    <n v="126.5"/>
    <n v="134"/>
    <x v="258"/>
    <n v="397.09999999999997"/>
    <n v="1592"/>
    <n v="256"/>
    <n v="676.8"/>
    <n v="127.3"/>
    <n v="4649.8"/>
    <n v="4649.8"/>
  </r>
  <r>
    <x v="2"/>
    <x v="9"/>
    <x v="5"/>
    <n v="135.9"/>
    <n v="143.5"/>
    <n v="140.30000000000001"/>
    <n v="140.9"/>
    <n v="120.4"/>
    <n v="142.9"/>
    <n v="140.5"/>
    <n v="125.8"/>
    <n v="117.1"/>
    <n v="137.30000000000001"/>
    <n v="128.6"/>
    <n v="149.6"/>
    <n v="137.6"/>
    <n v="143.80000000000001"/>
    <n v="135.6"/>
    <n v="142.6"/>
    <n v="141.30000000000001"/>
    <n v="135.19999999999999"/>
    <n v="133.80000000000001"/>
    <n v="127.7"/>
    <n v="120.2"/>
    <n v="129.9"/>
    <n v="154.9"/>
    <n v="136.69999999999999"/>
    <n v="139"/>
    <n v="129.6"/>
    <n v="136.4"/>
    <x v="259"/>
    <n v="422"/>
    <n v="1640.7000000000003"/>
    <n v="261.5"/>
    <n v="690.1"/>
    <n v="136.69999999999999"/>
    <n v="4774.7"/>
    <n v="4774.7"/>
  </r>
  <r>
    <x v="0"/>
    <x v="9"/>
    <x v="6"/>
    <n v="136.80000000000001"/>
    <n v="153"/>
    <n v="139.1"/>
    <n v="142.5"/>
    <n v="124.1"/>
    <n v="135.80000000000001"/>
    <n v="128.69999999999999"/>
    <n v="121.5"/>
    <n v="108.3"/>
    <n v="139.19999999999999"/>
    <n v="137.4"/>
    <n v="156.19999999999999"/>
    <n v="137.19999999999999"/>
    <n v="150.5"/>
    <n v="146.1"/>
    <n v="149.9"/>
    <n v="139.5"/>
    <n v="150.1"/>
    <n v="149.9"/>
    <n v="134.9"/>
    <n v="129.19999999999999"/>
    <n v="143.4"/>
    <n v="162.80000000000001"/>
    <n v="145.30000000000001"/>
    <n v="155.5"/>
    <n v="142.19999999999999"/>
    <n v="141"/>
    <x v="260"/>
    <n v="446.5"/>
    <n v="1757.1"/>
    <n v="284.8"/>
    <n v="749.2"/>
    <n v="145.30000000000001"/>
    <n v="4997.3999999999996"/>
    <n v="4997.3999999999996"/>
  </r>
  <r>
    <x v="1"/>
    <x v="9"/>
    <x v="6"/>
    <n v="139.4"/>
    <n v="150.1"/>
    <n v="145.30000000000001"/>
    <n v="141.69999999999999"/>
    <n v="118.4"/>
    <n v="137"/>
    <n v="131.6"/>
    <n v="119.9"/>
    <n v="110.4"/>
    <n v="140.80000000000001"/>
    <n v="128.30000000000001"/>
    <n v="153.5"/>
    <n v="138"/>
    <n v="143.30000000000001"/>
    <n v="130.80000000000001"/>
    <n v="141.4"/>
    <n v="148.5"/>
    <n v="136.6"/>
    <n v="138.5"/>
    <n v="133"/>
    <n v="119.2"/>
    <n v="132.19999999999999"/>
    <n v="164.9"/>
    <n v="127.1"/>
    <n v="146.6"/>
    <n v="132.4"/>
    <n v="138.6"/>
    <x v="261"/>
    <n v="415.5"/>
    <n v="1662.1"/>
    <n v="271.5"/>
    <n v="703.2"/>
    <n v="127.1"/>
    <n v="4806.7"/>
    <n v="4806.7"/>
  </r>
  <r>
    <x v="2"/>
    <x v="9"/>
    <x v="6"/>
    <n v="137.6"/>
    <n v="152"/>
    <n v="141.5"/>
    <n v="142.19999999999999"/>
    <n v="122"/>
    <n v="136.4"/>
    <n v="129.69999999999999"/>
    <n v="121"/>
    <n v="109"/>
    <n v="139.69999999999999"/>
    <n v="133.6"/>
    <n v="154.9"/>
    <n v="137.5"/>
    <n v="147.69999999999999"/>
    <n v="139.69999999999999"/>
    <n v="146.5"/>
    <n v="148.5"/>
    <n v="143.69999999999999"/>
    <n v="145.6"/>
    <n v="134.1"/>
    <n v="123.9"/>
    <n v="137.1"/>
    <n v="163.4"/>
    <n v="138.4"/>
    <n v="150.30000000000001"/>
    <n v="137.4"/>
    <n v="139.9"/>
    <x v="262"/>
    <n v="433.9"/>
    <n v="1718.9"/>
    <n v="279.7"/>
    <n v="726.6"/>
    <n v="138.4"/>
    <n v="4916.2000000000007"/>
    <n v="4916.2000000000007"/>
  </r>
  <r>
    <x v="0"/>
    <x v="9"/>
    <x v="7"/>
    <n v="144.19999999999999"/>
    <n v="167.5"/>
    <n v="150.9"/>
    <n v="150.9"/>
    <n v="133.69999999999999"/>
    <n v="140.69999999999999"/>
    <n v="165.1"/>
    <n v="141.80000000000001"/>
    <n v="113.1"/>
    <n v="152.80000000000001"/>
    <n v="140.1"/>
    <n v="159.19999999999999"/>
    <n v="149.80000000000001"/>
    <n v="153"/>
    <n v="147.5"/>
    <n v="152.30000000000001"/>
    <n v="139.5"/>
    <n v="151.80000000000001"/>
    <n v="156.19999999999999"/>
    <n v="143.4"/>
    <n v="136"/>
    <n v="150.4"/>
    <n v="169.4"/>
    <n v="152.30000000000001"/>
    <n v="161.9"/>
    <n v="148.4"/>
    <n v="150.4"/>
    <x v="263"/>
    <n v="452.8"/>
    <n v="1813.7000000000003"/>
    <n v="299.60000000000002"/>
    <n v="782.4"/>
    <n v="152.30000000000001"/>
    <n v="5258.3"/>
    <n v="5258.3"/>
  </r>
  <r>
    <x v="1"/>
    <x v="9"/>
    <x v="7"/>
    <n v="146.19999999999999"/>
    <n v="167.6"/>
    <n v="153.1"/>
    <n v="150.69999999999999"/>
    <n v="127.4"/>
    <n v="143.1"/>
    <n v="181.7"/>
    <n v="139.6"/>
    <n v="114.6"/>
    <n v="150.4"/>
    <n v="131.5"/>
    <n v="159"/>
    <n v="151.69999999999999"/>
    <n v="147.30000000000001"/>
    <n v="133.5"/>
    <n v="145.19999999999999"/>
    <n v="154.80000000000001"/>
    <n v="140.4"/>
    <n v="144.4"/>
    <n v="143.5"/>
    <n v="125.2"/>
    <n v="137.69999999999999"/>
    <n v="172"/>
    <n v="138.9"/>
    <n v="152.19999999999999"/>
    <n v="138.4"/>
    <n v="147.69999999999999"/>
    <x v="264"/>
    <n v="426"/>
    <n v="1735.1000000000001"/>
    <n v="287.89999999999998"/>
    <n v="739.19999999999993"/>
    <n v="138.9"/>
    <n v="5104.7999999999993"/>
    <n v="5104.7999999999993"/>
  </r>
  <r>
    <x v="2"/>
    <x v="9"/>
    <x v="7"/>
    <n v="144.80000000000001"/>
    <n v="167.5"/>
    <n v="151.80000000000001"/>
    <n v="150.80000000000001"/>
    <n v="131.4"/>
    <n v="141.80000000000001"/>
    <n v="170.7"/>
    <n v="141.1"/>
    <n v="113.6"/>
    <n v="152"/>
    <n v="136.5"/>
    <n v="159.1"/>
    <n v="150.5"/>
    <n v="150.80000000000001"/>
    <n v="141.69999999999999"/>
    <n v="149.5"/>
    <n v="154.80000000000001"/>
    <n v="146.4"/>
    <n v="151.69999999999999"/>
    <n v="143.4"/>
    <n v="130.30000000000001"/>
    <n v="143.19999999999999"/>
    <n v="170.1"/>
    <n v="147.19999999999999"/>
    <n v="156.19999999999999"/>
    <n v="143.6"/>
    <n v="149.1"/>
    <x v="265"/>
    <n v="442"/>
    <n v="1785.3"/>
    <n v="295.10000000000002"/>
    <n v="760.3"/>
    <n v="147.19999999999999"/>
    <n v="5194.3"/>
    <n v="5194.3"/>
  </r>
  <r>
    <x v="0"/>
    <x v="9"/>
    <x v="8"/>
    <n v="142.80000000000001"/>
    <n v="184"/>
    <n v="168"/>
    <n v="154.4"/>
    <n v="163"/>
    <n v="147.80000000000001"/>
    <n v="149.69999999999999"/>
    <n v="158.30000000000001"/>
    <n v="111.8"/>
    <n v="165"/>
    <n v="160"/>
    <n v="165.8"/>
    <n v="154.69999999999999"/>
    <n v="159.1"/>
    <n v="153.9"/>
    <n v="158.4"/>
    <n v="139.5"/>
    <n v="154.80000000000001"/>
    <n v="164.3"/>
    <n v="155.19999999999999"/>
    <n v="150.19999999999999"/>
    <n v="157"/>
    <n v="186.5"/>
    <n v="154.4"/>
    <n v="163.6"/>
    <n v="157.19999999999999"/>
    <n v="156.69999999999999"/>
    <x v="266"/>
    <n v="471.4"/>
    <n v="1896.9"/>
    <n v="319.5"/>
    <n v="818.7"/>
    <n v="154.4"/>
    <n v="5531.8"/>
    <n v="5531.8"/>
  </r>
  <r>
    <x v="1"/>
    <x v="9"/>
    <x v="8"/>
    <n v="147.6"/>
    <n v="191.2"/>
    <n v="169.9"/>
    <n v="155.1"/>
    <n v="151.4"/>
    <n v="154"/>
    <n v="180.2"/>
    <n v="159.80000000000001"/>
    <n v="114.9"/>
    <n v="162.5"/>
    <n v="149.19999999999999"/>
    <n v="169.4"/>
    <n v="160.80000000000001"/>
    <n v="154.19999999999999"/>
    <n v="138.19999999999999"/>
    <n v="151.80000000000001"/>
    <n v="159.80000000000001"/>
    <n v="146.5"/>
    <n v="156.30000000000001"/>
    <n v="156.69999999999999"/>
    <n v="140.5"/>
    <n v="147.30000000000001"/>
    <n v="193.3"/>
    <n v="149.1"/>
    <n v="156.6"/>
    <n v="149.30000000000001"/>
    <n v="156.5"/>
    <x v="267"/>
    <n v="444.2"/>
    <n v="1850.2999999999997"/>
    <n v="313"/>
    <n v="795.60000000000014"/>
    <n v="149.1"/>
    <n v="5469.1"/>
    <n v="5469.1"/>
  </r>
  <r>
    <x v="2"/>
    <x v="9"/>
    <x v="8"/>
    <n v="144.30000000000001"/>
    <n v="186.5"/>
    <n v="168.7"/>
    <n v="154.69999999999999"/>
    <n v="158.69999999999999"/>
    <n v="150.69999999999999"/>
    <n v="160"/>
    <n v="158.80000000000001"/>
    <n v="112.8"/>
    <n v="164.2"/>
    <n v="155.5"/>
    <n v="167.5"/>
    <n v="156.9"/>
    <n v="157.19999999999999"/>
    <n v="147.4"/>
    <n v="155.80000000000001"/>
    <n v="159.80000000000001"/>
    <n v="150.9"/>
    <n v="161.30000000000001"/>
    <n v="155.80000000000001"/>
    <n v="145.1"/>
    <n v="151.5"/>
    <n v="188.3"/>
    <n v="152.4"/>
    <n v="159.5"/>
    <n v="153.4"/>
    <n v="156.6"/>
    <x v="268"/>
    <n v="460.40000000000003"/>
    <n v="1885"/>
    <n v="317.10000000000002"/>
    <n v="805.1"/>
    <n v="152.4"/>
    <n v="5506.9000000000015"/>
    <n v="5506.9000000000015"/>
  </r>
  <r>
    <x v="0"/>
    <x v="9"/>
    <x v="9"/>
    <n v="148.80000000000001"/>
    <n v="198.1"/>
    <n v="175.5"/>
    <n v="160.69999999999999"/>
    <n v="192.6"/>
    <n v="151.4"/>
    <n v="155.19999999999999"/>
    <n v="163.9"/>
    <n v="118.1"/>
    <n v="175.4"/>
    <n v="170.5"/>
    <n v="176.3"/>
    <n v="163.9"/>
    <n v="174.1"/>
    <n v="171"/>
    <n v="173.7"/>
    <n v="139.5"/>
    <n v="165.7"/>
    <n v="175.3"/>
    <n v="164.5"/>
    <n v="161.19999999999999"/>
    <n v="165.5"/>
    <n v="191.5"/>
    <n v="167.4"/>
    <n v="170.3"/>
    <n v="167.3"/>
    <n v="166.7"/>
    <x v="269"/>
    <n v="518.79999999999995"/>
    <n v="2019.7"/>
    <n v="339.8"/>
    <n v="862"/>
    <n v="167.4"/>
    <n v="5890.7"/>
    <n v="5890.7"/>
  </r>
  <r>
    <x v="1"/>
    <x v="9"/>
    <x v="9"/>
    <n v="152.5"/>
    <n v="205.2"/>
    <n v="176.4"/>
    <n v="160.6"/>
    <n v="171.5"/>
    <n v="156.4"/>
    <n v="198"/>
    <n v="163.19999999999999"/>
    <n v="120.6"/>
    <n v="172.2"/>
    <n v="156.69999999999999"/>
    <n v="180"/>
    <n v="170.2"/>
    <n v="165.7"/>
    <n v="150.4"/>
    <n v="163.4"/>
    <n v="165.5"/>
    <n v="157.4"/>
    <n v="167.2"/>
    <n v="164.2"/>
    <n v="153.1"/>
    <n v="159.5"/>
    <n v="196.5"/>
    <n v="163"/>
    <n v="162"/>
    <n v="159.4"/>
    <n v="165.5"/>
    <x v="270"/>
    <n v="479.5"/>
    <n v="1967.8999999999999"/>
    <n v="331.4"/>
    <n v="840.4"/>
    <n v="163"/>
    <n v="5802.6999999999989"/>
    <n v="5802.6999999999989"/>
  </r>
  <r>
    <x v="2"/>
    <x v="9"/>
    <x v="9"/>
    <n v="150"/>
    <n v="200.6"/>
    <n v="175.8"/>
    <n v="160.69999999999999"/>
    <n v="184.9"/>
    <n v="153.69999999999999"/>
    <n v="169.7"/>
    <n v="163.69999999999999"/>
    <n v="118.9"/>
    <n v="174.3"/>
    <n v="164.7"/>
    <n v="178"/>
    <n v="166.2"/>
    <n v="170.8"/>
    <n v="162.4"/>
    <n v="169.6"/>
    <n v="165.5"/>
    <n v="161.80000000000001"/>
    <n v="172.2"/>
    <n v="164.4"/>
    <n v="156.9"/>
    <n v="162.1"/>
    <n v="192.8"/>
    <n v="165.7"/>
    <n v="165.4"/>
    <n v="163.5"/>
    <n v="166.1"/>
    <x v="271"/>
    <n v="502.80000000000007"/>
    <n v="2009.6000000000004"/>
    <n v="336.6"/>
    <n v="849.49999999999989"/>
    <n v="165.7"/>
    <n v="5859.7000000000007"/>
    <n v="5859.7000000000007"/>
  </r>
  <r>
    <x v="0"/>
    <x v="9"/>
    <x v="10"/>
    <n v="174.2"/>
    <n v="205.2"/>
    <n v="173.9"/>
    <n v="177"/>
    <n v="183.4"/>
    <n v="167.2"/>
    <n v="140.9"/>
    <n v="170.4"/>
    <n v="119.1"/>
    <n v="212.1"/>
    <n v="177.6"/>
    <n v="189.9"/>
    <n v="174.8"/>
    <n v="190"/>
    <n v="187"/>
    <n v="189.6"/>
    <n v="139.5"/>
    <n v="178.6"/>
    <n v="186.6"/>
    <n v="180.7"/>
    <n v="169"/>
    <n v="172.8"/>
    <n v="198.3"/>
    <n v="181.6"/>
    <n v="178.5"/>
    <n v="177.9"/>
    <n v="178"/>
    <x v="272"/>
    <n v="566.6"/>
    <n v="2152.1999999999998"/>
    <n v="367.29999999999995"/>
    <n v="909.1"/>
    <n v="181.6"/>
    <n v="6260.9000000000005"/>
    <n v="6260.9000000000005"/>
  </r>
  <r>
    <x v="1"/>
    <x v="9"/>
    <x v="10"/>
    <n v="174.7"/>
    <n v="212.2"/>
    <n v="177.2"/>
    <n v="177.9"/>
    <n v="172.2"/>
    <n v="172.1"/>
    <n v="175.8"/>
    <n v="172.2"/>
    <n v="121.9"/>
    <n v="204.8"/>
    <n v="164.9"/>
    <n v="196.6"/>
    <n v="180.7"/>
    <n v="180.3"/>
    <n v="167"/>
    <n v="178.2"/>
    <n v="173.5"/>
    <n v="169.2"/>
    <n v="180.8"/>
    <n v="181.4"/>
    <n v="159.80000000000001"/>
    <n v="168.4"/>
    <n v="202.7"/>
    <n v="182.8"/>
    <n v="172.5"/>
    <n v="170"/>
    <n v="176.3"/>
    <x v="273"/>
    <n v="525.5"/>
    <n v="2116.6000000000004"/>
    <n v="362.20000000000005"/>
    <n v="896.40000000000009"/>
    <n v="182.8"/>
    <n v="6203.9"/>
    <n v="6203.9"/>
  </r>
  <r>
    <x v="2"/>
    <x v="9"/>
    <x v="10"/>
    <n v="174.4"/>
    <n v="207.7"/>
    <n v="175.2"/>
    <n v="177.3"/>
    <n v="179.3"/>
    <n v="169.5"/>
    <n v="152.69999999999999"/>
    <n v="171"/>
    <n v="120"/>
    <n v="209.7"/>
    <n v="172.3"/>
    <n v="193"/>
    <n v="177"/>
    <n v="186.2"/>
    <n v="178.7"/>
    <n v="185.1"/>
    <n v="173.5"/>
    <n v="174.2"/>
    <n v="184.4"/>
    <n v="181"/>
    <n v="164.2"/>
    <n v="170.3"/>
    <n v="199.5"/>
    <n v="182.1"/>
    <n v="175"/>
    <n v="174.1"/>
    <n v="177.2"/>
    <x v="274"/>
    <n v="550"/>
    <n v="2154.1999999999998"/>
    <n v="365.4"/>
    <n v="901"/>
    <n v="182.1"/>
    <n v="6249.6999999999989"/>
    <n v="6249.6999999999989"/>
  </r>
  <r>
    <x v="0"/>
    <x v="10"/>
    <x v="0"/>
    <n v="118.4"/>
    <n v="115.9"/>
    <n v="120.4"/>
    <n v="113.8"/>
    <n v="109.5"/>
    <n v="115.5"/>
    <n v="145.69999999999999"/>
    <n v="109.5"/>
    <n v="102.9"/>
    <n v="109.8"/>
    <n v="112.1"/>
    <n v="116.8"/>
    <n v="118.7"/>
    <n v="115.8"/>
    <n v="114"/>
    <n v="115.5"/>
    <n v="139.5"/>
    <n v="112.1"/>
    <n v="110.1"/>
    <n v="108.1"/>
    <n v="109.9"/>
    <n v="109.2"/>
    <n v="113.6"/>
    <n v="112.8"/>
    <n v="111.6"/>
    <n v="110.1"/>
    <n v="115.5"/>
    <x v="275"/>
    <n v="345.3"/>
    <n v="1372.1999999999998"/>
    <n v="218.2"/>
    <n v="557.30000000000007"/>
    <n v="112.8"/>
    <n v="4002"/>
    <n v="4002"/>
  </r>
  <r>
    <x v="1"/>
    <x v="10"/>
    <x v="0"/>
    <n v="120.5"/>
    <n v="118.1"/>
    <n v="128.5"/>
    <n v="112.8"/>
    <n v="103.4"/>
    <n v="110.7"/>
    <n v="144.80000000000001"/>
    <n v="107.1"/>
    <n v="98.6"/>
    <n v="111.9"/>
    <n v="112.1"/>
    <n v="118.1"/>
    <n v="117.8"/>
    <n v="114.2"/>
    <n v="110.9"/>
    <n v="113.7"/>
    <n v="110.7"/>
    <n v="111.3"/>
    <n v="109"/>
    <n v="107.7"/>
    <n v="109.7"/>
    <n v="108.9"/>
    <n v="115"/>
    <n v="110.4"/>
    <n v="111.4"/>
    <n v="109.8"/>
    <n v="113.3"/>
    <x v="276"/>
    <n v="338.8"/>
    <n v="1332.9"/>
    <n v="216.7"/>
    <n v="555.5"/>
    <n v="110.4"/>
    <n v="3948.3"/>
    <n v="3948.3"/>
  </r>
  <r>
    <x v="2"/>
    <x v="10"/>
    <x v="0"/>
    <n v="119.1"/>
    <n v="116.7"/>
    <n v="123.5"/>
    <n v="113.4"/>
    <n v="107.3"/>
    <n v="113.3"/>
    <n v="145.4"/>
    <n v="108.7"/>
    <n v="101.5"/>
    <n v="110.5"/>
    <n v="112.1"/>
    <n v="117.4"/>
    <n v="118.4"/>
    <n v="115.2"/>
    <n v="112.7"/>
    <n v="114.8"/>
    <n v="110.7"/>
    <n v="111.7"/>
    <n v="109.7"/>
    <n v="107.9"/>
    <n v="109.8"/>
    <n v="109"/>
    <n v="114"/>
    <n v="111.9"/>
    <n v="111.5"/>
    <n v="110"/>
    <n v="114.5"/>
    <x v="277"/>
    <n v="342.7"/>
    <n v="1338.9"/>
    <n v="217.60000000000002"/>
    <n v="556.4"/>
    <n v="111.9"/>
    <n v="3962.9000000000005"/>
    <n v="3962.9000000000005"/>
  </r>
  <r>
    <x v="0"/>
    <x v="10"/>
    <x v="1"/>
    <n v="122.4"/>
    <n v="122.4"/>
    <n v="121.8"/>
    <n v="124.2"/>
    <n v="110.2"/>
    <n v="128.6"/>
    <n v="140.30000000000001"/>
    <n v="116.3"/>
    <n v="102"/>
    <n v="116"/>
    <n v="117.3"/>
    <n v="124.8"/>
    <n v="123.3"/>
    <n v="123.8"/>
    <n v="120.6"/>
    <n v="123.3"/>
    <n v="139.5"/>
    <n v="118.2"/>
    <n v="116.2"/>
    <n v="109.4"/>
    <n v="111.5"/>
    <n v="113.3"/>
    <n v="121.7"/>
    <n v="117.4"/>
    <n v="117.7"/>
    <n v="114.2"/>
    <n v="120.3"/>
    <x v="278"/>
    <n v="367.7"/>
    <n v="1432.6000000000001"/>
    <n v="225.60000000000002"/>
    <n v="584.29999999999995"/>
    <n v="117.4"/>
    <n v="4179.8"/>
    <n v="4179.8"/>
  </r>
  <r>
    <x v="1"/>
    <x v="10"/>
    <x v="1"/>
    <n v="124"/>
    <n v="124.7"/>
    <n v="126.3"/>
    <n v="124.9"/>
    <n v="103"/>
    <n v="122.3"/>
    <n v="141"/>
    <n v="120.1"/>
    <n v="97.8"/>
    <n v="125.4"/>
    <n v="116.1"/>
    <n v="127.6"/>
    <n v="124"/>
    <n v="120.7"/>
    <n v="115.8"/>
    <n v="120"/>
    <n v="116.5"/>
    <n v="116.8"/>
    <n v="113.2"/>
    <n v="110.4"/>
    <n v="108.8"/>
    <n v="114.3"/>
    <n v="126.4"/>
    <n v="113"/>
    <n v="120.7"/>
    <n v="113.4"/>
    <n v="118.4"/>
    <x v="279"/>
    <n v="356.5"/>
    <n v="1396.6000000000001"/>
    <n v="223.60000000000002"/>
    <n v="587.79999999999995"/>
    <n v="113"/>
    <n v="4141.7"/>
    <n v="4141.7"/>
  </r>
  <r>
    <x v="2"/>
    <x v="10"/>
    <x v="1"/>
    <n v="122.9"/>
    <n v="123.2"/>
    <n v="123.5"/>
    <n v="124.5"/>
    <n v="107.6"/>
    <n v="125.7"/>
    <n v="140.5"/>
    <n v="117.6"/>
    <n v="100.6"/>
    <n v="119.1"/>
    <n v="116.8"/>
    <n v="126.1"/>
    <n v="123.6"/>
    <n v="122.6"/>
    <n v="118.6"/>
    <n v="122"/>
    <n v="116.5"/>
    <n v="117.5"/>
    <n v="115.1"/>
    <n v="109.8"/>
    <n v="110.1"/>
    <n v="113.9"/>
    <n v="123"/>
    <n v="115.7"/>
    <n v="119.5"/>
    <n v="113.8"/>
    <n v="119.4"/>
    <x v="280"/>
    <n v="363.2"/>
    <n v="1404.3000000000002"/>
    <n v="224.89999999999998"/>
    <n v="585.9"/>
    <n v="115.7"/>
    <n v="4150"/>
    <n v="4150"/>
  </r>
  <r>
    <x v="0"/>
    <x v="10"/>
    <x v="2"/>
    <n v="126.3"/>
    <n v="131.30000000000001"/>
    <n v="123.3"/>
    <n v="129.80000000000001"/>
    <n v="118.3"/>
    <n v="131.6"/>
    <n v="145.5"/>
    <n v="162.1"/>
    <n v="95.4"/>
    <n v="128.9"/>
    <n v="123.3"/>
    <n v="135.1"/>
    <n v="131.4"/>
    <n v="132.5"/>
    <n v="128.5"/>
    <n v="131.9"/>
    <n v="139.5"/>
    <n v="126"/>
    <n v="123.1"/>
    <n v="114.1"/>
    <n v="114"/>
    <n v="121.6"/>
    <n v="133.1"/>
    <n v="125.7"/>
    <n v="125.6"/>
    <n v="119.8"/>
    <n v="127.9"/>
    <x v="281"/>
    <n v="392.9"/>
    <n v="1515.6"/>
    <n v="237.2"/>
    <n v="625.79999999999995"/>
    <n v="125.7"/>
    <n v="4453.8"/>
    <n v="4453.8"/>
  </r>
  <r>
    <x v="1"/>
    <x v="10"/>
    <x v="2"/>
    <n v="124.3"/>
    <n v="131.69999999999999"/>
    <n v="127.1"/>
    <n v="128.6"/>
    <n v="110"/>
    <n v="120.8"/>
    <n v="149"/>
    <n v="190.1"/>
    <n v="92.7"/>
    <n v="138.6"/>
    <n v="120.2"/>
    <n v="134.19999999999999"/>
    <n v="131.5"/>
    <n v="125.4"/>
    <n v="119.5"/>
    <n v="124.5"/>
    <n v="122.4"/>
    <n v="121"/>
    <n v="118.6"/>
    <n v="113.2"/>
    <n v="109.3"/>
    <n v="118.1"/>
    <n v="138.19999999999999"/>
    <n v="116"/>
    <n v="126.6"/>
    <n v="116.7"/>
    <n v="124"/>
    <x v="282"/>
    <n v="369.4"/>
    <n v="1452.8"/>
    <n v="231.8"/>
    <n v="615.6"/>
    <n v="116"/>
    <n v="4368.4000000000005"/>
    <n v="4368.4000000000005"/>
  </r>
  <r>
    <x v="2"/>
    <x v="10"/>
    <x v="2"/>
    <n v="125.7"/>
    <n v="131.4"/>
    <n v="124.8"/>
    <n v="129.4"/>
    <n v="115.3"/>
    <n v="126.6"/>
    <n v="146.69999999999999"/>
    <n v="171.5"/>
    <n v="94.5"/>
    <n v="132.1"/>
    <n v="122"/>
    <n v="134.69999999999999"/>
    <n v="131.4"/>
    <n v="129.69999999999999"/>
    <n v="124.8"/>
    <n v="129"/>
    <n v="122.4"/>
    <n v="123.6"/>
    <n v="121.4"/>
    <n v="113.7"/>
    <n v="111.5"/>
    <n v="119.6"/>
    <n v="134.5"/>
    <n v="122"/>
    <n v="126.2"/>
    <n v="118.3"/>
    <n v="126.1"/>
    <x v="283"/>
    <n v="383.5"/>
    <n v="1478.4"/>
    <n v="235.10000000000002"/>
    <n v="620.6"/>
    <n v="122"/>
    <n v="4403.7000000000007"/>
    <n v="4403.7000000000007"/>
  </r>
  <r>
    <x v="0"/>
    <x v="10"/>
    <x v="3"/>
    <n v="132.6"/>
    <n v="137.30000000000001"/>
    <n v="131.6"/>
    <n v="136.30000000000001"/>
    <n v="121.6"/>
    <n v="135.6"/>
    <n v="127.5"/>
    <n v="167.9"/>
    <n v="113.8"/>
    <n v="137.5"/>
    <n v="129.1"/>
    <n v="143.6"/>
    <n v="134.69999999999999"/>
    <n v="140.4"/>
    <n v="135.19999999999999"/>
    <n v="139.69999999999999"/>
    <n v="139.5"/>
    <n v="132.9"/>
    <n v="129.69999999999999"/>
    <n v="121.9"/>
    <n v="118.6"/>
    <n v="127.3"/>
    <n v="142.4"/>
    <n v="132"/>
    <n v="134.19999999999999"/>
    <n v="126.3"/>
    <n v="132.80000000000001"/>
    <x v="284"/>
    <n v="415.3"/>
    <n v="1593.8"/>
    <n v="251.6"/>
    <n v="662.19999999999993"/>
    <n v="132"/>
    <n v="4672"/>
    <n v="4672"/>
  </r>
  <r>
    <x v="1"/>
    <x v="10"/>
    <x v="3"/>
    <n v="131.6"/>
    <n v="138.19999999999999"/>
    <n v="134.9"/>
    <n v="133.1"/>
    <n v="113.5"/>
    <n v="129.30000000000001"/>
    <n v="121.1"/>
    <n v="170.3"/>
    <n v="115.5"/>
    <n v="145.5"/>
    <n v="123.1"/>
    <n v="140.9"/>
    <n v="132.80000000000001"/>
    <n v="130"/>
    <n v="122.2"/>
    <n v="128.80000000000001"/>
    <n v="128.5"/>
    <n v="125"/>
    <n v="122.3"/>
    <n v="119.9"/>
    <n v="113.7"/>
    <n v="121.8"/>
    <n v="145"/>
    <n v="117.8"/>
    <n v="132.30000000000001"/>
    <n v="121.4"/>
    <n v="127.6"/>
    <x v="285"/>
    <n v="381"/>
    <n v="1507.3"/>
    <n v="242.2"/>
    <n v="638.30000000000007"/>
    <n v="117.8"/>
    <n v="4498.6000000000004"/>
    <n v="4498.6000000000004"/>
  </r>
  <r>
    <x v="2"/>
    <x v="10"/>
    <x v="3"/>
    <n v="132.30000000000001"/>
    <n v="137.6"/>
    <n v="132.9"/>
    <n v="135.1"/>
    <n v="118.6"/>
    <n v="132.69999999999999"/>
    <n v="125.3"/>
    <n v="168.7"/>
    <n v="114.4"/>
    <n v="140.19999999999999"/>
    <n v="126.6"/>
    <n v="142.30000000000001"/>
    <n v="134"/>
    <n v="136.30000000000001"/>
    <n v="129.80000000000001"/>
    <n v="135.4"/>
    <n v="128.5"/>
    <n v="129.19999999999999"/>
    <n v="126.9"/>
    <n v="121.1"/>
    <n v="116"/>
    <n v="124.2"/>
    <n v="143.1"/>
    <n v="126.6"/>
    <n v="133.1"/>
    <n v="123.9"/>
    <n v="130.4"/>
    <x v="286"/>
    <n v="401.5"/>
    <n v="1550.1999999999998"/>
    <n v="248"/>
    <n v="650.9"/>
    <n v="126.6"/>
    <n v="4591.2999999999993"/>
    <n v="4591.2999999999993"/>
  </r>
  <r>
    <x v="0"/>
    <x v="10"/>
    <x v="4"/>
    <n v="136.4"/>
    <n v="143.69999999999999"/>
    <n v="144.80000000000001"/>
    <n v="141.9"/>
    <n v="123.1"/>
    <n v="147.19999999999999"/>
    <n v="161"/>
    <n v="133.80000000000001"/>
    <n v="121.9"/>
    <n v="135.80000000000001"/>
    <n v="131.1"/>
    <n v="151.4"/>
    <n v="141.5"/>
    <n v="148"/>
    <n v="141.9"/>
    <n v="147.19999999999999"/>
    <n v="139.5"/>
    <n v="139.5"/>
    <n v="136.1"/>
    <n v="127.8"/>
    <n v="122"/>
    <n v="133.4"/>
    <n v="153.19999999999999"/>
    <n v="142.6"/>
    <n v="141.1"/>
    <n v="131.9"/>
    <n v="139.80000000000001"/>
    <x v="287"/>
    <n v="437.09999999999997"/>
    <n v="1672.3"/>
    <n v="263.89999999999998"/>
    <n v="702.2"/>
    <n v="142.6"/>
    <n v="4889.0999999999995"/>
    <n v="4889.0999999999995"/>
  </r>
  <r>
    <x v="1"/>
    <x v="10"/>
    <x v="4"/>
    <n v="134.4"/>
    <n v="142.6"/>
    <n v="145.9"/>
    <n v="139.5"/>
    <n v="115.9"/>
    <n v="135"/>
    <n v="163.19999999999999"/>
    <n v="119.8"/>
    <n v="120.7"/>
    <n v="139.69999999999999"/>
    <n v="125.7"/>
    <n v="146.30000000000001"/>
    <n v="138.80000000000001"/>
    <n v="135.6"/>
    <n v="125.6"/>
    <n v="134"/>
    <n v="139.1"/>
    <n v="129.30000000000001"/>
    <n v="128.19999999999999"/>
    <n v="124.6"/>
    <n v="115.3"/>
    <n v="125.6"/>
    <n v="157"/>
    <n v="126.8"/>
    <n v="136.69999999999999"/>
    <n v="125.1"/>
    <n v="134.1"/>
    <x v="288"/>
    <n v="395.2"/>
    <n v="1577.8"/>
    <n v="252.79999999999998"/>
    <n v="671.2"/>
    <n v="126.8"/>
    <n v="4664.5"/>
    <n v="4664.5"/>
  </r>
  <r>
    <x v="2"/>
    <x v="10"/>
    <x v="4"/>
    <n v="135.80000000000001"/>
    <n v="143.30000000000001"/>
    <n v="145.19999999999999"/>
    <n v="141"/>
    <n v="120.5"/>
    <n v="141.5"/>
    <n v="161.69999999999999"/>
    <n v="129.1"/>
    <n v="121.5"/>
    <n v="137.1"/>
    <n v="128.80000000000001"/>
    <n v="149"/>
    <n v="140.5"/>
    <n v="143.1"/>
    <n v="135.1"/>
    <n v="142"/>
    <n v="139.1"/>
    <n v="134.69999999999999"/>
    <n v="133.1"/>
    <n v="126.5"/>
    <n v="118.5"/>
    <n v="129"/>
    <n v="154.19999999999999"/>
    <n v="136.6"/>
    <n v="138.5"/>
    <n v="128.6"/>
    <n v="137.19999999999999"/>
    <x v="289"/>
    <n v="420.2"/>
    <n v="1630.3999999999999"/>
    <n v="259.60000000000002"/>
    <n v="686.9"/>
    <n v="136.6"/>
    <n v="4792.0999999999995"/>
    <n v="4792.0999999999995"/>
  </r>
  <r>
    <x v="0"/>
    <x v="10"/>
    <x v="5"/>
    <n v="137.1"/>
    <n v="151.9"/>
    <n v="137.4"/>
    <n v="142.4"/>
    <n v="124.2"/>
    <n v="140.19999999999999"/>
    <n v="136.6"/>
    <n v="120.9"/>
    <n v="109.9"/>
    <n v="140.19999999999999"/>
    <n v="137.80000000000001"/>
    <n v="156"/>
    <n v="138.5"/>
    <n v="151.6"/>
    <n v="145.9"/>
    <n v="150.80000000000001"/>
    <n v="139.5"/>
    <n v="149.5"/>
    <n v="149.6"/>
    <n v="133.19999999999999"/>
    <n v="128.9"/>
    <n v="143.30000000000001"/>
    <n v="162.4"/>
    <n v="149"/>
    <n v="155.1"/>
    <n v="141.6"/>
    <n v="141.9"/>
    <x v="290"/>
    <n v="448.3"/>
    <n v="1758.8"/>
    <n v="282.79999999999995"/>
    <n v="751.40000000000009"/>
    <n v="149"/>
    <n v="5014.3999999999996"/>
    <n v="5014.3999999999996"/>
  </r>
  <r>
    <x v="1"/>
    <x v="10"/>
    <x v="5"/>
    <n v="138.5"/>
    <n v="147.80000000000001"/>
    <n v="141.1"/>
    <n v="141.6"/>
    <n v="118.1"/>
    <n v="138.5"/>
    <n v="132.4"/>
    <n v="117.5"/>
    <n v="111"/>
    <n v="141.5"/>
    <n v="128.1"/>
    <n v="152.9"/>
    <n v="137.6"/>
    <n v="142.69999999999999"/>
    <n v="130.30000000000001"/>
    <n v="140.80000000000001"/>
    <n v="146.5"/>
    <n v="136.19999999999999"/>
    <n v="137.30000000000001"/>
    <n v="130.80000000000001"/>
    <n v="118.8"/>
    <n v="131.69999999999999"/>
    <n v="164.6"/>
    <n v="132.4"/>
    <n v="146.5"/>
    <n v="131.69999999999999"/>
    <n v="138"/>
    <x v="291"/>
    <n v="413.8"/>
    <n v="1658.6"/>
    <n v="268.10000000000002"/>
    <n v="706.89999999999986"/>
    <n v="132.4"/>
    <n v="4794"/>
    <n v="4794"/>
  </r>
  <r>
    <x v="2"/>
    <x v="10"/>
    <x v="5"/>
    <n v="137.5"/>
    <n v="150.5"/>
    <n v="138.80000000000001"/>
    <n v="142.1"/>
    <n v="122"/>
    <n v="139.4"/>
    <n v="135.19999999999999"/>
    <n v="119.8"/>
    <n v="110.3"/>
    <n v="140.6"/>
    <n v="133.80000000000001"/>
    <n v="154.6"/>
    <n v="138.19999999999999"/>
    <n v="148.1"/>
    <n v="139.4"/>
    <n v="146.80000000000001"/>
    <n v="146.5"/>
    <n v="143.19999999999999"/>
    <n v="144.9"/>
    <n v="132.19999999999999"/>
    <n v="123.6"/>
    <n v="136.80000000000001"/>
    <n v="163"/>
    <n v="142.69999999999999"/>
    <n v="150.1"/>
    <n v="136.80000000000001"/>
    <n v="140.1"/>
    <x v="292"/>
    <n v="434.3"/>
    <n v="1717.2999999999997"/>
    <n v="277.10000000000002"/>
    <n v="729.40000000000009"/>
    <n v="142.69999999999999"/>
    <n v="4920.8999999999996"/>
    <n v="4920.8999999999996"/>
  </r>
  <r>
    <x v="0"/>
    <x v="10"/>
    <x v="6"/>
    <n v="142.80000000000001"/>
    <n v="165.3"/>
    <n v="149.5"/>
    <n v="148.69999999999999"/>
    <n v="127.5"/>
    <n v="144.30000000000001"/>
    <n v="209.5"/>
    <n v="138.80000000000001"/>
    <n v="113.6"/>
    <n v="149.1"/>
    <n v="139.30000000000001"/>
    <n v="158.30000000000001"/>
    <n v="154.30000000000001"/>
    <n v="152.6"/>
    <n v="147.30000000000001"/>
    <n v="151.9"/>
    <n v="139.5"/>
    <n v="151.19999999999999"/>
    <n v="154.80000000000001"/>
    <n v="140.6"/>
    <n v="135"/>
    <n v="149.5"/>
    <n v="167.8"/>
    <n v="149.9"/>
    <n v="161.1"/>
    <n v="147.1"/>
    <n v="152.30000000000001"/>
    <x v="293"/>
    <n v="451.79999999999995"/>
    <n v="1801.1999999999998"/>
    <n v="295.39999999999998"/>
    <n v="775.40000000000009"/>
    <n v="149.9"/>
    <n v="5264.7999999999993"/>
    <n v="5264.7999999999993"/>
  </r>
  <r>
    <x v="1"/>
    <x v="10"/>
    <x v="6"/>
    <n v="144.9"/>
    <n v="164.5"/>
    <n v="153.69999999999999"/>
    <n v="147.5"/>
    <n v="122.7"/>
    <n v="147.19999999999999"/>
    <n v="231.5"/>
    <n v="137.19999999999999"/>
    <n v="114.7"/>
    <n v="148"/>
    <n v="130.80000000000001"/>
    <n v="157.69999999999999"/>
    <n v="156.30000000000001"/>
    <n v="146.80000000000001"/>
    <n v="132.80000000000001"/>
    <n v="144.6"/>
    <n v="152.80000000000001"/>
    <n v="139.80000000000001"/>
    <n v="143.19999999999999"/>
    <n v="140.19999999999999"/>
    <n v="125.2"/>
    <n v="136.80000000000001"/>
    <n v="170.4"/>
    <n v="133.6"/>
    <n v="151.9"/>
    <n v="137.69999999999999"/>
    <n v="148.30000000000001"/>
    <x v="294"/>
    <n v="424.20000000000005"/>
    <n v="1718.1000000000001"/>
    <n v="283.39999999999998"/>
    <n v="730.40000000000009"/>
    <n v="133.6"/>
    <n v="5112.7999999999993"/>
    <n v="5112.7999999999993"/>
  </r>
  <r>
    <x v="2"/>
    <x v="10"/>
    <x v="6"/>
    <n v="143.5"/>
    <n v="165"/>
    <n v="151.1"/>
    <n v="148.30000000000001"/>
    <n v="125.7"/>
    <n v="145.69999999999999"/>
    <n v="217"/>
    <n v="138.30000000000001"/>
    <n v="114"/>
    <n v="148.69999999999999"/>
    <n v="135.80000000000001"/>
    <n v="158"/>
    <n v="155"/>
    <n v="150.30000000000001"/>
    <n v="141.30000000000001"/>
    <n v="149"/>
    <n v="152.80000000000001"/>
    <n v="145.80000000000001"/>
    <n v="150.4"/>
    <n v="140.4"/>
    <n v="129.80000000000001"/>
    <n v="142.30000000000001"/>
    <n v="168.5"/>
    <n v="143.69999999999999"/>
    <n v="155.69999999999999"/>
    <n v="142.5"/>
    <n v="150.4"/>
    <x v="295"/>
    <n v="440.6"/>
    <n v="1770"/>
    <n v="290.8"/>
    <n v="752.7"/>
    <n v="143.69999999999999"/>
    <n v="5200.2000000000007"/>
    <n v="5200.2000000000007"/>
  </r>
  <r>
    <x v="0"/>
    <x v="10"/>
    <x v="7"/>
    <n v="144.6"/>
    <n v="188.5"/>
    <n v="173.4"/>
    <n v="154"/>
    <n v="150"/>
    <n v="145.9"/>
    <n v="225.2"/>
    <n v="159.5"/>
    <n v="114.4"/>
    <n v="163.5"/>
    <n v="153.4"/>
    <n v="163.6"/>
    <n v="164.5"/>
    <n v="157"/>
    <n v="151.6"/>
    <n v="156.30000000000001"/>
    <n v="139.5"/>
    <n v="153.4"/>
    <n v="161.6"/>
    <n v="156.6"/>
    <n v="146.4"/>
    <n v="153.9"/>
    <n v="183.6"/>
    <n v="148.69999999999999"/>
    <n v="162.9"/>
    <n v="155.19999999999999"/>
    <n v="160.69999999999999"/>
    <x v="296"/>
    <n v="464.90000000000003"/>
    <n v="1871.5000000000002"/>
    <n v="318.2"/>
    <n v="804.3"/>
    <n v="148.69999999999999"/>
    <n v="5559.4000000000005"/>
    <n v="5559.4000000000005"/>
  </r>
  <r>
    <x v="1"/>
    <x v="10"/>
    <x v="7"/>
    <n v="149"/>
    <n v="195.7"/>
    <n v="178.3"/>
    <n v="154.19999999999999"/>
    <n v="140.69999999999999"/>
    <n v="149.69999999999999"/>
    <n v="240.9"/>
    <n v="161.5"/>
    <n v="117.1"/>
    <n v="161.9"/>
    <n v="143.30000000000001"/>
    <n v="166.1"/>
    <n v="167"/>
    <n v="151.9"/>
    <n v="136.69999999999999"/>
    <n v="149.6"/>
    <n v="158.4"/>
    <n v="145.5"/>
    <n v="152.9"/>
    <n v="157.9"/>
    <n v="135.5"/>
    <n v="144.30000000000001"/>
    <n v="190.2"/>
    <n v="137.9"/>
    <n v="156.9"/>
    <n v="146.9"/>
    <n v="156.9"/>
    <x v="297"/>
    <n v="438.20000000000005"/>
    <n v="1817.7000000000003"/>
    <n v="310.8"/>
    <n v="776.19999999999993"/>
    <n v="137.9"/>
    <n v="5468.3000000000011"/>
    <n v="5468.3000000000011"/>
  </r>
  <r>
    <x v="2"/>
    <x v="10"/>
    <x v="7"/>
    <n v="146"/>
    <n v="191"/>
    <n v="175.3"/>
    <n v="154.1"/>
    <n v="146.6"/>
    <n v="147.69999999999999"/>
    <n v="230.5"/>
    <n v="160.19999999999999"/>
    <n v="115.3"/>
    <n v="163"/>
    <n v="149.19999999999999"/>
    <n v="164.8"/>
    <n v="165.4"/>
    <n v="155"/>
    <n v="145.4"/>
    <n v="153.6"/>
    <n v="158.4"/>
    <n v="149.69999999999999"/>
    <n v="158.30000000000001"/>
    <n v="157.1"/>
    <n v="140.69999999999999"/>
    <n v="148.5"/>
    <n v="185.4"/>
    <n v="144.6"/>
    <n v="159.4"/>
    <n v="151.19999999999999"/>
    <n v="158.9"/>
    <x v="298"/>
    <n v="454"/>
    <n v="1856.1"/>
    <n v="315.39999999999998"/>
    <n v="789.09999999999991"/>
    <n v="144.6"/>
    <n v="5523.6999999999989"/>
    <n v="5523.6999999999989"/>
  </r>
  <r>
    <x v="0"/>
    <x v="10"/>
    <x v="8"/>
    <n v="147.4"/>
    <n v="197"/>
    <n v="176.5"/>
    <n v="159.80000000000001"/>
    <n v="195.8"/>
    <n v="152"/>
    <n v="172.3"/>
    <n v="164.5"/>
    <n v="120.6"/>
    <n v="171.7"/>
    <n v="169.7"/>
    <n v="175.1"/>
    <n v="165.8"/>
    <n v="171.8"/>
    <n v="167.3"/>
    <n v="171.2"/>
    <n v="139.5"/>
    <n v="163.9"/>
    <n v="174"/>
    <n v="162.80000000000001"/>
    <n v="160.1"/>
    <n v="164.5"/>
    <n v="190.8"/>
    <n v="165.6"/>
    <n v="169.7"/>
    <n v="166"/>
    <n v="167"/>
    <x v="299"/>
    <n v="510.3"/>
    <n v="2001.1999999999998"/>
    <n v="336.8"/>
    <n v="856.59999999999991"/>
    <n v="165.6"/>
    <n v="5873.1"/>
    <n v="5873.1"/>
  </r>
  <r>
    <x v="1"/>
    <x v="10"/>
    <x v="8"/>
    <n v="151.6"/>
    <n v="202.2"/>
    <n v="180"/>
    <n v="160"/>
    <n v="173.5"/>
    <n v="158.30000000000001"/>
    <n v="219.5"/>
    <n v="164.2"/>
    <n v="121.9"/>
    <n v="168.2"/>
    <n v="156.5"/>
    <n v="178.2"/>
    <n v="172.2"/>
    <n v="163.30000000000001"/>
    <n v="146.69999999999999"/>
    <n v="160.69999999999999"/>
    <n v="163.4"/>
    <n v="156"/>
    <n v="165.1"/>
    <n v="162.4"/>
    <n v="151.80000000000001"/>
    <n v="157.6"/>
    <n v="196.8"/>
    <n v="161.69999999999999"/>
    <n v="160.6"/>
    <n v="157.80000000000001"/>
    <n v="165.2"/>
    <x v="300"/>
    <n v="470.7"/>
    <n v="1946.1"/>
    <n v="327.5"/>
    <n v="834.5"/>
    <n v="161.69999999999999"/>
    <n v="5785.1"/>
    <n v="5785.1"/>
  </r>
  <r>
    <x v="2"/>
    <x v="10"/>
    <x v="8"/>
    <n v="148.69999999999999"/>
    <n v="198.8"/>
    <n v="177.9"/>
    <n v="159.9"/>
    <n v="187.6"/>
    <n v="154.9"/>
    <n v="188.3"/>
    <n v="164.4"/>
    <n v="121"/>
    <n v="170.5"/>
    <n v="164.2"/>
    <n v="176.5"/>
    <n v="168.2"/>
    <n v="168.5"/>
    <n v="158.69999999999999"/>
    <n v="167"/>
    <n v="163.4"/>
    <n v="160.19999999999999"/>
    <n v="170.6"/>
    <n v="162.6"/>
    <n v="155.69999999999999"/>
    <n v="160.6"/>
    <n v="192.4"/>
    <n v="164.1"/>
    <n v="164.4"/>
    <n v="162"/>
    <n v="166.2"/>
    <x v="301"/>
    <n v="494.2"/>
    <n v="1988.2"/>
    <n v="333.2"/>
    <n v="843.5"/>
    <n v="164.1"/>
    <n v="5840"/>
    <n v="5840"/>
  </r>
  <r>
    <x v="0"/>
    <x v="10"/>
    <x v="9"/>
    <n v="168.8"/>
    <n v="206.9"/>
    <n v="189.1"/>
    <n v="173.4"/>
    <n v="193.9"/>
    <n v="156.69999999999999"/>
    <n v="150.19999999999999"/>
    <n v="170.5"/>
    <n v="121.2"/>
    <n v="207.5"/>
    <n v="176.8"/>
    <n v="187.7"/>
    <n v="174.4"/>
    <n v="188.1"/>
    <n v="185.9"/>
    <n v="187.8"/>
    <n v="139.5"/>
    <n v="176.4"/>
    <n v="183.5"/>
    <n v="175.7"/>
    <n v="167.8"/>
    <n v="171.2"/>
    <n v="195.9"/>
    <n v="182.8"/>
    <n v="177.3"/>
    <n v="175.5"/>
    <n v="177.1"/>
    <x v="302"/>
    <n v="561.79999999999995"/>
    <n v="2131.9"/>
    <n v="359.2"/>
    <n v="902.7"/>
    <n v="182.8"/>
    <n v="6232.6999999999989"/>
    <n v="6232.6999999999989"/>
  </r>
  <r>
    <x v="1"/>
    <x v="10"/>
    <x v="9"/>
    <n v="170.2"/>
    <n v="212.9"/>
    <n v="191.9"/>
    <n v="173.9"/>
    <n v="179.1"/>
    <n v="159.5"/>
    <n v="178.7"/>
    <n v="171.3"/>
    <n v="123.1"/>
    <n v="200.5"/>
    <n v="162.80000000000001"/>
    <n v="193.3"/>
    <n v="178.6"/>
    <n v="177.7"/>
    <n v="164.5"/>
    <n v="175.7"/>
    <n v="170.7"/>
    <n v="167.3"/>
    <n v="177.2"/>
    <n v="176"/>
    <n v="159.4"/>
    <n v="167.1"/>
    <n v="201.1"/>
    <n v="180.6"/>
    <n v="171.8"/>
    <n v="168.2"/>
    <n v="174.1"/>
    <x v="303"/>
    <n v="517.9"/>
    <n v="2089.1"/>
    <n v="353.2"/>
    <n v="888.8"/>
    <n v="180.6"/>
    <n v="6144.7999999999993"/>
    <n v="6144.7999999999993"/>
  </r>
  <r>
    <x v="2"/>
    <x v="10"/>
    <x v="9"/>
    <n v="169.2"/>
    <n v="209"/>
    <n v="190.2"/>
    <n v="173.6"/>
    <n v="188.5"/>
    <n v="158"/>
    <n v="159.9"/>
    <n v="170.8"/>
    <n v="121.8"/>
    <n v="205.2"/>
    <n v="171"/>
    <n v="190.3"/>
    <n v="175.9"/>
    <n v="184"/>
    <n v="177"/>
    <n v="183"/>
    <n v="170.7"/>
    <n v="172.1"/>
    <n v="181.1"/>
    <n v="175.8"/>
    <n v="163.4"/>
    <n v="168.9"/>
    <n v="197.3"/>
    <n v="182"/>
    <n v="174.1"/>
    <n v="172"/>
    <n v="175.7"/>
    <x v="304"/>
    <n v="544"/>
    <n v="2129.4"/>
    <n v="356.9"/>
    <n v="894.30000000000007"/>
    <n v="182"/>
    <n v="6208"/>
    <n v="6208"/>
  </r>
  <r>
    <x v="0"/>
    <x v="11"/>
    <x v="0"/>
    <n v="114.3"/>
    <n v="115.4"/>
    <n v="111.1"/>
    <n v="110"/>
    <n v="106.4"/>
    <n v="110.8"/>
    <n v="138.9"/>
    <n v="107.4"/>
    <n v="104.1"/>
    <n v="106.9"/>
    <n v="109.7"/>
    <n v="112.6"/>
    <n v="114.9"/>
    <n v="111.3"/>
    <n v="110.2"/>
    <n v="111.1"/>
    <n v="139.5"/>
    <n v="108.7"/>
    <n v="107.5"/>
    <n v="105"/>
    <n v="107.8"/>
    <n v="106.8"/>
    <n v="110.7"/>
    <n v="109.9"/>
    <n v="108.7"/>
    <n v="107.5"/>
    <n v="112.1"/>
    <x v="305"/>
    <n v="332.6"/>
    <n v="1337.2"/>
    <n v="212.5"/>
    <n v="543.59999999999991"/>
    <n v="109.9"/>
    <n v="3888.4"/>
    <n v="3888.4"/>
  </r>
  <r>
    <x v="1"/>
    <x v="11"/>
    <x v="0"/>
    <n v="118.3"/>
    <n v="120.4"/>
    <n v="112.7"/>
    <n v="108.9"/>
    <n v="101.1"/>
    <n v="108.7"/>
    <n v="177"/>
    <n v="104.7"/>
    <n v="101"/>
    <n v="108.5"/>
    <n v="110.9"/>
    <n v="114.3"/>
    <n v="119.6"/>
    <n v="110.6"/>
    <n v="108.3"/>
    <n v="110.2"/>
    <n v="108.9"/>
    <n v="108.7"/>
    <n v="107.6"/>
    <n v="106"/>
    <n v="108.1"/>
    <n v="106.5"/>
    <n v="112.4"/>
    <n v="109.3"/>
    <n v="110.8"/>
    <n v="108.3"/>
    <n v="112.7"/>
    <x v="306"/>
    <n v="329.09999999999997"/>
    <n v="1307.4000000000001"/>
    <n v="213.6"/>
    <n v="547.29999999999995"/>
    <n v="109.3"/>
    <n v="3903.5"/>
    <n v="3903.5"/>
  </r>
  <r>
    <x v="2"/>
    <x v="11"/>
    <x v="0"/>
    <n v="115.6"/>
    <n v="117.2"/>
    <n v="111.7"/>
    <n v="109.6"/>
    <n v="104.5"/>
    <n v="109.8"/>
    <n v="151.80000000000001"/>
    <n v="106.5"/>
    <n v="103.1"/>
    <n v="107.4"/>
    <n v="110.2"/>
    <n v="113.4"/>
    <n v="116.6"/>
    <n v="111"/>
    <n v="109.4"/>
    <n v="110.7"/>
    <n v="108.9"/>
    <n v="108.7"/>
    <n v="107.5"/>
    <n v="105.4"/>
    <n v="108"/>
    <n v="106.6"/>
    <n v="111.2"/>
    <n v="109.7"/>
    <n v="109.9"/>
    <n v="107.9"/>
    <n v="112.4"/>
    <x v="307"/>
    <n v="331.1"/>
    <n v="1307.0000000000002"/>
    <n v="212.9"/>
    <n v="545.29999999999995"/>
    <n v="109.7"/>
    <n v="3873.7"/>
    <n v="3873.7"/>
  </r>
  <r>
    <x v="0"/>
    <x v="11"/>
    <x v="1"/>
    <n v="121.8"/>
    <n v="122.8"/>
    <n v="117.8"/>
    <n v="121.9"/>
    <n v="110.6"/>
    <n v="129.69999999999999"/>
    <n v="161.1"/>
    <n v="114.1"/>
    <n v="105.1"/>
    <n v="114.6"/>
    <n v="115.8"/>
    <n v="121.7"/>
    <n v="125.3"/>
    <n v="120.9"/>
    <n v="118.8"/>
    <n v="120.7"/>
    <n v="139.5"/>
    <n v="115.9"/>
    <n v="114"/>
    <n v="109.4"/>
    <n v="113.2"/>
    <n v="112.2"/>
    <n v="118.8"/>
    <n v="115.4"/>
    <n v="116.2"/>
    <n v="113.5"/>
    <n v="120.7"/>
    <x v="308"/>
    <n v="360.4"/>
    <n v="1415"/>
    <n v="223.4"/>
    <n v="576.09999999999991"/>
    <n v="115.4"/>
    <n v="4157.2"/>
    <n v="4157.2"/>
  </r>
  <r>
    <x v="1"/>
    <x v="11"/>
    <x v="1"/>
    <n v="124.8"/>
    <n v="127.3"/>
    <n v="116.5"/>
    <n v="122.2"/>
    <n v="103.6"/>
    <n v="132.69999999999999"/>
    <n v="181.9"/>
    <n v="115.2"/>
    <n v="102.7"/>
    <n v="122.1"/>
    <n v="114.4"/>
    <n v="124.7"/>
    <n v="128.9"/>
    <n v="118.6"/>
    <n v="114.1"/>
    <n v="117.9"/>
    <n v="115.5"/>
    <n v="115.3"/>
    <n v="112.2"/>
    <n v="110.5"/>
    <n v="112.5"/>
    <n v="112.9"/>
    <n v="123"/>
    <n v="111.8"/>
    <n v="119.2"/>
    <n v="113.9"/>
    <n v="119.9"/>
    <x v="309"/>
    <n v="350.6"/>
    <n v="1383.5"/>
    <n v="222.7"/>
    <n v="580.79999999999995"/>
    <n v="111.8"/>
    <n v="4154.5999999999995"/>
    <n v="4154.5999999999995"/>
  </r>
  <r>
    <x v="2"/>
    <x v="11"/>
    <x v="1"/>
    <n v="122.7"/>
    <n v="124.4"/>
    <n v="117.3"/>
    <n v="122"/>
    <n v="108"/>
    <n v="131.1"/>
    <n v="168.2"/>
    <n v="114.5"/>
    <n v="104.3"/>
    <n v="117.1"/>
    <n v="115.2"/>
    <n v="123.1"/>
    <n v="126.6"/>
    <n v="120"/>
    <n v="116.8"/>
    <n v="119.6"/>
    <n v="115.5"/>
    <n v="115.6"/>
    <n v="113.3"/>
    <n v="109.9"/>
    <n v="112.8"/>
    <n v="112.6"/>
    <n v="119.9"/>
    <n v="114"/>
    <n v="118"/>
    <n v="113.7"/>
    <n v="120.3"/>
    <x v="310"/>
    <n v="356.4"/>
    <n v="1388"/>
    <n v="223.2"/>
    <n v="578.20000000000005"/>
    <n v="114"/>
    <n v="4140.2999999999993"/>
    <n v="4140.2999999999993"/>
  </r>
  <r>
    <x v="0"/>
    <x v="11"/>
    <x v="2"/>
    <n v="124.7"/>
    <n v="131.30000000000001"/>
    <n v="121.3"/>
    <n v="128.80000000000001"/>
    <n v="114"/>
    <n v="134.19999999999999"/>
    <n v="153.6"/>
    <n v="137.9"/>
    <n v="93.1"/>
    <n v="123.9"/>
    <n v="121.5"/>
    <n v="132.5"/>
    <n v="129.80000000000001"/>
    <n v="129.5"/>
    <n v="126.3"/>
    <n v="129"/>
    <n v="139.5"/>
    <n v="123.7"/>
    <n v="121.1"/>
    <n v="112.5"/>
    <n v="113.6"/>
    <n v="118.5"/>
    <n v="130.1"/>
    <n v="123.8"/>
    <n v="123.6"/>
    <n v="118.2"/>
    <n v="126.1"/>
    <x v="311"/>
    <n v="384.8"/>
    <n v="1491.1999999999998"/>
    <n v="233.6"/>
    <n v="614.20000000000005"/>
    <n v="123.8"/>
    <n v="4370.3999999999996"/>
    <n v="4370.3999999999996"/>
  </r>
  <r>
    <x v="1"/>
    <x v="11"/>
    <x v="2"/>
    <n v="123.1"/>
    <n v="131.69999999999999"/>
    <n v="118.1"/>
    <n v="128"/>
    <n v="106.8"/>
    <n v="130.1"/>
    <n v="165.5"/>
    <n v="156"/>
    <n v="85.3"/>
    <n v="132.69999999999999"/>
    <n v="118.8"/>
    <n v="131.69999999999999"/>
    <n v="131.1"/>
    <n v="123.7"/>
    <n v="118.2"/>
    <n v="122.9"/>
    <n v="120.9"/>
    <n v="120"/>
    <n v="116.6"/>
    <n v="112"/>
    <n v="109.9"/>
    <n v="117.2"/>
    <n v="134.19999999999999"/>
    <n v="115.3"/>
    <n v="126.2"/>
    <n v="116.2"/>
    <n v="123.2"/>
    <x v="312"/>
    <n v="364.8"/>
    <n v="1437.1000000000001"/>
    <n v="228.6"/>
    <n v="609.1"/>
    <n v="115.3"/>
    <n v="4298.5"/>
    <n v="4298.5"/>
  </r>
  <r>
    <x v="2"/>
    <x v="11"/>
    <x v="2"/>
    <n v="124.2"/>
    <n v="131.4"/>
    <n v="120.1"/>
    <n v="128.5"/>
    <n v="111.4"/>
    <n v="132.30000000000001"/>
    <n v="157.6"/>
    <n v="144"/>
    <n v="90.5"/>
    <n v="126.8"/>
    <n v="120.4"/>
    <n v="132.1"/>
    <n v="130.30000000000001"/>
    <n v="127.2"/>
    <n v="122.9"/>
    <n v="126.6"/>
    <n v="120.9"/>
    <n v="122"/>
    <n v="119.4"/>
    <n v="112.3"/>
    <n v="111.7"/>
    <n v="117.8"/>
    <n v="131.19999999999999"/>
    <n v="120.6"/>
    <n v="125.1"/>
    <n v="117.2"/>
    <n v="124.8"/>
    <x v="313"/>
    <n v="376.70000000000005"/>
    <n v="1457.6999999999998"/>
    <n v="231.7"/>
    <n v="611.90000000000009"/>
    <n v="120.6"/>
    <n v="4327.6000000000004"/>
    <n v="4327.6000000000004"/>
  </r>
  <r>
    <x v="0"/>
    <x v="11"/>
    <x v="3"/>
    <n v="130.1"/>
    <n v="138.80000000000001"/>
    <n v="130.30000000000001"/>
    <n v="135.30000000000001"/>
    <n v="119.9"/>
    <n v="140.19999999999999"/>
    <n v="156.9"/>
    <n v="172.2"/>
    <n v="112.1"/>
    <n v="134.9"/>
    <n v="128.1"/>
    <n v="140.69999999999999"/>
    <n v="138"/>
    <n v="137.80000000000001"/>
    <n v="133"/>
    <n v="137.1"/>
    <n v="139.5"/>
    <n v="130.6"/>
    <n v="127"/>
    <n v="122"/>
    <n v="116"/>
    <n v="125.5"/>
    <n v="138.9"/>
    <n v="129.1"/>
    <n v="131.9"/>
    <n v="124.2"/>
    <n v="133.5"/>
    <x v="314"/>
    <n v="407.9"/>
    <n v="1568.4"/>
    <n v="249"/>
    <n v="649.6"/>
    <n v="129.1"/>
    <n v="4652.3999999999996"/>
    <n v="4652.3999999999996"/>
  </r>
  <r>
    <x v="1"/>
    <x v="11"/>
    <x v="3"/>
    <n v="127.6"/>
    <n v="140.30000000000001"/>
    <n v="133.69999999999999"/>
    <n v="132.19999999999999"/>
    <n v="111.8"/>
    <n v="135.80000000000001"/>
    <n v="163.5"/>
    <n v="182.3"/>
    <n v="114.6"/>
    <n v="144.6"/>
    <n v="121.9"/>
    <n v="138.1"/>
    <n v="137.6"/>
    <n v="128.30000000000001"/>
    <n v="121.4"/>
    <n v="127.3"/>
    <n v="127.3"/>
    <n v="123.9"/>
    <n v="121.2"/>
    <n v="120.9"/>
    <n v="110.4"/>
    <n v="120.6"/>
    <n v="143.6"/>
    <n v="114.7"/>
    <n v="131.5"/>
    <n v="119.9"/>
    <n v="128.4"/>
    <x v="315"/>
    <n v="377"/>
    <n v="1491.1"/>
    <n v="242.10000000000002"/>
    <n v="630.29999999999995"/>
    <n v="114.7"/>
    <n v="4524.4999999999991"/>
    <n v="4524.4999999999991"/>
  </r>
  <r>
    <x v="2"/>
    <x v="11"/>
    <x v="3"/>
    <n v="129.30000000000001"/>
    <n v="139.30000000000001"/>
    <n v="131.6"/>
    <n v="134.1"/>
    <n v="116.9"/>
    <n v="138.1"/>
    <n v="159.1"/>
    <n v="175.6"/>
    <n v="112.9"/>
    <n v="138.1"/>
    <n v="125.5"/>
    <n v="139.5"/>
    <n v="137.9"/>
    <n v="134.1"/>
    <n v="128.19999999999999"/>
    <n v="133.19999999999999"/>
    <n v="127.3"/>
    <n v="127.4"/>
    <n v="124.8"/>
    <n v="121.5"/>
    <n v="113.1"/>
    <n v="122.7"/>
    <n v="140.19999999999999"/>
    <n v="123.6"/>
    <n v="131.69999999999999"/>
    <n v="122.1"/>
    <n v="131.1"/>
    <x v="316"/>
    <n v="395.49999999999994"/>
    <n v="1527.8"/>
    <n v="246.3"/>
    <n v="640.30000000000007"/>
    <n v="123.6"/>
    <n v="4587.8"/>
    <n v="4587.8"/>
  </r>
  <r>
    <x v="0"/>
    <x v="11"/>
    <x v="4"/>
    <n v="134.80000000000001"/>
    <n v="143.1"/>
    <n v="130"/>
    <n v="139.4"/>
    <n v="120.5"/>
    <n v="148"/>
    <n v="162.9"/>
    <n v="137.4"/>
    <n v="120.8"/>
    <n v="134.69999999999999"/>
    <n v="131.6"/>
    <n v="148.69999999999999"/>
    <n v="140.6"/>
    <n v="145.30000000000001"/>
    <n v="139.19999999999999"/>
    <n v="144.5"/>
    <n v="139.5"/>
    <n v="137.30000000000001"/>
    <n v="133"/>
    <n v="125.4"/>
    <n v="120.3"/>
    <n v="131.5"/>
    <n v="149"/>
    <n v="136.4"/>
    <n v="140.19999999999999"/>
    <n v="129.69999999999999"/>
    <n v="137.80000000000001"/>
    <x v="317"/>
    <n v="429"/>
    <n v="1641.6000000000001"/>
    <n v="258.39999999999998"/>
    <n v="686.8"/>
    <n v="136.4"/>
    <n v="4808.3"/>
    <n v="4808.3"/>
  </r>
  <r>
    <x v="1"/>
    <x v="11"/>
    <x v="4"/>
    <n v="133.19999999999999"/>
    <n v="143.9"/>
    <n v="128.30000000000001"/>
    <n v="138.30000000000001"/>
    <n v="114.1"/>
    <n v="142.69999999999999"/>
    <n v="179.8"/>
    <n v="123.5"/>
    <n v="122.1"/>
    <n v="137.5"/>
    <n v="124.6"/>
    <n v="144.5"/>
    <n v="140.5"/>
    <n v="132.69999999999999"/>
    <n v="124.3"/>
    <n v="131.4"/>
    <n v="134.4"/>
    <n v="127.7"/>
    <n v="125.7"/>
    <n v="123.3"/>
    <n v="114.6"/>
    <n v="124.1"/>
    <n v="152.1"/>
    <n v="118.9"/>
    <n v="135.69999999999999"/>
    <n v="123.8"/>
    <n v="132.69999999999999"/>
    <x v="318"/>
    <n v="388.4"/>
    <n v="1544.9"/>
    <n v="249"/>
    <n v="654.59999999999991"/>
    <n v="118.9"/>
    <n v="4609.8999999999996"/>
    <n v="4609.8999999999996"/>
  </r>
  <r>
    <x v="2"/>
    <x v="11"/>
    <x v="4"/>
    <n v="134.30000000000001"/>
    <n v="143.4"/>
    <n v="129.30000000000001"/>
    <n v="139"/>
    <n v="118.1"/>
    <n v="145.5"/>
    <n v="168.6"/>
    <n v="132.69999999999999"/>
    <n v="121.2"/>
    <n v="135.6"/>
    <n v="128.69999999999999"/>
    <n v="146.80000000000001"/>
    <n v="140.6"/>
    <n v="140.30000000000001"/>
    <n v="133"/>
    <n v="139.30000000000001"/>
    <n v="134.4"/>
    <n v="132.80000000000001"/>
    <n v="130.19999999999999"/>
    <n v="124.5"/>
    <n v="117.3"/>
    <n v="127.3"/>
    <n v="149.80000000000001"/>
    <n v="129.80000000000001"/>
    <n v="137.6"/>
    <n v="126.8"/>
    <n v="135.4"/>
    <x v="319"/>
    <n v="412.6"/>
    <n v="1596.2999999999997"/>
    <n v="254.7"/>
    <n v="671.3"/>
    <n v="129.80000000000001"/>
    <n v="4718.7"/>
    <n v="4718.7"/>
  </r>
  <r>
    <x v="0"/>
    <x v="11"/>
    <x v="5"/>
    <n v="139.19999999999999"/>
    <n v="148.80000000000001"/>
    <n v="139.1"/>
    <n v="143.5"/>
    <n v="125"/>
    <n v="154.4"/>
    <n v="156.30000000000001"/>
    <n v="126.8"/>
    <n v="115.4"/>
    <n v="138.6"/>
    <n v="133.80000000000001"/>
    <n v="155.19999999999999"/>
    <n v="142.69999999999999"/>
    <n v="152.1"/>
    <n v="145.80000000000001"/>
    <n v="151.30000000000001"/>
    <n v="139.5"/>
    <n v="143.80000000000001"/>
    <n v="139.4"/>
    <n v="131.30000000000001"/>
    <n v="128.30000000000001"/>
    <n v="138.6"/>
    <n v="156.4"/>
    <n v="147.69999999999999"/>
    <n v="146.9"/>
    <n v="136.6"/>
    <n v="142.5"/>
    <x v="320"/>
    <n v="449.2"/>
    <n v="1721.1000000000001"/>
    <n v="270.70000000000005"/>
    <n v="726.2"/>
    <n v="147.69999999999999"/>
    <n v="4986"/>
    <n v="4986"/>
  </r>
  <r>
    <x v="1"/>
    <x v="11"/>
    <x v="5"/>
    <n v="136.5"/>
    <n v="146.4"/>
    <n v="136.6"/>
    <n v="141.19999999999999"/>
    <n v="117.4"/>
    <n v="146.30000000000001"/>
    <n v="157.30000000000001"/>
    <n v="113.6"/>
    <n v="113.3"/>
    <n v="141.1"/>
    <n v="127.4"/>
    <n v="150.4"/>
    <n v="140.1"/>
    <n v="140"/>
    <n v="129"/>
    <n v="138.30000000000001"/>
    <n v="144.6"/>
    <n v="134.4"/>
    <n v="134.9"/>
    <n v="128.30000000000001"/>
    <n v="120.7"/>
    <n v="129.80000000000001"/>
    <n v="162.1"/>
    <n v="129.80000000000001"/>
    <n v="145.30000000000001"/>
    <n v="131"/>
    <n v="138"/>
    <x v="321"/>
    <n v="407.3"/>
    <n v="1637.1999999999998"/>
    <n v="263.20000000000005"/>
    <n v="698"/>
    <n v="129.80000000000001"/>
    <n v="4773.3"/>
    <n v="4773.3"/>
  </r>
  <r>
    <x v="2"/>
    <x v="11"/>
    <x v="5"/>
    <n v="138.30000000000001"/>
    <n v="148"/>
    <n v="138.1"/>
    <n v="142.6"/>
    <n v="122.2"/>
    <n v="150.6"/>
    <n v="156.6"/>
    <n v="122.4"/>
    <n v="114.7"/>
    <n v="139.4"/>
    <n v="131.1"/>
    <n v="153"/>
    <n v="141.69999999999999"/>
    <n v="147.30000000000001"/>
    <n v="138.80000000000001"/>
    <n v="146.1"/>
    <n v="144.6"/>
    <n v="139.4"/>
    <n v="137.69999999999999"/>
    <n v="130.1"/>
    <n v="124.3"/>
    <n v="133.6"/>
    <n v="157.9"/>
    <n v="140.9"/>
    <n v="146"/>
    <n v="133.9"/>
    <n v="140.4"/>
    <x v="322"/>
    <n v="432.20000000000005"/>
    <n v="1686.7000000000003"/>
    <n v="267.79999999999995"/>
    <n v="712.3"/>
    <n v="140.9"/>
    <n v="4897.7000000000007"/>
    <n v="4897.7000000000007"/>
  </r>
  <r>
    <x v="0"/>
    <x v="11"/>
    <x v="6"/>
    <n v="139.19999999999999"/>
    <n v="161.9"/>
    <n v="137.1"/>
    <n v="144.6"/>
    <n v="124.7"/>
    <n v="145.5"/>
    <n v="156.19999999999999"/>
    <n v="131.5"/>
    <n v="111.7"/>
    <n v="142.69999999999999"/>
    <n v="138.5"/>
    <n v="156.9"/>
    <n v="144"/>
    <n v="151.80000000000001"/>
    <n v="146.6"/>
    <n v="151.1"/>
    <n v="139.5"/>
    <n v="150.19999999999999"/>
    <n v="152.69999999999999"/>
    <n v="138.80000000000001"/>
    <n v="131.4"/>
    <n v="148"/>
    <n v="165.1"/>
    <n v="146.4"/>
    <n v="159.69999999999999"/>
    <n v="144.9"/>
    <n v="145.69999999999999"/>
    <x v="323"/>
    <n v="449.5"/>
    <n v="1781.3000000000002"/>
    <n v="291.5"/>
    <n v="764.1"/>
    <n v="146.4"/>
    <n v="5120.9000000000005"/>
    <n v="5120.9000000000005"/>
  </r>
  <r>
    <x v="1"/>
    <x v="11"/>
    <x v="6"/>
    <n v="142.1"/>
    <n v="158.30000000000001"/>
    <n v="140.80000000000001"/>
    <n v="144.9"/>
    <n v="119.9"/>
    <n v="153.9"/>
    <n v="189.1"/>
    <n v="129.80000000000001"/>
    <n v="112.7"/>
    <n v="142.5"/>
    <n v="129.80000000000001"/>
    <n v="156.19999999999999"/>
    <n v="149.1"/>
    <n v="145"/>
    <n v="132.19999999999999"/>
    <n v="143"/>
    <n v="151.6"/>
    <n v="138.1"/>
    <n v="141.5"/>
    <n v="137.80000000000001"/>
    <n v="120.8"/>
    <n v="135.4"/>
    <n v="167.9"/>
    <n v="125.5"/>
    <n v="151.5"/>
    <n v="135.30000000000001"/>
    <n v="144.19999999999999"/>
    <x v="324"/>
    <n v="420.2"/>
    <n v="1690.3000000000002"/>
    <n v="279.3"/>
    <n v="715.59999999999991"/>
    <n v="125.5"/>
    <n v="4974.5"/>
    <n v="4974.5"/>
  </r>
  <r>
    <x v="2"/>
    <x v="11"/>
    <x v="6"/>
    <n v="140.1"/>
    <n v="160.6"/>
    <n v="138.5"/>
    <n v="144.69999999999999"/>
    <n v="122.9"/>
    <n v="149.4"/>
    <n v="167.4"/>
    <n v="130.9"/>
    <n v="112"/>
    <n v="142.6"/>
    <n v="134.9"/>
    <n v="156.6"/>
    <n v="145.9"/>
    <n v="149.1"/>
    <n v="140.6"/>
    <n v="147.9"/>
    <n v="151.6"/>
    <n v="144.5"/>
    <n v="148.5"/>
    <n v="138.4"/>
    <n v="125.8"/>
    <n v="140.9"/>
    <n v="165.8"/>
    <n v="138.5"/>
    <n v="154.9"/>
    <n v="140.19999999999999"/>
    <n v="145"/>
    <x v="325"/>
    <n v="437.6"/>
    <n v="1746.5000000000002"/>
    <n v="286.89999999999998"/>
    <n v="740.3"/>
    <n v="138.5"/>
    <n v="5057.8"/>
    <n v="5057.8"/>
  </r>
  <r>
    <x v="0"/>
    <x v="11"/>
    <x v="7"/>
    <n v="147.6"/>
    <n v="187.2"/>
    <n v="148.4"/>
    <n v="153.30000000000001"/>
    <n v="139.80000000000001"/>
    <n v="146.9"/>
    <n v="171"/>
    <n v="149.9"/>
    <n v="114.2"/>
    <n v="160"/>
    <n v="143.5"/>
    <n v="161.5"/>
    <n v="155.30000000000001"/>
    <n v="155.1"/>
    <n v="149.30000000000001"/>
    <n v="154.30000000000001"/>
    <n v="139.5"/>
    <n v="151.9"/>
    <n v="158.80000000000001"/>
    <n v="153.6"/>
    <n v="143.6"/>
    <n v="152.19999999999999"/>
    <n v="180.9"/>
    <n v="145.80000000000001"/>
    <n v="162.69999999999999"/>
    <n v="153"/>
    <n v="154.69999999999999"/>
    <x v="326"/>
    <n v="458.7"/>
    <n v="1847.7"/>
    <n v="312.39999999999998"/>
    <n v="794.6"/>
    <n v="145.80000000000001"/>
    <n v="5392"/>
    <n v="5392"/>
  </r>
  <r>
    <x v="1"/>
    <x v="11"/>
    <x v="7"/>
    <n v="151.6"/>
    <n v="197.8"/>
    <n v="154.5"/>
    <n v="153.4"/>
    <n v="133.4"/>
    <n v="154.5"/>
    <n v="191.9"/>
    <n v="151.30000000000001"/>
    <n v="116.8"/>
    <n v="160"/>
    <n v="136.5"/>
    <n v="163.30000000000001"/>
    <n v="159.9"/>
    <n v="150"/>
    <n v="135.19999999999999"/>
    <n v="147.80000000000001"/>
    <n v="155.5"/>
    <n v="144.5"/>
    <n v="148.69999999999999"/>
    <n v="155.19999999999999"/>
    <n v="133.9"/>
    <n v="141.19999999999999"/>
    <n v="187.2"/>
    <n v="138.30000000000001"/>
    <n v="155.5"/>
    <n v="144.80000000000001"/>
    <n v="152.9"/>
    <x v="327"/>
    <n v="433"/>
    <n v="1793.0000000000002"/>
    <n v="303.89999999999998"/>
    <n v="767"/>
    <n v="138.30000000000001"/>
    <n v="5321.7999999999993"/>
    <n v="5321.7999999999993"/>
  </r>
  <r>
    <x v="2"/>
    <x v="11"/>
    <x v="7"/>
    <n v="148.9"/>
    <n v="190.9"/>
    <n v="150.80000000000001"/>
    <n v="153.30000000000001"/>
    <n v="137.4"/>
    <n v="150.4"/>
    <n v="178.1"/>
    <n v="150.4"/>
    <n v="115.1"/>
    <n v="160"/>
    <n v="140.6"/>
    <n v="162.30000000000001"/>
    <n v="157"/>
    <n v="153.1"/>
    <n v="143.4"/>
    <n v="151.69999999999999"/>
    <n v="155.5"/>
    <n v="148.4"/>
    <n v="155"/>
    <n v="154.30000000000001"/>
    <n v="138.5"/>
    <n v="146"/>
    <n v="182.6"/>
    <n v="143"/>
    <n v="158.5"/>
    <n v="149"/>
    <n v="153.9"/>
    <x v="328"/>
    <n v="448.2"/>
    <n v="1830"/>
    <n v="309.3"/>
    <n v="779.1"/>
    <n v="143"/>
    <n v="5361.8"/>
    <n v="5361.8"/>
  </r>
  <r>
    <x v="0"/>
    <x v="11"/>
    <x v="8"/>
    <n v="144.9"/>
    <n v="202.3"/>
    <n v="176.5"/>
    <n v="157.5"/>
    <n v="190.9"/>
    <n v="155.69999999999999"/>
    <n v="153.9"/>
    <n v="162.80000000000001"/>
    <n v="115.2"/>
    <n v="169.8"/>
    <n v="167.6"/>
    <n v="171.9"/>
    <n v="161.80000000000001"/>
    <n v="167"/>
    <n v="162.6"/>
    <n v="166.3"/>
    <n v="139.5"/>
    <n v="160.9"/>
    <n v="171.1"/>
    <n v="160.30000000000001"/>
    <n v="157.69999999999999"/>
    <n v="161.1"/>
    <n v="190.2"/>
    <n v="163.1"/>
    <n v="167.5"/>
    <n v="163.30000000000001"/>
    <n v="163.6"/>
    <x v="329"/>
    <n v="495.90000000000003"/>
    <n v="1967.3"/>
    <n v="331.4"/>
    <n v="845.2"/>
    <n v="163.1"/>
    <n v="5770.5999999999995"/>
    <n v="5770.5999999999995"/>
  </r>
  <r>
    <x v="1"/>
    <x v="11"/>
    <x v="8"/>
    <n v="149.30000000000001"/>
    <n v="207.4"/>
    <n v="174.1"/>
    <n v="159.19999999999999"/>
    <n v="175"/>
    <n v="161.30000000000001"/>
    <n v="183.3"/>
    <n v="164.5"/>
    <n v="120.4"/>
    <n v="166.2"/>
    <n v="154.80000000000001"/>
    <n v="175.1"/>
    <n v="167.3"/>
    <n v="159.80000000000001"/>
    <n v="143.6"/>
    <n v="157.30000000000001"/>
    <n v="162.1"/>
    <n v="153.19999999999999"/>
    <n v="162.80000000000001"/>
    <n v="159.6"/>
    <n v="150.4"/>
    <n v="153.69999999999999"/>
    <n v="196.5"/>
    <n v="160.69999999999999"/>
    <n v="160.4"/>
    <n v="156"/>
    <n v="162.30000000000001"/>
    <x v="25"/>
    <n v="460.7"/>
    <n v="1920.1000000000001"/>
    <n v="322.39999999999998"/>
    <n v="827.3"/>
    <n v="160.69999999999999"/>
    <n v="5688.4"/>
    <n v="5688.4"/>
  </r>
  <r>
    <x v="2"/>
    <x v="11"/>
    <x v="8"/>
    <n v="146.6"/>
    <n v="204"/>
    <n v="172.8"/>
    <n v="158.4"/>
    <n v="188"/>
    <n v="156.80000000000001"/>
    <n v="162.19999999999999"/>
    <n v="164.1"/>
    <n v="119.7"/>
    <n v="168.8"/>
    <n v="162.69999999999999"/>
    <n v="173.9"/>
    <n v="164"/>
    <n v="164.5"/>
    <n v="155.30000000000001"/>
    <n v="163.19999999999999"/>
    <n v="162.1"/>
    <n v="157.5"/>
    <n v="168.4"/>
    <n v="160"/>
    <n v="154"/>
    <n v="157.6"/>
    <n v="192.1"/>
    <n v="162.6"/>
    <n v="163.80000000000001"/>
    <n v="160"/>
    <n v="163.19999999999999"/>
    <x v="26"/>
    <n v="483"/>
    <n v="1961.0999999999997"/>
    <n v="328.4"/>
    <n v="836.09999999999991"/>
    <n v="162.6"/>
    <n v="5750.5999999999985"/>
    <n v="5750.5999999999985"/>
  </r>
  <r>
    <x v="0"/>
    <x v="11"/>
    <x v="9"/>
    <n v="159.5"/>
    <n v="204.1"/>
    <n v="168.3"/>
    <n v="167.9"/>
    <n v="198.1"/>
    <n v="169.2"/>
    <n v="173.1"/>
    <n v="167.1"/>
    <n v="120.2"/>
    <n v="195.6"/>
    <n v="174.8"/>
    <n v="184"/>
    <n v="173.9"/>
    <n v="183.2"/>
    <n v="181.7"/>
    <n v="183"/>
    <n v="139.5"/>
    <n v="172.3"/>
    <n v="179.4"/>
    <n v="171.1"/>
    <n v="166.6"/>
    <n v="169.3"/>
    <n v="193.7"/>
    <n v="179.1"/>
    <n v="175.7"/>
    <n v="172.6"/>
    <n v="175.3"/>
    <x v="330"/>
    <n v="547.9"/>
    <n v="2094.6"/>
    <n v="350.5"/>
    <n v="890.4"/>
    <n v="179.1"/>
    <n v="6139.1999999999989"/>
    <n v="6139.1999999999989"/>
  </r>
  <r>
    <x v="1"/>
    <x v="11"/>
    <x v="9"/>
    <n v="162.1"/>
    <n v="210.9"/>
    <n v="170.6"/>
    <n v="168.4"/>
    <n v="182.5"/>
    <n v="177.1"/>
    <n v="213.1"/>
    <n v="167.3"/>
    <n v="122.2"/>
    <n v="189.7"/>
    <n v="160.5"/>
    <n v="188.9"/>
    <n v="180.4"/>
    <n v="173.7"/>
    <n v="160"/>
    <n v="171.6"/>
    <n v="169"/>
    <n v="164.2"/>
    <n v="172.6"/>
    <n v="171.4"/>
    <n v="157.69999999999999"/>
    <n v="165.1"/>
    <n v="198.7"/>
    <n v="178.4"/>
    <n v="169.9"/>
    <n v="165.4"/>
    <n v="173.1"/>
    <x v="331"/>
    <n v="505.29999999999995"/>
    <n v="2052.3000000000002"/>
    <n v="344"/>
    <n v="877.49999999999989"/>
    <n v="178.4"/>
    <n v="6072.8"/>
    <n v="6072.8"/>
  </r>
  <r>
    <x v="2"/>
    <x v="11"/>
    <x v="9"/>
    <n v="160.30000000000001"/>
    <n v="206.5"/>
    <n v="169.2"/>
    <n v="168.1"/>
    <n v="192.4"/>
    <n v="172.9"/>
    <n v="186.7"/>
    <n v="167.2"/>
    <n v="120.9"/>
    <n v="193.6"/>
    <n v="168.8"/>
    <n v="186.3"/>
    <n v="176.3"/>
    <n v="179.5"/>
    <n v="172.7"/>
    <n v="178.5"/>
    <n v="169"/>
    <n v="168.5"/>
    <n v="176.8"/>
    <n v="171.2"/>
    <n v="161.9"/>
    <n v="166.9"/>
    <n v="195"/>
    <n v="178.8"/>
    <n v="172.3"/>
    <n v="169.1"/>
    <n v="174.3"/>
    <x v="332"/>
    <n v="530.70000000000005"/>
    <n v="2091.1000000000004"/>
    <n v="348"/>
    <n v="882.1"/>
    <n v="178.8"/>
    <n v="6121.1000000000013"/>
    <n v="6121.1000000000013"/>
  </r>
  <r>
    <x v="0"/>
    <x v="12"/>
    <x v="0"/>
    <n v="110.2"/>
    <n v="109.5"/>
    <n v="106.9"/>
    <n v="106.3"/>
    <n v="105.7"/>
    <n v="108.3"/>
    <n v="103.4"/>
    <n v="105.7"/>
    <n v="104.2"/>
    <n v="103.2"/>
    <n v="106.5"/>
    <n v="108.8"/>
    <n v="107.1"/>
    <n v="108.1"/>
    <n v="107.4"/>
    <n v="108"/>
    <n v="139.5"/>
    <n v="106.1"/>
    <n v="105.1"/>
    <n v="102.7"/>
    <n v="104.4"/>
    <n v="104.5"/>
    <n v="107.1"/>
    <n v="106.5"/>
    <n v="104.8"/>
    <n v="104.6"/>
    <n v="106.4"/>
    <x v="333"/>
    <n v="323.5"/>
    <n v="1304.2"/>
    <n v="207.8"/>
    <n v="527.5"/>
    <n v="106.5"/>
    <n v="3748.8"/>
    <n v="3748.8"/>
  </r>
  <r>
    <x v="1"/>
    <x v="12"/>
    <x v="0"/>
    <n v="114.6"/>
    <n v="113.4"/>
    <n v="106"/>
    <n v="104.7"/>
    <n v="102.1"/>
    <n v="109.5"/>
    <n v="109.7"/>
    <n v="104.6"/>
    <n v="102"/>
    <n v="103.5"/>
    <n v="108.2"/>
    <n v="110.6"/>
    <n v="108.8"/>
    <n v="107.9"/>
    <n v="106.4"/>
    <n v="107.7"/>
    <n v="100.5"/>
    <n v="106.5"/>
    <n v="105.7"/>
    <n v="103.2"/>
    <n v="105"/>
    <n v="104"/>
    <n v="108.5"/>
    <n v="106.4"/>
    <n v="105.2"/>
    <n v="105.1"/>
    <n v="105.7"/>
    <x v="334"/>
    <n v="322"/>
    <n v="1267.0000000000002"/>
    <n v="208.9"/>
    <n v="529.19999999999993"/>
    <n v="106.4"/>
    <n v="3724.7999999999997"/>
    <n v="3724.7999999999997"/>
  </r>
  <r>
    <x v="2"/>
    <x v="12"/>
    <x v="0"/>
    <n v="111.6"/>
    <n v="110.9"/>
    <n v="106.6"/>
    <n v="105.7"/>
    <n v="104.4"/>
    <n v="108.9"/>
    <n v="105.5"/>
    <n v="105.3"/>
    <n v="103.5"/>
    <n v="103.3"/>
    <n v="107.2"/>
    <n v="109.6"/>
    <n v="107.7"/>
    <n v="108"/>
    <n v="107"/>
    <n v="107.9"/>
    <n v="100.5"/>
    <n v="106.3"/>
    <n v="105.3"/>
    <n v="102.9"/>
    <n v="104.7"/>
    <n v="104.2"/>
    <n v="107.5"/>
    <n v="106.5"/>
    <n v="105"/>
    <n v="104.8"/>
    <n v="106.1"/>
    <x v="335"/>
    <n v="322.89999999999998"/>
    <n v="1265.8"/>
    <n v="208.2"/>
    <n v="528"/>
    <n v="106.5"/>
    <n v="3715.0999999999995"/>
    <n v="3715.0999999999995"/>
  </r>
  <r>
    <x v="0"/>
    <x v="12"/>
    <x v="1"/>
    <n v="120.2"/>
    <n v="118.9"/>
    <n v="118.1"/>
    <n v="117"/>
    <n v="109.7"/>
    <n v="125.5"/>
    <n v="120.5"/>
    <n v="111"/>
    <n v="102.6"/>
    <n v="111.2"/>
    <n v="113.5"/>
    <n v="118.7"/>
    <n v="117.2"/>
    <n v="118.1"/>
    <n v="116.1"/>
    <n v="117.8"/>
    <n v="139.5"/>
    <n v="113.7"/>
    <n v="111.8"/>
    <n v="108.9"/>
    <n v="111.2"/>
    <n v="110.5"/>
    <n v="115.4"/>
    <n v="113.4"/>
    <n v="113"/>
    <n v="111.5"/>
    <n v="115.4"/>
    <x v="336"/>
    <n v="352"/>
    <n v="1389.4"/>
    <n v="220.7"/>
    <n v="563.79999999999995"/>
    <n v="113.4"/>
    <n v="4030"/>
    <n v="4030"/>
  </r>
  <r>
    <x v="1"/>
    <x v="12"/>
    <x v="1"/>
    <n v="122.5"/>
    <n v="121.7"/>
    <n v="113.3"/>
    <n v="117"/>
    <n v="103.1"/>
    <n v="126.7"/>
    <n v="121.2"/>
    <n v="111"/>
    <n v="100.3"/>
    <n v="115.3"/>
    <n v="112.7"/>
    <n v="121"/>
    <n v="118.2"/>
    <n v="116.3"/>
    <n v="112.5"/>
    <n v="115.7"/>
    <n v="113.9"/>
    <n v="113.4"/>
    <n v="111"/>
    <n v="109.1"/>
    <n v="111.2"/>
    <n v="111.2"/>
    <n v="117.6"/>
    <n v="110.9"/>
    <n v="112.5"/>
    <n v="111.4"/>
    <n v="114.7"/>
    <x v="337"/>
    <n v="344.5"/>
    <n v="1355.3000000000002"/>
    <n v="220.1"/>
    <n v="563.6"/>
    <n v="110.9"/>
    <n v="3987.5"/>
    <n v="3987.5"/>
  </r>
  <r>
    <x v="2"/>
    <x v="12"/>
    <x v="1"/>
    <n v="120.9"/>
    <n v="119.9"/>
    <n v="116.2"/>
    <n v="117"/>
    <n v="107.3"/>
    <n v="126.1"/>
    <n v="120.7"/>
    <n v="111"/>
    <n v="101.8"/>
    <n v="112.6"/>
    <n v="113.2"/>
    <n v="119.8"/>
    <n v="117.6"/>
    <n v="117.4"/>
    <n v="114.6"/>
    <n v="117"/>
    <n v="113.9"/>
    <n v="113.6"/>
    <n v="111.5"/>
    <n v="109"/>
    <n v="111.2"/>
    <n v="110.9"/>
    <n v="116"/>
    <n v="112.5"/>
    <n v="112.7"/>
    <n v="111.5"/>
    <n v="115.1"/>
    <x v="338"/>
    <n v="349"/>
    <n v="1360.3"/>
    <n v="220.5"/>
    <n v="563.59999999999991"/>
    <n v="112.5"/>
    <n v="3997.4999999999995"/>
    <n v="3997.4999999999995"/>
  </r>
  <r>
    <x v="0"/>
    <x v="12"/>
    <x v="2"/>
    <n v="123.3"/>
    <n v="125.5"/>
    <n v="117.2"/>
    <n v="126.8"/>
    <n v="111.9"/>
    <n v="134.19999999999999"/>
    <n v="127.5"/>
    <n v="121.5"/>
    <n v="97.8"/>
    <n v="119.8"/>
    <n v="119.4"/>
    <n v="128.69999999999999"/>
    <n v="123.6"/>
    <n v="126.4"/>
    <n v="123.3"/>
    <n v="126"/>
    <n v="139.5"/>
    <n v="120.9"/>
    <n v="118.6"/>
    <n v="111.6"/>
    <n v="111.9"/>
    <n v="116.2"/>
    <n v="125.7"/>
    <n v="121.2"/>
    <n v="119.9"/>
    <n v="116"/>
    <n v="121.5"/>
    <x v="339"/>
    <n v="375.7"/>
    <n v="1461.2000000000003"/>
    <n v="230.2"/>
    <n v="599"/>
    <n v="121.2"/>
    <n v="4243.3"/>
    <n v="4243.3"/>
  </r>
  <r>
    <x v="1"/>
    <x v="12"/>
    <x v="2"/>
    <n v="123.8"/>
    <n v="128.19999999999999"/>
    <n v="110"/>
    <n v="126.3"/>
    <n v="104.5"/>
    <n v="130.6"/>
    <n v="130.80000000000001"/>
    <n v="131.30000000000001"/>
    <n v="91.6"/>
    <n v="127.7"/>
    <n v="117.2"/>
    <n v="129.5"/>
    <n v="124.6"/>
    <n v="122.1"/>
    <n v="117.2"/>
    <n v="121.3"/>
    <n v="119.2"/>
    <n v="118.4"/>
    <n v="114.6"/>
    <n v="111.8"/>
    <n v="108.4"/>
    <n v="115.6"/>
    <n v="130.1"/>
    <n v="114.7"/>
    <n v="121.7"/>
    <n v="114.2"/>
    <n v="119.7"/>
    <x v="340"/>
    <n v="360.6"/>
    <n v="1415.1"/>
    <n v="226.39999999999998"/>
    <n v="596.29999999999995"/>
    <n v="114.7"/>
    <n v="4174.5"/>
    <n v="4174.5"/>
  </r>
  <r>
    <x v="2"/>
    <x v="12"/>
    <x v="2"/>
    <n v="123.5"/>
    <n v="126.4"/>
    <n v="114.4"/>
    <n v="126.6"/>
    <n v="109.2"/>
    <n v="132.5"/>
    <n v="128.6"/>
    <n v="124.8"/>
    <n v="95.7"/>
    <n v="122.4"/>
    <n v="118.5"/>
    <n v="129.1"/>
    <n v="124"/>
    <n v="124.7"/>
    <n v="120.8"/>
    <n v="124.1"/>
    <n v="119.2"/>
    <n v="119.7"/>
    <n v="117.1"/>
    <n v="111.7"/>
    <n v="110.1"/>
    <n v="115.9"/>
    <n v="126.9"/>
    <n v="118.7"/>
    <n v="121"/>
    <n v="115.1"/>
    <n v="120.7"/>
    <x v="341"/>
    <n v="369.6"/>
    <n v="1429.9000000000003"/>
    <n v="228.8"/>
    <n v="597.6"/>
    <n v="118.7"/>
    <n v="4201.6000000000013"/>
    <n v="4201.6000000000013"/>
  </r>
  <r>
    <x v="0"/>
    <x v="12"/>
    <x v="3"/>
    <n v="127.4"/>
    <n v="135.4"/>
    <n v="123.4"/>
    <n v="131.30000000000001"/>
    <n v="118.2"/>
    <n v="138.1"/>
    <n v="134.1"/>
    <n v="162.69999999999999"/>
    <n v="105"/>
    <n v="131.4"/>
    <n v="125.4"/>
    <n v="137.4"/>
    <n v="131.80000000000001"/>
    <n v="135"/>
    <n v="130.6"/>
    <n v="134.4"/>
    <n v="139.5"/>
    <n v="128"/>
    <n v="125.2"/>
    <n v="118.4"/>
    <n v="114.4"/>
    <n v="123.2"/>
    <n v="135.5"/>
    <n v="127"/>
    <n v="127.9"/>
    <n v="121.7"/>
    <n v="129"/>
    <x v="342"/>
    <n v="400"/>
    <n v="1539.1000000000001"/>
    <n v="243.60000000000002"/>
    <n v="635.30000000000007"/>
    <n v="127"/>
    <n v="4519.6000000000004"/>
    <n v="4519.6000000000004"/>
  </r>
  <r>
    <x v="1"/>
    <x v="12"/>
    <x v="3"/>
    <n v="124.9"/>
    <n v="139.30000000000001"/>
    <n v="119.9"/>
    <n v="130.19999999999999"/>
    <n v="108.9"/>
    <n v="131.1"/>
    <n v="136.80000000000001"/>
    <n v="176.9"/>
    <n v="109.1"/>
    <n v="140.4"/>
    <n v="121.1"/>
    <n v="135.9"/>
    <n v="131.80000000000001"/>
    <n v="126.8"/>
    <n v="120.5"/>
    <n v="125.8"/>
    <n v="125.6"/>
    <n v="122.8"/>
    <n v="120"/>
    <n v="117.6"/>
    <n v="110"/>
    <n v="119.5"/>
    <n v="141.5"/>
    <n v="114.6"/>
    <n v="127.6"/>
    <n v="118.2"/>
    <n v="125.3"/>
    <x v="343"/>
    <n v="373.1"/>
    <n v="1472.2999999999997"/>
    <n v="237.6"/>
    <n v="621.40000000000009"/>
    <n v="114.6"/>
    <n v="4410.7"/>
    <n v="4410.7"/>
  </r>
  <r>
    <x v="2"/>
    <x v="12"/>
    <x v="3"/>
    <n v="126.6"/>
    <n v="136.80000000000001"/>
    <n v="122"/>
    <n v="130.9"/>
    <n v="114.8"/>
    <n v="134.80000000000001"/>
    <n v="135"/>
    <n v="167.5"/>
    <n v="106.4"/>
    <n v="134.4"/>
    <n v="123.6"/>
    <n v="136.69999999999999"/>
    <n v="131.80000000000001"/>
    <n v="131.80000000000001"/>
    <n v="126.4"/>
    <n v="131"/>
    <n v="125.6"/>
    <n v="125.5"/>
    <n v="123.2"/>
    <n v="118.1"/>
    <n v="112.1"/>
    <n v="121.1"/>
    <n v="137.1"/>
    <n v="122.3"/>
    <n v="127.7"/>
    <n v="120"/>
    <n v="127.3"/>
    <x v="344"/>
    <n v="389.20000000000005"/>
    <n v="1501.9"/>
    <n v="241.3"/>
    <n v="628.20000000000005"/>
    <n v="122.3"/>
    <n v="4461.9000000000005"/>
    <n v="4461.9000000000005"/>
  </r>
  <r>
    <x v="0"/>
    <x v="12"/>
    <x v="4"/>
    <n v="133.19999999999999"/>
    <n v="138.69999999999999"/>
    <n v="127.1"/>
    <n v="137.69999999999999"/>
    <n v="121.3"/>
    <n v="141.80000000000001"/>
    <n v="121.5"/>
    <n v="144.5"/>
    <n v="117.4"/>
    <n v="134.1"/>
    <n v="130"/>
    <n v="145.5"/>
    <n v="133.5"/>
    <n v="142.4"/>
    <n v="136.80000000000001"/>
    <n v="141.6"/>
    <n v="139.5"/>
    <n v="134.30000000000001"/>
    <n v="131"/>
    <n v="123.7"/>
    <n v="119.2"/>
    <n v="128.30000000000001"/>
    <n v="144.4"/>
    <n v="135"/>
    <n v="135.69999999999999"/>
    <n v="127.5"/>
    <n v="132.9"/>
    <x v="345"/>
    <n v="420.80000000000007"/>
    <n v="1611.9000000000003"/>
    <n v="254.7"/>
    <n v="670.90000000000009"/>
    <n v="135"/>
    <n v="4684.6000000000004"/>
    <n v="4684.6000000000004"/>
  </r>
  <r>
    <x v="1"/>
    <x v="12"/>
    <x v="4"/>
    <n v="132.69999999999999"/>
    <n v="140.6"/>
    <n v="124.5"/>
    <n v="136.30000000000001"/>
    <n v="113.5"/>
    <n v="137.69999999999999"/>
    <n v="127.1"/>
    <n v="133.80000000000001"/>
    <n v="120.8"/>
    <n v="141.30000000000001"/>
    <n v="123.8"/>
    <n v="142.6"/>
    <n v="133.4"/>
    <n v="131.19999999999999"/>
    <n v="123"/>
    <n v="130"/>
    <n v="131.69999999999999"/>
    <n v="126"/>
    <n v="123.4"/>
    <n v="122.2"/>
    <n v="114.3"/>
    <n v="122.6"/>
    <n v="148"/>
    <n v="121.4"/>
    <n v="133.6"/>
    <n v="122.5"/>
    <n v="129.1"/>
    <x v="346"/>
    <n v="384.2"/>
    <n v="1527.3999999999999"/>
    <n v="245.60000000000002"/>
    <n v="648.1"/>
    <n v="121.4"/>
    <n v="4513.3999999999996"/>
    <n v="4513.3999999999996"/>
  </r>
  <r>
    <x v="2"/>
    <x v="12"/>
    <x v="4"/>
    <n v="133"/>
    <n v="139.4"/>
    <n v="126.1"/>
    <n v="137.19999999999999"/>
    <n v="118.4"/>
    <n v="139.9"/>
    <n v="123.4"/>
    <n v="140.9"/>
    <n v="118.5"/>
    <n v="136.5"/>
    <n v="127.4"/>
    <n v="144.19999999999999"/>
    <n v="133.5"/>
    <n v="138"/>
    <n v="131.1"/>
    <n v="137"/>
    <n v="131.69999999999999"/>
    <n v="130.4"/>
    <n v="128.1"/>
    <n v="123.1"/>
    <n v="116.6"/>
    <n v="125.1"/>
    <n v="145.4"/>
    <n v="129.80000000000001"/>
    <n v="134.5"/>
    <n v="125.1"/>
    <n v="131.1"/>
    <x v="347"/>
    <n v="406.1"/>
    <n v="1570.8"/>
    <n v="251.2"/>
    <n v="659.9"/>
    <n v="129.80000000000001"/>
    <n v="4606.3999999999996"/>
    <n v="4606.3999999999996"/>
  </r>
  <r>
    <x v="0"/>
    <x v="12"/>
    <x v="5"/>
    <n v="137.1"/>
    <n v="144.5"/>
    <n v="135.9"/>
    <n v="142.4"/>
    <n v="123.5"/>
    <n v="156.4"/>
    <n v="135.1"/>
    <n v="128.4"/>
    <n v="115.2"/>
    <n v="137.19999999999999"/>
    <n v="131.9"/>
    <n v="153.80000000000001"/>
    <n v="138.6"/>
    <n v="150.1"/>
    <n v="143.30000000000001"/>
    <n v="149.1"/>
    <n v="139.5"/>
    <n v="140.9"/>
    <n v="137.6"/>
    <n v="130.4"/>
    <n v="125.3"/>
    <n v="136"/>
    <n v="156.1"/>
    <n v="143.80000000000001"/>
    <n v="143.69999999999999"/>
    <n v="134.19999999999999"/>
    <n v="139.1"/>
    <x v="348"/>
    <n v="442.5"/>
    <n v="1695.8"/>
    <n v="268"/>
    <n v="713.8"/>
    <n v="143.80000000000001"/>
    <n v="4900.1000000000004"/>
    <n v="4900.1000000000004"/>
  </r>
  <r>
    <x v="1"/>
    <x v="12"/>
    <x v="5"/>
    <n v="135"/>
    <n v="144.30000000000001"/>
    <n v="130.80000000000001"/>
    <n v="140.30000000000001"/>
    <n v="116.6"/>
    <n v="150.1"/>
    <n v="127.6"/>
    <n v="114"/>
    <n v="110.6"/>
    <n v="140.19999999999999"/>
    <n v="126.5"/>
    <n v="148.30000000000001"/>
    <n v="135.69999999999999"/>
    <n v="137.80000000000001"/>
    <n v="127.4"/>
    <n v="136.19999999999999"/>
    <n v="142.9"/>
    <n v="131.80000000000001"/>
    <n v="131.30000000000001"/>
    <n v="127.6"/>
    <n v="118.9"/>
    <n v="127.6"/>
    <n v="159.19999999999999"/>
    <n v="124.6"/>
    <n v="139.69999999999999"/>
    <n v="128.19999999999999"/>
    <n v="134.80000000000001"/>
    <x v="349"/>
    <n v="401.40000000000003"/>
    <n v="1605"/>
    <n v="258.89999999999998"/>
    <n v="679.3"/>
    <n v="124.6"/>
    <n v="4664.6000000000004"/>
    <n v="4664.6000000000004"/>
  </r>
  <r>
    <x v="2"/>
    <x v="12"/>
    <x v="5"/>
    <n v="136.4"/>
    <n v="144.4"/>
    <n v="133.9"/>
    <n v="141.6"/>
    <n v="121"/>
    <n v="153.5"/>
    <n v="132.6"/>
    <n v="123.5"/>
    <n v="113.7"/>
    <n v="138.19999999999999"/>
    <n v="129.6"/>
    <n v="151.19999999999999"/>
    <n v="137.5"/>
    <n v="145.30000000000001"/>
    <n v="136.69999999999999"/>
    <n v="144"/>
    <n v="142.9"/>
    <n v="136.6"/>
    <n v="135.19999999999999"/>
    <n v="129.19999999999999"/>
    <n v="121.9"/>
    <n v="131.30000000000001"/>
    <n v="156.9"/>
    <n v="136.5"/>
    <n v="141.4"/>
    <n v="131.30000000000001"/>
    <n v="137.1"/>
    <x v="350"/>
    <n v="426"/>
    <n v="1657.9000000000003"/>
    <n v="264.39999999999998"/>
    <n v="697.40000000000009"/>
    <n v="136.5"/>
    <n v="4802.8000000000011"/>
    <n v="4802.8000000000011"/>
  </r>
  <r>
    <x v="0"/>
    <x v="12"/>
    <x v="7"/>
    <n v="147.19999999999999"/>
    <n v="167.1"/>
    <n v="146.9"/>
    <n v="155.6"/>
    <n v="137.1"/>
    <n v="147.30000000000001"/>
    <n v="162.69999999999999"/>
    <n v="150.19999999999999"/>
    <n v="119.8"/>
    <n v="158.69999999999999"/>
    <n v="139.19999999999999"/>
    <n v="159.56666666666669"/>
    <n v="150.1"/>
    <n v="150.76666666666668"/>
    <n v="141.1"/>
    <n v="149.30000000000001"/>
    <n v="149.5"/>
    <n v="146.23333333333335"/>
    <n v="154.30000000000001"/>
    <n v="145.19999999999999"/>
    <n v="130.1"/>
    <n v="144.26666666666668"/>
    <n v="171.66666666666666"/>
    <n v="147.9"/>
    <n v="156.6"/>
    <n v="143.69999999999999"/>
    <n v="148.56666666666669"/>
    <x v="351"/>
    <n v="441.16666666666669"/>
    <n v="1786.9333333333334"/>
    <n v="299.5"/>
    <n v="764.13333333333344"/>
    <n v="147.9"/>
    <n v="5233.2"/>
    <n v="5233.2"/>
  </r>
  <r>
    <x v="1"/>
    <x v="12"/>
    <x v="7"/>
    <n v="151.80000000000001"/>
    <n v="167.20000000000002"/>
    <n v="151.9"/>
    <n v="155.5"/>
    <n v="131.6"/>
    <n v="152.9"/>
    <n v="180"/>
    <n v="150.80000000000001"/>
    <n v="121.2"/>
    <n v="154"/>
    <n v="133.5"/>
    <n v="159.42222222222222"/>
    <n v="153.5"/>
    <n v="149.88888888888889"/>
    <n v="138.93333333333337"/>
    <n v="148.23333333333332"/>
    <n v="152.83333333333334"/>
    <n v="144.47777777777779"/>
    <n v="144.80000000000001"/>
    <n v="145.23333333333332"/>
    <n v="128.20000000000002"/>
    <n v="141.95555555555555"/>
    <n v="172.05555555555554"/>
    <n v="146.06666666666669"/>
    <n v="155.06666666666669"/>
    <n v="142.06666666666666"/>
    <n v="148.15555555555557"/>
    <x v="352"/>
    <n v="437.05555555555554"/>
    <n v="1767.7444444444445"/>
    <n v="290.0333333333333"/>
    <n v="757.21111111111122"/>
    <n v="146.06666666666669"/>
    <n v="5215.3666666666668"/>
    <n v="5215.3666666666668"/>
  </r>
  <r>
    <x v="2"/>
    <x v="12"/>
    <x v="7"/>
    <n v="148.69999999999999"/>
    <n v="167.10000000000002"/>
    <n v="148.80000000000001"/>
    <n v="155.6"/>
    <n v="135.1"/>
    <n v="149.9"/>
    <n v="168.6"/>
    <n v="150.4"/>
    <n v="120.3"/>
    <n v="157.1"/>
    <n v="136.80000000000001"/>
    <n v="159.52962962962962"/>
    <n v="151.4"/>
    <n v="150.61851851851853"/>
    <n v="140.64444444444447"/>
    <n v="149.11111111111111"/>
    <n v="152.2777777777778"/>
    <n v="145.7037037037037"/>
    <n v="150.69999999999999"/>
    <n v="145.21111111111111"/>
    <n v="129.4"/>
    <n v="143.3074074074074"/>
    <n v="171.64074074074074"/>
    <n v="147.62222222222223"/>
    <n v="155.92222222222222"/>
    <n v="143.1888888888889"/>
    <n v="148.44074074074075"/>
    <x v="353"/>
    <n v="440.37407407407409"/>
    <n v="1782.1592592592597"/>
    <n v="295.9111111111111"/>
    <n v="761.68148148148146"/>
    <n v="147.62222222222223"/>
    <n v="5229.4555555555562"/>
    <n v="5229.4555555555562"/>
  </r>
  <r>
    <x v="0"/>
    <x v="12"/>
    <x v="8"/>
    <n v="142.69999999999999"/>
    <n v="195.5"/>
    <n v="163.4"/>
    <n v="155"/>
    <n v="175.2"/>
    <n v="160.6"/>
    <n v="135.1"/>
    <n v="161.1"/>
    <n v="112.2"/>
    <n v="164.4"/>
    <n v="161.9"/>
    <n v="166.8"/>
    <n v="155.6"/>
    <n v="160.69999999999999"/>
    <n v="155.1"/>
    <n v="159.9"/>
    <n v="139.5"/>
    <n v="155.5"/>
    <n v="165.3"/>
    <n v="154.6"/>
    <n v="151.69999999999999"/>
    <n v="158.6"/>
    <n v="186.8"/>
    <n v="156"/>
    <n v="164.1"/>
    <n v="158"/>
    <n v="157.6"/>
    <x v="354"/>
    <n v="475.69999999999993"/>
    <n v="1907.7999999999997"/>
    <n v="319.89999999999998"/>
    <n v="823.5"/>
    <n v="156"/>
    <n v="5576.4"/>
    <n v="5576.4"/>
  </r>
  <r>
    <x v="1"/>
    <x v="12"/>
    <x v="8"/>
    <n v="147.6"/>
    <n v="202.5"/>
    <n v="166.4"/>
    <n v="156"/>
    <n v="161.4"/>
    <n v="168.8"/>
    <n v="161.6"/>
    <n v="162.80000000000001"/>
    <n v="114.8"/>
    <n v="162.80000000000001"/>
    <n v="151.5"/>
    <n v="171.4"/>
    <n v="162"/>
    <n v="155.9"/>
    <n v="139.30000000000001"/>
    <n v="153.4"/>
    <n v="161.4"/>
    <n v="147.6"/>
    <n v="157.5"/>
    <n v="156.6"/>
    <n v="142.1"/>
    <n v="149.1"/>
    <n v="194.4"/>
    <n v="154.9"/>
    <n v="157.6"/>
    <n v="150.5"/>
    <n v="158"/>
    <x v="355"/>
    <n v="448.6"/>
    <n v="1869.8"/>
    <n v="314.10000000000002"/>
    <n v="806.5"/>
    <n v="154.9"/>
    <n v="5528.6"/>
    <n v="5528.6"/>
  </r>
  <r>
    <x v="2"/>
    <x v="12"/>
    <x v="8"/>
    <n v="144.30000000000001"/>
    <n v="198"/>
    <n v="164.6"/>
    <n v="155.4"/>
    <n v="170.1"/>
    <n v="164.4"/>
    <n v="144.1"/>
    <n v="161.69999999999999"/>
    <n v="113.1"/>
    <n v="163.9"/>
    <n v="157.6"/>
    <n v="168.9"/>
    <n v="158"/>
    <n v="158.80000000000001"/>
    <n v="148.5"/>
    <n v="157.30000000000001"/>
    <n v="161.4"/>
    <n v="151.80000000000001"/>
    <n v="162.30000000000001"/>
    <n v="155.4"/>
    <n v="146.6"/>
    <n v="153.19999999999999"/>
    <n v="188.8"/>
    <n v="155.6"/>
    <n v="160.30000000000001"/>
    <n v="154.4"/>
    <n v="157.80000000000001"/>
    <x v="356"/>
    <n v="464.6"/>
    <n v="1899.9999999999998"/>
    <n v="317.70000000000005"/>
    <n v="812.30000000000007"/>
    <n v="155.6"/>
    <n v="5558.7"/>
    <n v="5558.7"/>
  </r>
  <r>
    <x v="0"/>
    <x v="12"/>
    <x v="9"/>
    <n v="151.80000000000001"/>
    <n v="209.7"/>
    <n v="164.5"/>
    <n v="163.80000000000001"/>
    <n v="207.4"/>
    <n v="169.7"/>
    <n v="153.6"/>
    <n v="165.1"/>
    <n v="118.2"/>
    <n v="182.9"/>
    <n v="172.4"/>
    <n v="178.9"/>
    <n v="168.6"/>
    <n v="177.5"/>
    <n v="175.1"/>
    <n v="177.1"/>
    <n v="139.5"/>
    <n v="167.7"/>
    <n v="177"/>
    <n v="169"/>
    <n v="166.2"/>
    <n v="167.2"/>
    <n v="192.8"/>
    <n v="173.3"/>
    <n v="170.9"/>
    <n v="170.2"/>
    <n v="170.8"/>
    <x v="357"/>
    <n v="529.70000000000005"/>
    <n v="2053.3000000000002"/>
    <n v="346"/>
    <n v="874.39999999999986"/>
    <n v="173.3"/>
    <n v="6010"/>
    <n v="6010"/>
  </r>
  <r>
    <x v="1"/>
    <x v="12"/>
    <x v="9"/>
    <n v="155.4"/>
    <n v="215.8"/>
    <n v="164.6"/>
    <n v="164.2"/>
    <n v="186"/>
    <n v="175.9"/>
    <n v="190.7"/>
    <n v="164"/>
    <n v="120.5"/>
    <n v="178"/>
    <n v="157.5"/>
    <n v="183.3"/>
    <n v="174.5"/>
    <n v="168.4"/>
    <n v="154.5"/>
    <n v="166.3"/>
    <n v="167"/>
    <n v="159.80000000000001"/>
    <n v="169"/>
    <n v="168.4"/>
    <n v="159.30000000000001"/>
    <n v="162.19999999999999"/>
    <n v="197.1"/>
    <n v="170.5"/>
    <n v="164"/>
    <n v="163.1"/>
    <n v="169.2"/>
    <x v="358"/>
    <n v="489.2"/>
    <n v="2006.5"/>
    <n v="337.4"/>
    <n v="856.9"/>
    <n v="170.5"/>
    <n v="5920.4"/>
    <n v="5920.4"/>
  </r>
  <r>
    <x v="2"/>
    <x v="12"/>
    <x v="9"/>
    <n v="152.9"/>
    <n v="211.8"/>
    <n v="164.5"/>
    <n v="163.9"/>
    <n v="199.5"/>
    <n v="172.6"/>
    <n v="166.2"/>
    <n v="164.7"/>
    <n v="119"/>
    <n v="181.3"/>
    <n v="166.2"/>
    <n v="180.9"/>
    <n v="170.8"/>
    <n v="173.9"/>
    <n v="166.5"/>
    <n v="172.8"/>
    <n v="167"/>
    <n v="164"/>
    <n v="174"/>
    <n v="168.8"/>
    <n v="162.6"/>
    <n v="164.4"/>
    <n v="193.9"/>
    <n v="172.2"/>
    <n v="166.9"/>
    <n v="166.8"/>
    <n v="170.1"/>
    <x v="359"/>
    <n v="513.20000000000005"/>
    <n v="2047.0000000000002"/>
    <n v="342.8"/>
    <n v="864.2"/>
    <n v="172.2"/>
    <n v="5981.5"/>
    <n v="5981.5"/>
  </r>
  <r>
    <x v="0"/>
    <x v="12"/>
    <x v="10"/>
    <n v="173.3"/>
    <n v="206.9"/>
    <n v="167.9"/>
    <n v="178.2"/>
    <n v="178.5"/>
    <n v="173.7"/>
    <n v="142.80000000000001"/>
    <n v="172.8"/>
    <n v="120.4"/>
    <n v="215.5"/>
    <n v="178.2"/>
    <n v="190.5"/>
    <n v="175.5"/>
    <n v="190.7"/>
    <n v="187.3"/>
    <n v="190.2"/>
    <n v="139.5"/>
    <n v="179.1"/>
    <n v="187.2"/>
    <n v="183.8"/>
    <n v="169.4"/>
    <n v="173.2"/>
    <n v="199.5"/>
    <n v="181.5"/>
    <n v="179.4"/>
    <n v="178.9"/>
    <n v="178.8"/>
    <x v="360"/>
    <n v="568.20000000000005"/>
    <n v="2160.8000000000002"/>
    <n v="371"/>
    <n v="912.5"/>
    <n v="181.5"/>
    <n v="6286.7"/>
    <n v="6286.7"/>
  </r>
  <r>
    <x v="1"/>
    <x v="12"/>
    <x v="10"/>
    <n v="174.8"/>
    <n v="213.7"/>
    <n v="172.4"/>
    <n v="178.8"/>
    <n v="168.7"/>
    <n v="179.2"/>
    <n v="179.9"/>
    <n v="174.7"/>
    <n v="123.1"/>
    <n v="207.8"/>
    <n v="165.5"/>
    <n v="197"/>
    <n v="182.1"/>
    <n v="181"/>
    <n v="167.7"/>
    <n v="178.9"/>
    <n v="175.2"/>
    <n v="169.6"/>
    <n v="181.5"/>
    <n v="184.4"/>
    <n v="160.1"/>
    <n v="168.8"/>
    <n v="203.5"/>
    <n v="182.1"/>
    <n v="174.2"/>
    <n v="170.9"/>
    <n v="177.4"/>
    <x v="361"/>
    <n v="527.6"/>
    <n v="2127"/>
    <n v="365.9"/>
    <n v="899.49999999999989"/>
    <n v="182.1"/>
    <n v="6237.7"/>
    <n v="6237.7"/>
  </r>
  <r>
    <x v="2"/>
    <x v="12"/>
    <x v="10"/>
    <n v="173.8"/>
    <n v="209.3"/>
    <n v="169.6"/>
    <n v="178.4"/>
    <n v="174.9"/>
    <n v="176.3"/>
    <n v="155.4"/>
    <n v="173.4"/>
    <n v="121.3"/>
    <n v="212.9"/>
    <n v="172.9"/>
    <n v="193.5"/>
    <n v="177.9"/>
    <n v="186.9"/>
    <n v="179.2"/>
    <n v="185.7"/>
    <n v="175.2"/>
    <n v="174.6"/>
    <n v="185"/>
    <n v="184"/>
    <n v="164.5"/>
    <n v="170.7"/>
    <n v="200.6"/>
    <n v="181.7"/>
    <n v="176.4"/>
    <n v="175"/>
    <n v="178.1"/>
    <x v="362"/>
    <n v="551.79999999999995"/>
    <n v="2164.5"/>
    <n v="369"/>
    <n v="904.4"/>
    <n v="181.7"/>
    <n v="6279.3"/>
    <n v="627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9DB62F-9AEE-4C17-9E44-0A4CFD25E0B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s">
  <location ref="BB16:BD49" firstHeaderRow="0" firstDataRow="1" firstDataCol="1"/>
  <pivotFields count="38">
    <pivotField showAll="0"/>
    <pivotField axis="axisRow" showAll="0">
      <items count="14">
        <item x="8"/>
        <item x="9"/>
        <item x="5"/>
        <item x="12"/>
        <item x="4"/>
        <item x="6"/>
        <item x="7"/>
        <item x="11"/>
        <item x="0"/>
        <item x="1"/>
        <item x="3"/>
        <item x="10"/>
        <item x="2"/>
        <item t="default"/>
      </items>
    </pivotField>
    <pivotField axis="axisRow" showAll="0">
      <items count="12">
        <item h="1" x="0"/>
        <item h="1" x="1"/>
        <item h="1" x="2"/>
        <item h="1" x="3"/>
        <item h="1" x="4"/>
        <item h="1" x="5"/>
        <item h="1" x="6"/>
        <item h="1"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s>
  <rowFields count="2">
    <field x="2"/>
    <field x="1"/>
  </rowFields>
  <rowItems count="33">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Sum of Energy" fld="35" baseField="0" baseItem="0"/>
    <dataField name="Sum of All Indexs Excep Energy" fld="3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CAF478-E6D6-4BC2-BE58-E5AE7EAA7F25}" name="PivotTable10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AO16:AS42" firstHeaderRow="0" firstDataRow="1" firstDataCol="1"/>
  <pivotFields count="38">
    <pivotField showAll="0"/>
    <pivotField axis="axisRow" multipleItemSelectionAllowed="1" showAll="0">
      <items count="14">
        <item x="8"/>
        <item x="9"/>
        <item x="5"/>
        <item x="12"/>
        <item x="4"/>
        <item x="6"/>
        <item x="7"/>
        <item x="11"/>
        <item x="0"/>
        <item x="1"/>
        <item x="3"/>
        <item x="10"/>
        <item x="2"/>
        <item t="default"/>
      </items>
    </pivotField>
    <pivotField axis="axisRow" showAll="0">
      <items count="12">
        <item h="1" x="0"/>
        <item h="1" x="1"/>
        <item h="1" x="2"/>
        <item h="1" x="3"/>
        <item h="1" x="4"/>
        <item h="1" x="5"/>
        <item x="6"/>
        <item x="7"/>
        <item h="1" x="8"/>
        <item h="1" x="9"/>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showAll="0"/>
    <pivotField showAll="0"/>
    <pivotField dataField="1" showAll="0"/>
    <pivotField showAll="0"/>
  </pivotFields>
  <rowFields count="2">
    <field x="2"/>
    <field x="1"/>
  </rowFields>
  <rowItems count="26">
    <i>
      <x v="6"/>
    </i>
    <i r="1">
      <x/>
    </i>
    <i r="1">
      <x v="1"/>
    </i>
    <i r="1">
      <x v="2"/>
    </i>
    <i r="1">
      <x v="4"/>
    </i>
    <i r="1">
      <x v="5"/>
    </i>
    <i r="1">
      <x v="6"/>
    </i>
    <i r="1">
      <x v="7"/>
    </i>
    <i r="1">
      <x v="8"/>
    </i>
    <i r="1">
      <x v="9"/>
    </i>
    <i r="1">
      <x v="10"/>
    </i>
    <i r="1">
      <x v="11"/>
    </i>
    <i>
      <x v="7"/>
    </i>
    <i r="1">
      <x/>
    </i>
    <i r="1">
      <x v="1"/>
    </i>
    <i r="1">
      <x v="2"/>
    </i>
    <i r="1">
      <x v="3"/>
    </i>
    <i r="1">
      <x v="4"/>
    </i>
    <i r="1">
      <x v="5"/>
    </i>
    <i r="1">
      <x v="6"/>
    </i>
    <i r="1">
      <x v="7"/>
    </i>
    <i r="1">
      <x v="8"/>
    </i>
    <i r="1">
      <x v="9"/>
    </i>
    <i r="1">
      <x v="10"/>
    </i>
    <i r="1">
      <x v="11"/>
    </i>
    <i t="grand">
      <x/>
    </i>
  </rowItems>
  <colFields count="1">
    <field x="-2"/>
  </colFields>
  <colItems count="4">
    <i>
      <x/>
    </i>
    <i i="1">
      <x v="1"/>
    </i>
    <i i="2">
      <x v="2"/>
    </i>
    <i i="3">
      <x v="3"/>
    </i>
  </colItems>
  <dataFields count="4">
    <dataField name="Sum of Food" fld="30" baseField="0" baseItem="0"/>
    <dataField name="Sum of Healthcare" fld="33" baseField="0" baseItem="0"/>
    <dataField name="Sum of Essential services" fld="32" baseField="0" baseItem="0"/>
    <dataField name="Sum of All indexs" fld="36" baseField="0" baseItem="0"/>
  </dataFields>
  <formats count="9">
    <format dxfId="29">
      <pivotArea collapsedLevelsAreSubtotals="1" fieldPosition="0">
        <references count="2">
          <reference field="1" count="2">
            <x v="3"/>
            <x v="4"/>
          </reference>
          <reference field="2" count="0" selected="0"/>
        </references>
      </pivotArea>
    </format>
    <format dxfId="28">
      <pivotArea type="all" dataOnly="0" outline="0" fieldPosition="0"/>
    </format>
    <format dxfId="27">
      <pivotArea outline="0" collapsedLevelsAreSubtotals="1" fieldPosition="0"/>
    </format>
    <format dxfId="26">
      <pivotArea field="2" type="button" dataOnly="0" labelOnly="1" outline="0" axis="axisRow" fieldPosition="0"/>
    </format>
    <format dxfId="25">
      <pivotArea dataOnly="0" labelOnly="1" fieldPosition="0">
        <references count="1">
          <reference field="2" count="0"/>
        </references>
      </pivotArea>
    </format>
    <format dxfId="24">
      <pivotArea dataOnly="0" labelOnly="1" grandRow="1" outline="0" fieldPosition="0"/>
    </format>
    <format dxfId="23">
      <pivotArea dataOnly="0" labelOnly="1" fieldPosition="0">
        <references count="2">
          <reference field="1" count="11">
            <x v="0"/>
            <x v="1"/>
            <x v="2"/>
            <x v="4"/>
            <x v="5"/>
            <x v="6"/>
            <x v="7"/>
            <x v="8"/>
            <x v="9"/>
            <x v="10"/>
            <x v="11"/>
          </reference>
          <reference field="2" count="1" selected="0">
            <x v="6"/>
          </reference>
        </references>
      </pivotArea>
    </format>
    <format dxfId="22">
      <pivotArea dataOnly="0" labelOnly="1" fieldPosition="0">
        <references count="2">
          <reference field="1" count="12">
            <x v="0"/>
            <x v="1"/>
            <x v="2"/>
            <x v="3"/>
            <x v="4"/>
            <x v="5"/>
            <x v="6"/>
            <x v="7"/>
            <x v="8"/>
            <x v="9"/>
            <x v="10"/>
            <x v="11"/>
          </reference>
          <reference field="2" count="1" selected="0">
            <x v="7"/>
          </reference>
        </references>
      </pivotArea>
    </format>
    <format dxfId="2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80267F-12B4-4B66-BD58-FA9F4299AFB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s" colHeaderCaption="Sectors">
  <location ref="A18:D27" firstHeaderRow="1" firstDataRow="2" firstDataCol="1"/>
  <pivotFields count="38">
    <pivotField axis="axisCol" showAll="0">
      <items count="4">
        <item x="0"/>
        <item h="1" x="2"/>
        <item x="1"/>
        <item t="default"/>
      </items>
    </pivotField>
    <pivotField showAll="0"/>
    <pivotField axis="axisRow" showAll="0">
      <items count="12">
        <item h="1" x="0"/>
        <item h="1" x="1"/>
        <item h="1" x="2"/>
        <item h="1"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8">
    <i>
      <x v="4"/>
    </i>
    <i>
      <x v="5"/>
    </i>
    <i>
      <x v="6"/>
    </i>
    <i>
      <x v="7"/>
    </i>
    <i>
      <x v="8"/>
    </i>
    <i>
      <x v="9"/>
    </i>
    <i>
      <x v="10"/>
    </i>
    <i t="grand">
      <x/>
    </i>
  </rowItems>
  <colFields count="1">
    <field x="0"/>
  </colFields>
  <colItems count="3">
    <i>
      <x/>
    </i>
    <i>
      <x v="2"/>
    </i>
    <i t="grand">
      <x/>
    </i>
  </colItems>
  <dataFields count="1">
    <dataField name="Rural / Urban" fld="36" baseField="0" baseItem="0"/>
  </dataFields>
  <formats count="11">
    <format dxfId="40">
      <pivotArea type="all" dataOnly="0" outline="0" fieldPosition="0"/>
    </format>
    <format dxfId="39">
      <pivotArea type="all" dataOnly="0" outline="0" fieldPosition="0"/>
    </format>
    <format dxfId="38">
      <pivotArea outline="0" collapsedLevelsAreSubtotals="1" fieldPosition="0"/>
    </format>
    <format dxfId="37">
      <pivotArea type="origin" dataOnly="0" labelOnly="1" outline="0" fieldPosition="0"/>
    </format>
    <format dxfId="36">
      <pivotArea field="0" type="button" dataOnly="0" labelOnly="1" outline="0" axis="axisCol" fieldPosition="0"/>
    </format>
    <format dxfId="35">
      <pivotArea type="topRight" dataOnly="0" labelOnly="1" outline="0" fieldPosition="0"/>
    </format>
    <format dxfId="34">
      <pivotArea field="2" type="button" dataOnly="0" labelOnly="1" outline="0" axis="axisRow" fieldPosition="0"/>
    </format>
    <format dxfId="33">
      <pivotArea dataOnly="0" labelOnly="1" fieldPosition="0">
        <references count="1">
          <reference field="2" count="0"/>
        </references>
      </pivotArea>
    </format>
    <format dxfId="32">
      <pivotArea dataOnly="0" labelOnly="1" grandRow="1" outline="0" fieldPosition="0"/>
    </format>
    <format dxfId="31">
      <pivotArea dataOnly="0" labelOnly="1" fieldPosition="0">
        <references count="1">
          <reference field="0" count="0"/>
        </references>
      </pivotArea>
    </format>
    <format dxfId="3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4AF84A-2AFA-4E1A-B403-C0CDF3FFE8E1}"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s">
  <location ref="BM16:BS21" firstHeaderRow="0" firstDataRow="1" firstDataCol="1"/>
  <pivotFields count="38">
    <pivotField showAll="0"/>
    <pivotField showAll="0"/>
    <pivotField axis="axisRow" showAll="0">
      <items count="12">
        <item h="1" x="0"/>
        <item h="1" x="1"/>
        <item h="1" x="2"/>
        <item h="1" x="3"/>
        <item h="1" x="4"/>
        <item h="1" x="5"/>
        <item h="1"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s>
  <rowFields count="1">
    <field x="2"/>
  </rowFields>
  <rowItems count="5">
    <i>
      <x v="7"/>
    </i>
    <i>
      <x v="8"/>
    </i>
    <i>
      <x v="9"/>
    </i>
    <i>
      <x v="10"/>
    </i>
    <i t="grand">
      <x/>
    </i>
  </rowItems>
  <colFields count="1">
    <field x="-2"/>
  </colFields>
  <colItems count="6">
    <i>
      <x/>
    </i>
    <i i="1">
      <x v="1"/>
    </i>
    <i i="2">
      <x v="2"/>
    </i>
    <i i="3">
      <x v="3"/>
    </i>
    <i i="4">
      <x v="4"/>
    </i>
    <i i="5">
      <x v="5"/>
    </i>
  </colItems>
  <dataFields count="6">
    <dataField name="Sum of Food" fld="30" baseField="0" baseItem="0"/>
    <dataField name="Sum of Clothing &amp; Footwear" fld="31" baseField="0" baseItem="0"/>
    <dataField name="Sum of Essential services" fld="32" baseField="0" baseItem="0"/>
    <dataField name="Sum of Healthcare" fld="33" baseField="0" baseItem="0"/>
    <dataField name="Sum of Luxury &amp;Other Thing" fld="34" baseField="0" baseItem="0"/>
    <dataField name="Sum of Energy" fld="3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50BF82-20FC-4C1F-A1DA-2C99ECD639F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BM26:BS59" firstHeaderRow="0" firstDataRow="1" firstDataCol="1" rowPageCount="1" colPageCount="1"/>
  <pivotFields count="38">
    <pivotField axis="axisPage" showAll="0">
      <items count="4">
        <item x="0"/>
        <item x="2"/>
        <item x="1"/>
        <item t="default"/>
      </items>
    </pivotField>
    <pivotField axis="axisRow" showAll="0">
      <items count="14">
        <item x="8"/>
        <item x="9"/>
        <item x="5"/>
        <item x="12"/>
        <item x="4"/>
        <item x="6"/>
        <item x="7"/>
        <item x="11"/>
        <item x="0"/>
        <item x="1"/>
        <item x="3"/>
        <item x="10"/>
        <item x="2"/>
        <item t="default"/>
      </items>
    </pivotField>
    <pivotField axis="axisRow" showAll="0">
      <items count="12">
        <item h="1" x="0"/>
        <item h="1" x="1"/>
        <item h="1" x="2"/>
        <item h="1" x="3"/>
        <item h="1" x="4"/>
        <item h="1" x="5"/>
        <item h="1" x="6"/>
        <item h="1"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s>
  <rowFields count="2">
    <field x="2"/>
    <field x="1"/>
  </rowFields>
  <rowItems count="33">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6">
    <i>
      <x/>
    </i>
    <i i="1">
      <x v="1"/>
    </i>
    <i i="2">
      <x v="2"/>
    </i>
    <i i="3">
      <x v="3"/>
    </i>
    <i i="4">
      <x v="4"/>
    </i>
    <i i="5">
      <x v="5"/>
    </i>
  </colItems>
  <pageFields count="1">
    <pageField fld="0" item="1" hier="-1"/>
  </pageFields>
  <dataFields count="6">
    <dataField name="Sum of Food" fld="30" baseField="0" baseItem="0"/>
    <dataField name="Sum of Clothing &amp; Footwear" fld="31" baseField="0" baseItem="0"/>
    <dataField name="Sum of Essential services" fld="32" baseField="0" baseItem="0"/>
    <dataField name="Sum of Healthcare" fld="33" baseField="0" baseItem="0"/>
    <dataField name="Sum of Luxury &amp;Other Thing" fld="34" baseField="0" baseItem="0"/>
    <dataField name="Sum of Energy" fld="3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2B4A30-7134-405C-BF6C-B5B6A1744BA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Year">
  <location ref="AY16:AZ23" firstHeaderRow="1" firstDataRow="1" firstDataCol="1"/>
  <pivotFields count="38">
    <pivotField showAll="0"/>
    <pivotField axis="axisRow" showAll="0">
      <items count="14">
        <item x="8"/>
        <item x="9"/>
        <item x="5"/>
        <item x="12"/>
        <item x="4"/>
        <item x="6"/>
        <item x="7"/>
        <item x="11"/>
        <item x="0"/>
        <item x="1"/>
        <item x="3"/>
        <item x="10"/>
        <item x="2"/>
        <item t="default"/>
      </items>
    </pivotField>
    <pivotField axis="axisRow" showAll="0">
      <items count="12">
        <item h="1" x="0"/>
        <item h="1" x="1"/>
        <item h="1" x="2"/>
        <item h="1" x="3"/>
        <item h="1" x="4"/>
        <item h="1" x="5"/>
        <item h="1" x="6"/>
        <item h="1" x="7"/>
        <item h="1" x="8"/>
        <item h="1"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2">
    <field x="2"/>
    <field x="1"/>
  </rowFields>
  <rowItems count="7">
    <i>
      <x v="10"/>
    </i>
    <i r="1">
      <x/>
    </i>
    <i r="1">
      <x v="1"/>
    </i>
    <i r="1">
      <x v="2"/>
    </i>
    <i r="1">
      <x v="3"/>
    </i>
    <i r="1">
      <x v="4"/>
    </i>
    <i t="grand">
      <x/>
    </i>
  </rowItems>
  <colItems count="1">
    <i/>
  </colItems>
  <dataFields count="1">
    <dataField name="Sum of All indexs" fld="36" baseField="0" baseItem="0"/>
  </dataFields>
  <formats count="7">
    <format dxfId="47">
      <pivotArea type="all" dataOnly="0" outline="0" fieldPosition="0"/>
    </format>
    <format dxfId="46">
      <pivotArea outline="0" collapsedLevelsAreSubtotals="1" fieldPosition="0"/>
    </format>
    <format dxfId="45">
      <pivotArea field="2" type="button" dataOnly="0" labelOnly="1" outline="0" axis="axisRow" fieldPosition="0"/>
    </format>
    <format dxfId="44">
      <pivotArea dataOnly="0" labelOnly="1" fieldPosition="0">
        <references count="1">
          <reference field="2" count="0"/>
        </references>
      </pivotArea>
    </format>
    <format dxfId="43">
      <pivotArea dataOnly="0" labelOnly="1" grandRow="1" outline="0" fieldPosition="0"/>
    </format>
    <format dxfId="42">
      <pivotArea dataOnly="0" labelOnly="1" fieldPosition="0">
        <references count="2">
          <reference field="1" count="5">
            <x v="0"/>
            <x v="1"/>
            <x v="2"/>
            <x v="3"/>
            <x v="4"/>
          </reference>
          <reference field="2" count="0" selected="0"/>
        </references>
      </pivotArea>
    </format>
    <format dxfId="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D0D493-EE8E-4B08-AC5F-FAE482577A9C}"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E16:BK49" firstHeaderRow="0" firstDataRow="1" firstDataCol="1"/>
  <pivotFields count="38">
    <pivotField showAll="0"/>
    <pivotField axis="axisRow" showAll="0">
      <items count="14">
        <item x="8"/>
        <item x="9"/>
        <item x="5"/>
        <item x="12"/>
        <item x="4"/>
        <item x="6"/>
        <item x="7"/>
        <item x="11"/>
        <item x="0"/>
        <item x="1"/>
        <item x="3"/>
        <item x="10"/>
        <item x="2"/>
        <item t="default"/>
      </items>
    </pivotField>
    <pivotField axis="axisRow" showAll="0">
      <items count="12">
        <item h="1" x="0"/>
        <item h="1" x="1"/>
        <item h="1" x="2"/>
        <item h="1" x="3"/>
        <item h="1" x="4"/>
        <item h="1" x="5"/>
        <item h="1" x="6"/>
        <item h="1"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s>
  <rowFields count="2">
    <field x="2"/>
    <field x="1"/>
  </rowFields>
  <rowItems count="33">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6">
    <i>
      <x/>
    </i>
    <i i="1">
      <x v="1"/>
    </i>
    <i i="2">
      <x v="2"/>
    </i>
    <i i="3">
      <x v="3"/>
    </i>
    <i i="4">
      <x v="4"/>
    </i>
    <i i="5">
      <x v="5"/>
    </i>
  </colItems>
  <dataFields count="6">
    <dataField name="Sum of Food" fld="30" baseField="0" baseItem="0"/>
    <dataField name="Sum of Clothing &amp; Footwear" fld="31" baseField="0" baseItem="0"/>
    <dataField name="Sum of Essential services" fld="32" baseField="0" baseItem="0"/>
    <dataField name="Sum of Healthcare" fld="33" baseField="0" baseItem="0"/>
    <dataField name="Sum of Luxury &amp;Other Thing" fld="34" baseField="0" baseItem="0"/>
    <dataField name="Sum of Energy" fld="3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F73460-3E23-45B8-A527-6163AD2FFD4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AU16:AW49" firstHeaderRow="0" firstDataRow="1" firstDataCol="1"/>
  <pivotFields count="38">
    <pivotField showAll="0"/>
    <pivotField axis="axisRow" showAll="0">
      <items count="14">
        <item x="8"/>
        <item x="9"/>
        <item x="5"/>
        <item x="12"/>
        <item x="4"/>
        <item x="6"/>
        <item x="7"/>
        <item x="11"/>
        <item x="0"/>
        <item x="1"/>
        <item x="3"/>
        <item x="10"/>
        <item x="2"/>
        <item t="default"/>
      </items>
    </pivotField>
    <pivotField axis="axisRow" showAll="0">
      <items count="12">
        <item h="1" x="0"/>
        <item h="1" x="1"/>
        <item h="1" x="2"/>
        <item h="1" x="3"/>
        <item h="1" x="4"/>
        <item h="1" x="5"/>
        <item h="1" x="6"/>
        <item h="1"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s>
  <rowFields count="2">
    <field x="2"/>
    <field x="1"/>
  </rowFields>
  <rowItems count="33">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Imported Oil" fld="35" baseField="2" baseItem="0"/>
    <dataField name="Sum of All Indexs Excep Energy" fld="37" baseField="0" baseItem="0"/>
  </dataFields>
  <formats count="12">
    <format dxfId="59">
      <pivotArea collapsedLevelsAreSubtotals="1" fieldPosition="0">
        <references count="1">
          <reference field="2" count="1">
            <x v="8"/>
          </reference>
        </references>
      </pivotArea>
    </format>
    <format dxfId="58">
      <pivotArea collapsedLevelsAreSubtotals="1" fieldPosition="0">
        <references count="2">
          <reference field="1" count="12">
            <x v="0"/>
            <x v="1"/>
            <x v="2"/>
            <x v="3"/>
            <x v="4"/>
            <x v="5"/>
            <x v="6"/>
            <x v="7"/>
            <x v="8"/>
            <x v="9"/>
            <x v="10"/>
            <x v="11"/>
          </reference>
          <reference field="2" count="1" selected="0">
            <x v="8"/>
          </reference>
        </references>
      </pivotArea>
    </format>
    <format dxfId="57">
      <pivotArea collapsedLevelsAreSubtotals="1" fieldPosition="0">
        <references count="1">
          <reference field="2" count="1">
            <x v="9"/>
          </reference>
        </references>
      </pivotArea>
    </format>
    <format dxfId="56">
      <pivotArea collapsedLevelsAreSubtotals="1" fieldPosition="0">
        <references count="2">
          <reference field="1" count="12">
            <x v="0"/>
            <x v="1"/>
            <x v="2"/>
            <x v="3"/>
            <x v="4"/>
            <x v="5"/>
            <x v="6"/>
            <x v="7"/>
            <x v="8"/>
            <x v="9"/>
            <x v="10"/>
            <x v="11"/>
          </reference>
          <reference field="2" count="1" selected="0">
            <x v="9"/>
          </reference>
        </references>
      </pivotArea>
    </format>
    <format dxfId="55">
      <pivotArea collapsedLevelsAreSubtotals="1" fieldPosition="0">
        <references count="1">
          <reference field="2" count="1">
            <x v="10"/>
          </reference>
        </references>
      </pivotArea>
    </format>
    <format dxfId="54">
      <pivotArea collapsedLevelsAreSubtotals="1" fieldPosition="0">
        <references count="2">
          <reference field="1" count="5">
            <x v="0"/>
            <x v="1"/>
            <x v="2"/>
            <x v="3"/>
            <x v="4"/>
          </reference>
          <reference field="2" count="1" selected="0">
            <x v="10"/>
          </reference>
        </references>
      </pivotArea>
    </format>
    <format dxfId="53">
      <pivotArea field="2" type="button" dataOnly="0" labelOnly="1" outline="0" axis="axisRow" fieldPosition="0"/>
    </format>
    <format dxfId="52">
      <pivotArea dataOnly="0" labelOnly="1" fieldPosition="0">
        <references count="1">
          <reference field="2" count="0"/>
        </references>
      </pivotArea>
    </format>
    <format dxfId="51">
      <pivotArea dataOnly="0" labelOnly="1" fieldPosition="0">
        <references count="2">
          <reference field="1" count="12">
            <x v="0"/>
            <x v="1"/>
            <x v="2"/>
            <x v="3"/>
            <x v="4"/>
            <x v="5"/>
            <x v="6"/>
            <x v="7"/>
            <x v="8"/>
            <x v="9"/>
            <x v="10"/>
            <x v="11"/>
          </reference>
          <reference field="2" count="1" selected="0">
            <x v="8"/>
          </reference>
        </references>
      </pivotArea>
    </format>
    <format dxfId="50">
      <pivotArea dataOnly="0" labelOnly="1" fieldPosition="0">
        <references count="2">
          <reference field="1" count="12">
            <x v="0"/>
            <x v="1"/>
            <x v="2"/>
            <x v="3"/>
            <x v="4"/>
            <x v="5"/>
            <x v="6"/>
            <x v="7"/>
            <x v="8"/>
            <x v="9"/>
            <x v="10"/>
            <x v="11"/>
          </reference>
          <reference field="2" count="1" selected="0">
            <x v="9"/>
          </reference>
        </references>
      </pivotArea>
    </format>
    <format dxfId="49">
      <pivotArea dataOnly="0" labelOnly="1" fieldPosition="0">
        <references count="2">
          <reference field="1" count="5">
            <x v="0"/>
            <x v="1"/>
            <x v="2"/>
            <x v="3"/>
            <x v="4"/>
          </reference>
          <reference field="2" count="1" selected="0">
            <x v="10"/>
          </reference>
        </references>
      </pivotArea>
    </format>
    <format dxfId="4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CCA3EE-2982-42A1-8362-82B7FA28A842}" name="PivotTable7" cacheId="0" applyNumberFormats="0" applyBorderFormats="0" applyFontFormats="0" applyPatternFormats="0" applyAlignmentFormats="0" applyWidthHeightFormats="1" dataCaption="Values" grandTotalCaption="Sum" updatedVersion="8" minRefreshableVersion="3" useAutoFormatting="1" itemPrintTitles="1" createdVersion="8" indent="0" outline="1" outlineData="1" multipleFieldFilters="0" rowHeaderCaption="Months" colHeaderCaption="Year">
  <location ref="BU20:BX34" firstHeaderRow="1" firstDataRow="2" firstDataCol="1"/>
  <pivotFields count="38">
    <pivotField showAll="0"/>
    <pivotField axis="axisRow" showAll="0">
      <items count="14">
        <item x="8"/>
        <item x="9"/>
        <item x="5"/>
        <item x="12"/>
        <item x="4"/>
        <item x="6"/>
        <item x="7"/>
        <item x="11"/>
        <item x="0"/>
        <item x="1"/>
        <item x="3"/>
        <item x="10"/>
        <item x="2"/>
        <item t="default"/>
      </items>
    </pivotField>
    <pivotField axis="axisCol" showAll="0">
      <items count="12">
        <item h="1" x="0"/>
        <item h="1" x="1"/>
        <item h="1" x="2"/>
        <item h="1" x="3"/>
        <item h="1" x="4"/>
        <item h="1" x="5"/>
        <item h="1" x="6"/>
        <item h="1" x="7"/>
        <item h="1"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3">
    <i>
      <x v="9"/>
    </i>
    <i>
      <x v="10"/>
    </i>
    <i t="grand">
      <x/>
    </i>
  </colItems>
  <dataFields count="1">
    <dataField name="Food Category" fld="30" baseField="0" baseItem="0"/>
  </dataFields>
  <formats count="13">
    <format dxfId="72">
      <pivotArea field="2" type="button" dataOnly="0" labelOnly="1" outline="0" axis="axisCol" fieldPosition="0"/>
    </format>
    <format dxfId="71">
      <pivotArea field="1" type="button" dataOnly="0" labelOnly="1" outline="0" axis="axisRow" fieldPosition="0"/>
    </format>
    <format dxfId="70">
      <pivotArea dataOnly="0" labelOnly="1" grandCol="1" outline="0" fieldPosition="0"/>
    </format>
    <format dxfId="69">
      <pivotArea type="all" dataOnly="0" outline="0" fieldPosition="0"/>
    </format>
    <format dxfId="68">
      <pivotArea outline="0" collapsedLevelsAreSubtotals="1" fieldPosition="0"/>
    </format>
    <format dxfId="67">
      <pivotArea type="origin" dataOnly="0" labelOnly="1" outline="0" fieldPosition="0"/>
    </format>
    <format dxfId="66">
      <pivotArea field="2" type="button" dataOnly="0" labelOnly="1" outline="0" axis="axisCol" fieldPosition="0"/>
    </format>
    <format dxfId="65">
      <pivotArea type="topRight" dataOnly="0" labelOnly="1" outline="0" fieldPosition="0"/>
    </format>
    <format dxfId="64">
      <pivotArea field="1" type="button" dataOnly="0" labelOnly="1" outline="0" axis="axisRow" fieldPosition="0"/>
    </format>
    <format dxfId="63">
      <pivotArea dataOnly="0" labelOnly="1" fieldPosition="0">
        <references count="1">
          <reference field="1" count="12">
            <x v="0"/>
            <x v="1"/>
            <x v="2"/>
            <x v="3"/>
            <x v="4"/>
            <x v="5"/>
            <x v="6"/>
            <x v="7"/>
            <x v="8"/>
            <x v="9"/>
            <x v="10"/>
            <x v="11"/>
          </reference>
        </references>
      </pivotArea>
    </format>
    <format dxfId="62">
      <pivotArea dataOnly="0" labelOnly="1" grandRow="1" outline="0" fieldPosition="0"/>
    </format>
    <format dxfId="61">
      <pivotArea dataOnly="0" labelOnly="1" fieldPosition="0">
        <references count="1">
          <reference field="2" count="0"/>
        </references>
      </pivotArea>
    </format>
    <format dxfId="6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2314B8-D489-41F2-A49F-7FB2127B470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F3" firstHeaderRow="0" firstDataRow="1" firstDataCol="0"/>
  <pivotFields count="38">
    <pivotField showAll="0"/>
    <pivotField showAll="0">
      <items count="14">
        <item x="8"/>
        <item x="9"/>
        <item x="5"/>
        <item x="12"/>
        <item x="4"/>
        <item x="6"/>
        <item x="7"/>
        <item x="11"/>
        <item x="0"/>
        <item x="1"/>
        <item x="3"/>
        <item x="10"/>
        <item x="2"/>
        <item t="default"/>
      </items>
    </pivotField>
    <pivotField showAll="0">
      <items count="12">
        <item h="1" x="0"/>
        <item h="1" x="1"/>
        <item h="1" x="2"/>
        <item h="1"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s>
  <rowItems count="1">
    <i/>
  </rowItems>
  <colFields count="1">
    <field x="-2"/>
  </colFields>
  <colItems count="6">
    <i>
      <x/>
    </i>
    <i i="1">
      <x v="1"/>
    </i>
    <i i="2">
      <x v="2"/>
    </i>
    <i i="3">
      <x v="3"/>
    </i>
    <i i="4">
      <x v="4"/>
    </i>
    <i i="5">
      <x v="5"/>
    </i>
  </colItems>
  <dataFields count="6">
    <dataField name="Sum of Food" fld="30" baseField="0" baseItem="0"/>
    <dataField name="Sum of Clothing &amp; Footwear" fld="31" baseField="0" baseItem="0"/>
    <dataField name="Sum of Essential services" fld="32" baseField="0" baseItem="0"/>
    <dataField name="Sum of Energy" fld="35" baseField="0" baseItem="0"/>
    <dataField name="Sum of Healthcare" fld="33" baseField="0" baseItem="0"/>
    <dataField name="Sum of Luxury &amp;Other Thing" fld="34" baseField="0" baseItem="0"/>
  </dataFields>
  <formats count="3">
    <format dxfId="75">
      <pivotArea type="all" dataOnly="0" outline="0" fieldPosition="0"/>
    </format>
    <format dxfId="74">
      <pivotArea outline="0" collapsedLevelsAreSubtotals="1" fieldPosition="0"/>
    </format>
    <format dxfId="73">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2D0DEF-CD28-4F1A-BF61-382AE10A0DE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V16:V36" firstHeaderRow="1" firstDataRow="1" firstDataCol="1"/>
  <pivotFields count="38">
    <pivotField showAll="0"/>
    <pivotField axis="axisRow" showAll="0">
      <items count="14">
        <item x="8"/>
        <item x="9"/>
        <item x="5"/>
        <item x="12"/>
        <item x="4"/>
        <item x="6"/>
        <item x="7"/>
        <item x="11"/>
        <item x="0"/>
        <item x="1"/>
        <item x="3"/>
        <item x="10"/>
        <item x="2"/>
        <item t="default"/>
      </items>
    </pivotField>
    <pivotField axis="axisRow" showAll="0">
      <items count="12">
        <item h="1" x="0"/>
        <item h="1" x="1"/>
        <item h="1" x="2"/>
        <item h="1" x="3"/>
        <item h="1" x="4"/>
        <item h="1" x="5"/>
        <item h="1" x="6"/>
        <item h="1" x="7"/>
        <item h="1"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1"/>
  </rowFields>
  <rowItems count="20">
    <i>
      <x v="9"/>
    </i>
    <i r="1">
      <x/>
    </i>
    <i r="1">
      <x v="1"/>
    </i>
    <i r="1">
      <x v="2"/>
    </i>
    <i r="1">
      <x v="3"/>
    </i>
    <i r="1">
      <x v="4"/>
    </i>
    <i r="1">
      <x v="5"/>
    </i>
    <i r="1">
      <x v="6"/>
    </i>
    <i r="1">
      <x v="7"/>
    </i>
    <i r="1">
      <x v="8"/>
    </i>
    <i r="1">
      <x v="9"/>
    </i>
    <i r="1">
      <x v="10"/>
    </i>
    <i r="1">
      <x v="11"/>
    </i>
    <i>
      <x v="10"/>
    </i>
    <i r="1">
      <x/>
    </i>
    <i r="1">
      <x v="1"/>
    </i>
    <i r="1">
      <x v="2"/>
    </i>
    <i r="1">
      <x v="3"/>
    </i>
    <i r="1">
      <x v="4"/>
    </i>
    <i t="grand">
      <x/>
    </i>
  </rowItems>
  <colItems count="1">
    <i/>
  </colItems>
  <formats count="4">
    <format dxfId="79">
      <pivotArea dataOnly="0" labelOnly="1" fieldPosition="0">
        <references count="1">
          <reference field="2" count="0"/>
        </references>
      </pivotArea>
    </format>
    <format dxfId="78">
      <pivotArea dataOnly="0" labelOnly="1" grandRow="1" outline="0" fieldPosition="0"/>
    </format>
    <format dxfId="77">
      <pivotArea dataOnly="0" labelOnly="1" fieldPosition="0">
        <references count="2">
          <reference field="1" count="12">
            <x v="0"/>
            <x v="1"/>
            <x v="2"/>
            <x v="3"/>
            <x v="4"/>
            <x v="5"/>
            <x v="6"/>
            <x v="7"/>
            <x v="8"/>
            <x v="9"/>
            <x v="10"/>
            <x v="11"/>
          </reference>
          <reference field="2" count="1" selected="0">
            <x v="9"/>
          </reference>
        </references>
      </pivotArea>
    </format>
    <format dxfId="76">
      <pivotArea dataOnly="0" labelOnly="1" fieldPosition="0">
        <references count="2">
          <reference field="1" count="5">
            <x v="0"/>
            <x v="1"/>
            <x v="2"/>
            <x v="3"/>
            <x v="4"/>
          </reference>
          <reference field="2" count="1" selected="0">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7FB3799-4F02-47BF-89A5-245E905AA1D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Year &amp; Months">
  <location ref="F6:S26" firstHeaderRow="0" firstDataRow="1" firstDataCol="1"/>
  <pivotFields count="38">
    <pivotField showAll="0"/>
    <pivotField axis="axisRow" multipleItemSelectionAllowed="1" showAll="0">
      <items count="14">
        <item x="8"/>
        <item x="9"/>
        <item x="5"/>
        <item x="12"/>
        <item x="4"/>
        <item x="6"/>
        <item x="7"/>
        <item x="11"/>
        <item x="0"/>
        <item x="1"/>
        <item x="3"/>
        <item x="10"/>
        <item x="2"/>
        <item t="default"/>
      </items>
    </pivotField>
    <pivotField axis="axisRow" multipleItemSelectionAllowed="1" showAll="0">
      <items count="12">
        <item h="1" x="0"/>
        <item h="1" x="1"/>
        <item h="1" x="2"/>
        <item h="1" x="3"/>
        <item h="1" x="4"/>
        <item h="1" x="5"/>
        <item h="1" x="6"/>
        <item h="1" x="7"/>
        <item h="1" x="8"/>
        <item x="9"/>
        <item x="10"/>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1"/>
  </rowFields>
  <rowItems count="20">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13">
    <i>
      <x/>
    </i>
    <i i="1">
      <x v="1"/>
    </i>
    <i i="2">
      <x v="2"/>
    </i>
    <i i="3">
      <x v="3"/>
    </i>
    <i i="4">
      <x v="4"/>
    </i>
    <i i="5">
      <x v="5"/>
    </i>
    <i i="6">
      <x v="6"/>
    </i>
    <i i="7">
      <x v="7"/>
    </i>
    <i i="8">
      <x v="8"/>
    </i>
    <i i="9">
      <x v="9"/>
    </i>
    <i i="10">
      <x v="10"/>
    </i>
    <i i="11">
      <x v="11"/>
    </i>
    <i i="12">
      <x v="12"/>
    </i>
  </colItems>
  <dataFields count="13">
    <dataField name="Total Cereals and products" fld="3" baseField="2" baseItem="9"/>
    <dataField name="Total Meat and fish" fld="4" baseField="2" baseItem="9"/>
    <dataField name="Total Eggs" fld="5" baseField="2" baseItem="9"/>
    <dataField name="Total Milk and products" fld="6" baseField="2" baseItem="9"/>
    <dataField name="Total Oils and fats" fld="7" baseField="2" baseItem="9"/>
    <dataField name="Total Fruits" fld="8" baseField="2" baseItem="9"/>
    <dataField name="Total Vegetables" fld="9" baseField="2" baseItem="9"/>
    <dataField name="Total Pulses and products" fld="10" baseField="2" baseItem="9"/>
    <dataField name="Total Prepared meals, snacks, sweets etc." fld="14" baseField="2" baseItem="9"/>
    <dataField name="Total Sugar and Confectionery" fld="11" baseField="2" baseItem="9"/>
    <dataField name="Total Spices" fld="12" baseField="2" baseItem="9"/>
    <dataField name="Total Non-alcoholic beverages" fld="13" baseField="2" baseItem="9"/>
    <dataField name="Total Food and beverages" fld="15" baseField="2" baseItem="9"/>
  </dataFields>
  <formats count="7">
    <format dxfId="86">
      <pivotArea outline="0" collapsedLevelsAreSubtotals="1" fieldPosition="0"/>
    </format>
    <format dxfId="85">
      <pivotArea dataOnly="0" labelOnly="1" fieldPosition="0">
        <references count="1">
          <reference field="2" count="0"/>
        </references>
      </pivotArea>
    </format>
    <format dxfId="84">
      <pivotArea dataOnly="0" labelOnly="1" grandRow="1" outline="0" fieldPosition="0"/>
    </format>
    <format dxfId="83">
      <pivotArea dataOnly="0" labelOnly="1" fieldPosition="0">
        <references count="2">
          <reference field="1" count="12">
            <x v="0"/>
            <x v="1"/>
            <x v="2"/>
            <x v="3"/>
            <x v="4"/>
            <x v="5"/>
            <x v="6"/>
            <x v="7"/>
            <x v="8"/>
            <x v="9"/>
            <x v="10"/>
            <x v="11"/>
          </reference>
          <reference field="2" count="1" selected="0">
            <x v="9"/>
          </reference>
        </references>
      </pivotArea>
    </format>
    <format dxfId="82">
      <pivotArea dataOnly="0" labelOnly="1" fieldPosition="0">
        <references count="2">
          <reference field="1" count="5">
            <x v="0"/>
            <x v="1"/>
            <x v="2"/>
            <x v="3"/>
            <x v="4"/>
          </reference>
          <reference field="2" count="1" selected="0">
            <x v="10"/>
          </reference>
        </references>
      </pivotArea>
    </format>
    <format dxfId="81">
      <pivotArea field="2" type="button" dataOnly="0" labelOnly="1" outline="0" axis="axisRow" fieldPosition="0"/>
    </format>
    <format dxfId="80">
      <pivotArea dataOnly="0" labelOnly="1" outline="0" fieldPosition="0">
        <references count="1">
          <reference field="4294967294" count="13">
            <x v="0"/>
            <x v="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1F57A9B-6081-496D-AACE-332992E05B3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U16:CA18" firstHeaderRow="0" firstDataRow="1" firstDataCol="1" rowPageCount="1" colPageCount="1"/>
  <pivotFields count="38">
    <pivotField axis="axisPage" showAll="0">
      <items count="4">
        <item x="0"/>
        <item x="2"/>
        <item x="1"/>
        <item t="default"/>
      </items>
    </pivotField>
    <pivotField showAll="0">
      <items count="14">
        <item x="8"/>
        <item x="9"/>
        <item x="5"/>
        <item x="12"/>
        <item x="4"/>
        <item x="6"/>
        <item x="7"/>
        <item x="11"/>
        <item x="0"/>
        <item x="1"/>
        <item x="3"/>
        <item x="10"/>
        <item x="2"/>
        <item t="default"/>
      </items>
    </pivotField>
    <pivotField axis="axisRow" showAll="0">
      <items count="12">
        <item h="1" x="0"/>
        <item h="1" x="1"/>
        <item h="1" x="2"/>
        <item h="1" x="3"/>
        <item h="1" x="4"/>
        <item h="1" x="5"/>
        <item h="1" x="6"/>
        <item h="1" x="7"/>
        <item h="1" x="8"/>
        <item x="9"/>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64">
        <item x="210"/>
        <item x="212"/>
        <item x="211"/>
        <item x="242"/>
        <item x="121"/>
        <item x="123"/>
        <item x="244"/>
        <item x="333"/>
        <item x="122"/>
        <item x="335"/>
        <item x="243"/>
        <item x="89"/>
        <item x="334"/>
        <item x="91"/>
        <item x="90"/>
        <item x="154"/>
        <item x="156"/>
        <item x="184"/>
        <item x="186"/>
        <item x="305"/>
        <item x="155"/>
        <item x="246"/>
        <item x="307"/>
        <item x="247"/>
        <item x="245"/>
        <item x="125"/>
        <item x="214"/>
        <item x="215"/>
        <item x="213"/>
        <item x="126"/>
        <item x="0"/>
        <item x="185"/>
        <item x="124"/>
        <item x="2"/>
        <item x="1"/>
        <item x="337"/>
        <item x="338"/>
        <item x="336"/>
        <item x="276"/>
        <item x="306"/>
        <item x="277"/>
        <item x="30"/>
        <item x="275"/>
        <item x="32"/>
        <item x="92"/>
        <item x="31"/>
        <item x="94"/>
        <item x="93"/>
        <item x="157"/>
        <item x="159"/>
        <item x="60"/>
        <item x="62"/>
        <item x="61"/>
        <item x="158"/>
        <item x="187"/>
        <item x="128"/>
        <item x="216"/>
        <item x="129"/>
        <item x="218"/>
        <item x="250"/>
        <item x="278"/>
        <item x="248"/>
        <item x="249"/>
        <item x="127"/>
        <item x="280"/>
        <item x="217"/>
        <item x="341"/>
        <item x="340"/>
        <item x="189"/>
        <item x="279"/>
        <item x="339"/>
        <item x="33"/>
        <item x="63"/>
        <item x="308"/>
        <item x="35"/>
        <item x="3"/>
        <item x="5"/>
        <item x="34"/>
        <item x="95"/>
        <item x="64"/>
        <item x="97"/>
        <item x="4"/>
        <item x="310"/>
        <item x="96"/>
        <item x="188"/>
        <item x="309"/>
        <item x="160"/>
        <item x="162"/>
        <item x="190"/>
        <item x="192"/>
        <item x="161"/>
        <item x="191"/>
        <item x="311"/>
        <item x="313"/>
        <item x="6"/>
        <item x="8"/>
        <item x="312"/>
        <item x="7"/>
        <item x="131"/>
        <item x="36"/>
        <item x="132"/>
        <item x="252"/>
        <item x="253"/>
        <item x="38"/>
        <item x="281"/>
        <item x="251"/>
        <item x="130"/>
        <item x="283"/>
        <item x="65"/>
        <item x="219"/>
        <item x="221"/>
        <item x="67"/>
        <item x="37"/>
        <item x="282"/>
        <item x="344"/>
        <item x="220"/>
        <item x="342"/>
        <item x="255"/>
        <item x="134"/>
        <item x="343"/>
        <item x="346"/>
        <item x="66"/>
        <item x="102"/>
        <item x="223"/>
        <item x="137"/>
        <item x="347"/>
        <item x="135"/>
        <item x="103"/>
        <item x="349"/>
        <item x="256"/>
        <item x="105"/>
        <item x="98"/>
        <item x="345"/>
        <item x="224"/>
        <item x="101"/>
        <item x="258"/>
        <item x="133"/>
        <item x="285"/>
        <item x="100"/>
        <item x="167"/>
        <item x="254"/>
        <item x="168"/>
        <item x="222"/>
        <item x="166"/>
        <item x="286"/>
        <item x="229"/>
        <item x="291"/>
        <item x="99"/>
        <item x="170"/>
        <item x="226"/>
        <item x="16"/>
        <item x="163"/>
        <item x="284"/>
        <item x="13"/>
        <item x="230"/>
        <item x="46"/>
        <item x="261"/>
        <item x="69"/>
        <item x="138"/>
        <item x="10"/>
        <item x="262"/>
        <item x="350"/>
        <item x="75"/>
        <item x="228"/>
        <item x="70"/>
        <item x="260"/>
        <item x="259"/>
        <item x="165"/>
        <item x="139"/>
        <item x="292"/>
        <item x="40"/>
        <item x="141"/>
        <item x="11"/>
        <item x="68"/>
        <item x="43"/>
        <item x="41"/>
        <item x="288"/>
        <item x="321"/>
        <item x="196"/>
        <item x="140"/>
        <item x="197"/>
        <item x="14"/>
        <item x="193"/>
        <item x="9"/>
        <item x="199"/>
        <item x="39"/>
        <item x="195"/>
        <item x="318"/>
        <item x="290"/>
        <item x="171"/>
        <item x="76"/>
        <item x="47"/>
        <item x="314"/>
        <item x="316"/>
        <item x="17"/>
        <item x="44"/>
        <item x="227"/>
        <item x="348"/>
        <item x="257"/>
        <item x="136"/>
        <item x="106"/>
        <item x="45"/>
        <item x="104"/>
        <item x="194"/>
        <item x="319"/>
        <item x="315"/>
        <item x="12"/>
        <item x="164"/>
        <item x="74"/>
        <item x="169"/>
        <item x="42"/>
        <item x="108"/>
        <item x="317"/>
        <item x="289"/>
        <item x="200"/>
        <item x="72"/>
        <item x="322"/>
        <item x="15"/>
        <item x="225"/>
        <item x="172"/>
        <item x="73"/>
        <item x="198"/>
        <item x="107"/>
        <item x="287"/>
        <item x="174"/>
        <item x="71"/>
        <item x="320"/>
        <item x="201"/>
        <item x="173"/>
        <item x="323"/>
        <item x="203"/>
        <item x="325"/>
        <item x="18"/>
        <item x="202"/>
        <item x="20"/>
        <item x="324"/>
        <item x="19"/>
        <item x="48"/>
        <item x="50"/>
        <item x="142"/>
        <item x="144"/>
        <item x="143"/>
        <item x="49"/>
        <item x="77"/>
        <item x="263"/>
        <item x="79"/>
        <item x="265"/>
        <item x="264"/>
        <item x="78"/>
        <item x="231"/>
        <item x="233"/>
        <item x="293"/>
        <item x="351"/>
        <item x="232"/>
        <item x="295"/>
        <item x="353"/>
        <item x="175"/>
        <item x="109"/>
        <item x="111"/>
        <item x="110"/>
        <item x="294"/>
        <item x="352"/>
        <item x="177"/>
        <item x="326"/>
        <item x="21"/>
        <item x="176"/>
        <item x="328"/>
        <item x="23"/>
        <item x="327"/>
        <item x="266"/>
        <item x="145"/>
        <item x="51"/>
        <item x="268"/>
        <item x="147"/>
        <item x="22"/>
        <item x="53"/>
        <item x="354"/>
        <item x="356"/>
        <item x="146"/>
        <item x="234"/>
        <item x="267"/>
        <item x="236"/>
        <item x="52"/>
        <item x="80"/>
        <item x="355"/>
        <item x="112"/>
        <item x="82"/>
        <item x="235"/>
        <item x="296"/>
        <item x="114"/>
        <item x="298"/>
        <item x="81"/>
        <item x="178"/>
        <item x="113"/>
        <item x="297"/>
        <item x="329"/>
        <item x="204"/>
        <item x="24"/>
        <item x="180"/>
        <item x="26"/>
        <item x="206"/>
        <item x="269"/>
        <item x="237"/>
        <item x="179"/>
        <item x="25"/>
        <item x="271"/>
        <item x="54"/>
        <item x="299"/>
        <item x="205"/>
        <item x="56"/>
        <item x="148"/>
        <item x="301"/>
        <item x="83"/>
        <item x="270"/>
        <item x="150"/>
        <item x="238"/>
        <item x="85"/>
        <item x="149"/>
        <item x="55"/>
        <item x="300"/>
        <item x="357"/>
        <item x="359"/>
        <item x="84"/>
        <item x="115"/>
        <item x="358"/>
        <item x="117"/>
        <item x="181"/>
        <item x="207"/>
        <item x="330"/>
        <item x="183"/>
        <item x="116"/>
        <item x="272"/>
        <item x="151"/>
        <item x="209"/>
        <item x="27"/>
        <item x="332"/>
        <item x="360"/>
        <item x="302"/>
        <item x="274"/>
        <item x="153"/>
        <item x="29"/>
        <item x="239"/>
        <item x="304"/>
        <item x="57"/>
        <item x="182"/>
        <item x="86"/>
        <item x="362"/>
        <item x="118"/>
        <item x="208"/>
        <item x="241"/>
        <item x="331"/>
        <item x="303"/>
        <item x="88"/>
        <item x="59"/>
        <item x="273"/>
        <item x="152"/>
        <item x="28"/>
        <item x="120"/>
        <item x="240"/>
        <item x="87"/>
        <item x="361"/>
        <item x="58"/>
        <item x="119"/>
        <item t="default"/>
      </items>
    </pivotField>
    <pivotField dataField="1" showAll="0"/>
    <pivotField dataField="1" showAll="0"/>
    <pivotField dataField="1" showAll="0"/>
    <pivotField dataField="1" showAll="0"/>
    <pivotField dataField="1" showAll="0"/>
    <pivotField showAll="0"/>
    <pivotField showAll="0"/>
  </pivotFields>
  <rowFields count="1">
    <field x="2"/>
  </rowFields>
  <rowItems count="2">
    <i>
      <x v="9"/>
    </i>
    <i t="grand">
      <x/>
    </i>
  </rowItems>
  <colFields count="1">
    <field x="-2"/>
  </colFields>
  <colItems count="6">
    <i>
      <x/>
    </i>
    <i i="1">
      <x v="1"/>
    </i>
    <i i="2">
      <x v="2"/>
    </i>
    <i i="3">
      <x v="3"/>
    </i>
    <i i="4">
      <x v="4"/>
    </i>
    <i i="5">
      <x v="5"/>
    </i>
  </colItems>
  <pageFields count="1">
    <pageField fld="0" item="1" hier="-1"/>
  </pageFields>
  <dataFields count="6">
    <dataField name="Sum of Food" fld="30" baseField="0" baseItem="0"/>
    <dataField name="Sum of Clothing &amp; Footwear" fld="31" baseField="0" baseItem="0"/>
    <dataField name="Sum of Essential services" fld="32" baseField="0" baseItem="0"/>
    <dataField name="Sum of Healthcare" fld="33" baseField="0" baseItem="0"/>
    <dataField name="Sum of Luxury &amp;Other Thing" fld="34" baseField="0" baseItem="0"/>
    <dataField name="Sum of Energy" fld="3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2A518CF-3F6F-4B9F-B651-FE1404D8816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s" colHeaderCaption="Sectors">
  <location ref="A6:C16" firstHeaderRow="1" firstDataRow="2" firstDataCol="1"/>
  <pivotFields count="38">
    <pivotField axis="axisCol" showAll="0">
      <items count="4">
        <item h="1" x="0"/>
        <item x="2"/>
        <item h="1" x="1"/>
        <item t="default"/>
      </items>
    </pivotField>
    <pivotField showAll="0"/>
    <pivotField axis="axisRow" showAll="0">
      <items count="12">
        <item h="1" x="0"/>
        <item h="1" x="1"/>
        <item h="1"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9">
    <i>
      <x v="3"/>
    </i>
    <i>
      <x v="4"/>
    </i>
    <i>
      <x v="5"/>
    </i>
    <i>
      <x v="6"/>
    </i>
    <i>
      <x v="7"/>
    </i>
    <i>
      <x v="8"/>
    </i>
    <i>
      <x v="9"/>
    </i>
    <i>
      <x v="10"/>
    </i>
    <i t="grand">
      <x/>
    </i>
  </rowItems>
  <colFields count="1">
    <field x="0"/>
  </colFields>
  <colItems count="2">
    <i>
      <x v="1"/>
    </i>
    <i t="grand">
      <x/>
    </i>
  </colItems>
  <dataFields count="1">
    <dataField name="Sum of All indexs" fld="36" baseField="0" baseItem="0"/>
  </dataFields>
  <formats count="8">
    <format dxfId="94">
      <pivotArea collapsedLevelsAreSubtotals="1" fieldPosition="0">
        <references count="1">
          <reference field="2" count="0"/>
        </references>
      </pivotArea>
    </format>
    <format dxfId="93">
      <pivotArea type="origin" dataOnly="0" labelOnly="1" outline="0" fieldPosition="0"/>
    </format>
    <format dxfId="92">
      <pivotArea field="0" type="button" dataOnly="0" labelOnly="1" outline="0" axis="axisCol" fieldPosition="0"/>
    </format>
    <format dxfId="91">
      <pivotArea type="topRight" dataOnly="0" labelOnly="1" outline="0" fieldPosition="0"/>
    </format>
    <format dxfId="90">
      <pivotArea field="2" type="button" dataOnly="0" labelOnly="1" outline="0" axis="axisRow" fieldPosition="0"/>
    </format>
    <format dxfId="89">
      <pivotArea dataOnly="0" labelOnly="1" fieldPosition="0">
        <references count="1">
          <reference field="2" count="0"/>
        </references>
      </pivotArea>
    </format>
    <format dxfId="88">
      <pivotArea dataOnly="0" labelOnly="1" fieldPosition="0">
        <references count="1">
          <reference field="0" count="0"/>
        </references>
      </pivotArea>
    </format>
    <format dxfId="8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AFA9D63-7B27-4861-9274-CBB1918C9BD0}" name="PivotTable10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amp; Year">
  <location ref="AK16:AL36" firstHeaderRow="1" firstDataRow="1" firstDataCol="1"/>
  <pivotFields count="38">
    <pivotField showAll="0"/>
    <pivotField axis="axisRow" showAll="0">
      <items count="14">
        <item x="8"/>
        <item x="9"/>
        <item x="5"/>
        <item x="12"/>
        <item x="4"/>
        <item x="6"/>
        <item x="7"/>
        <item x="11"/>
        <item x="0"/>
        <item x="1"/>
        <item x="3"/>
        <item x="10"/>
        <item x="2"/>
        <item t="default"/>
      </items>
    </pivotField>
    <pivotField axis="axisRow" showAll="0">
      <items count="12">
        <item h="1" x="0"/>
        <item h="1" x="1"/>
        <item h="1" x="2"/>
        <item h="1" x="3"/>
        <item h="1" x="4"/>
        <item h="1" x="5"/>
        <item h="1" x="6"/>
        <item h="1" x="7"/>
        <item h="1"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2">
    <field x="2"/>
    <field x="1"/>
  </rowFields>
  <rowItems count="20">
    <i>
      <x v="9"/>
    </i>
    <i r="1">
      <x/>
    </i>
    <i r="1">
      <x v="1"/>
    </i>
    <i r="1">
      <x v="2"/>
    </i>
    <i r="1">
      <x v="3"/>
    </i>
    <i r="1">
      <x v="4"/>
    </i>
    <i r="1">
      <x v="5"/>
    </i>
    <i r="1">
      <x v="6"/>
    </i>
    <i r="1">
      <x v="7"/>
    </i>
    <i r="1">
      <x v="8"/>
    </i>
    <i r="1">
      <x v="9"/>
    </i>
    <i r="1">
      <x v="10"/>
    </i>
    <i r="1">
      <x v="11"/>
    </i>
    <i>
      <x v="10"/>
    </i>
    <i r="1">
      <x/>
    </i>
    <i r="1">
      <x v="1"/>
    </i>
    <i r="1">
      <x v="2"/>
    </i>
    <i r="1">
      <x v="3"/>
    </i>
    <i r="1">
      <x v="4"/>
    </i>
    <i t="grand">
      <x/>
    </i>
  </rowItems>
  <colItems count="1">
    <i/>
  </colItems>
  <dataFields count="1">
    <dataField name="Total of Food" fld="30" baseField="2" baseItem="9"/>
  </dataFields>
  <formats count="8">
    <format dxfId="102">
      <pivotArea type="all" dataOnly="0" outline="0" fieldPosition="0"/>
    </format>
    <format dxfId="101">
      <pivotArea outline="0" collapsedLevelsAreSubtotals="1" fieldPosition="0"/>
    </format>
    <format dxfId="100">
      <pivotArea field="2" type="button" dataOnly="0" labelOnly="1" outline="0" axis="axisRow" fieldPosition="0"/>
    </format>
    <format dxfId="99">
      <pivotArea dataOnly="0" labelOnly="1" fieldPosition="0">
        <references count="1">
          <reference field="2" count="0"/>
        </references>
      </pivotArea>
    </format>
    <format dxfId="98">
      <pivotArea dataOnly="0" labelOnly="1" grandRow="1" outline="0" fieldPosition="0"/>
    </format>
    <format dxfId="97">
      <pivotArea dataOnly="0" labelOnly="1" fieldPosition="0">
        <references count="2">
          <reference field="1" count="12">
            <x v="0"/>
            <x v="1"/>
            <x v="2"/>
            <x v="3"/>
            <x v="4"/>
            <x v="5"/>
            <x v="6"/>
            <x v="7"/>
            <x v="8"/>
            <x v="9"/>
            <x v="10"/>
            <x v="11"/>
          </reference>
          <reference field="2" count="1" selected="0">
            <x v="9"/>
          </reference>
        </references>
      </pivotArea>
    </format>
    <format dxfId="96">
      <pivotArea dataOnly="0" labelOnly="1" fieldPosition="0">
        <references count="2">
          <reference field="1" count="5">
            <x v="0"/>
            <x v="1"/>
            <x v="2"/>
            <x v="3"/>
            <x v="4"/>
          </reference>
          <reference field="2" count="1" selected="0">
            <x v="10"/>
          </reference>
        </references>
      </pivotArea>
    </format>
    <format dxfId="9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30AF1B9-E9C6-4083-BC72-C9985E69487F}" name="PivotTable24" cacheId="0" applyNumberFormats="0" applyBorderFormats="0" applyFontFormats="0" applyPatternFormats="0" applyAlignmentFormats="0" applyWidthHeightFormats="1" dataCaption="Values" grandTotalCaption="Sum" updatedVersion="8" minRefreshableVersion="3" useAutoFormatting="1" itemPrintTitles="1" createdVersion="8" indent="0" outline="1" outlineData="1" multipleFieldFilters="0" chartFormat="1" rowHeaderCaption="Months" colHeaderCaption="Year">
  <location ref="A2:D16" firstHeaderRow="1" firstDataRow="2" firstDataCol="1"/>
  <pivotFields count="38">
    <pivotField showAll="0"/>
    <pivotField axis="axisRow" showAll="0">
      <items count="14">
        <item x="8"/>
        <item x="9"/>
        <item x="5"/>
        <item x="12"/>
        <item x="4"/>
        <item x="6"/>
        <item x="7"/>
        <item x="11"/>
        <item x="0"/>
        <item x="1"/>
        <item x="3"/>
        <item x="10"/>
        <item x="2"/>
        <item t="default"/>
      </items>
    </pivotField>
    <pivotField axis="axisCol" showAll="0">
      <items count="12">
        <item h="1" x="0"/>
        <item h="1" x="1"/>
        <item h="1" x="2"/>
        <item h="1" x="3"/>
        <item h="1" x="4"/>
        <item h="1" x="5"/>
        <item h="1" x="6"/>
        <item h="1" x="7"/>
        <item h="1"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3">
    <i>
      <x v="9"/>
    </i>
    <i>
      <x v="10"/>
    </i>
    <i t="grand">
      <x/>
    </i>
  </colItems>
  <dataFields count="1">
    <dataField name="Food Category" fld="30" baseField="0" baseItem="0"/>
  </dataFields>
  <formats count="21">
    <format dxfId="20">
      <pivotArea field="2" type="button" dataOnly="0" labelOnly="1" outline="0" axis="axisCol" fieldPosition="0"/>
    </format>
    <format dxfId="19">
      <pivotArea field="1" type="button" dataOnly="0" labelOnly="1" outline="0" axis="axisRow" fieldPosition="0"/>
    </format>
    <format dxfId="18">
      <pivotArea dataOnly="0" labelOnly="1" grandCol="1" outline="0" fieldPosition="0"/>
    </format>
    <format dxfId="17">
      <pivotArea type="all" dataOnly="0" outline="0" fieldPosition="0"/>
    </format>
    <format dxfId="16">
      <pivotArea outline="0" collapsedLevelsAreSubtotals="1" fieldPosition="0"/>
    </format>
    <format dxfId="15">
      <pivotArea type="origin" dataOnly="0" labelOnly="1" outline="0" fieldPosition="0"/>
    </format>
    <format dxfId="14">
      <pivotArea field="2" type="button" dataOnly="0" labelOnly="1" outline="0" axis="axisCol" fieldPosition="0"/>
    </format>
    <format dxfId="13">
      <pivotArea type="topRight" dataOnly="0" labelOnly="1" outline="0" fieldPosition="0"/>
    </format>
    <format dxfId="12">
      <pivotArea field="1" type="button" dataOnly="0" labelOnly="1" outline="0" axis="axisRow" fieldPosition="0"/>
    </format>
    <format dxfId="11">
      <pivotArea dataOnly="0" labelOnly="1" fieldPosition="0">
        <references count="1">
          <reference field="1" count="12">
            <x v="0"/>
            <x v="1"/>
            <x v="2"/>
            <x v="3"/>
            <x v="4"/>
            <x v="5"/>
            <x v="6"/>
            <x v="7"/>
            <x v="8"/>
            <x v="9"/>
            <x v="10"/>
            <x v="11"/>
          </reference>
        </references>
      </pivotArea>
    </format>
    <format dxfId="10">
      <pivotArea dataOnly="0" labelOnly="1" grandRow="1" outline="0" fieldPosition="0"/>
    </format>
    <format dxfId="9">
      <pivotArea dataOnly="0" labelOnly="1" fieldPosition="0">
        <references count="1">
          <reference field="2" count="0"/>
        </references>
      </pivotArea>
    </format>
    <format dxfId="8">
      <pivotArea dataOnly="0" labelOnly="1" grandCol="1" outline="0" fieldPosition="0"/>
    </format>
    <format dxfId="7">
      <pivotArea type="origin" dataOnly="0" labelOnly="1" outline="0" fieldPosition="0"/>
    </format>
    <format dxfId="6">
      <pivotArea field="2" type="button" dataOnly="0" labelOnly="1" outline="0" axis="axisCol" fieldPosition="0"/>
    </format>
    <format dxfId="5">
      <pivotArea type="topRight" dataOnly="0" labelOnly="1" outline="0" fieldPosition="0"/>
    </format>
    <format dxfId="4">
      <pivotArea field="1" type="button" dataOnly="0" labelOnly="1" outline="0" axis="axisRow" fieldPosition="0"/>
    </format>
    <format dxfId="3">
      <pivotArea dataOnly="0" labelOnly="1" fieldPosition="0">
        <references count="1">
          <reference field="2" count="0"/>
        </references>
      </pivotArea>
    </format>
    <format dxfId="2">
      <pivotArea dataOnly="0" labelOnly="1" grandCol="1" outline="0" fieldPosition="0"/>
    </format>
    <format dxfId="1">
      <pivotArea grandRow="1" outline="0" collapsedLevelsAreSubtotals="1" fieldPosition="0"/>
    </format>
    <format dxfId="0">
      <pivotArea dataOnly="0" labelOnly="1" grandRow="1" outline="0" fieldPosition="0"/>
    </format>
  </formats>
  <conditionalFormats count="2">
    <conditionalFormat priority="15">
      <pivotAreas count="1">
        <pivotArea type="data" collapsedLevelsAreSubtotals="1" fieldPosition="0">
          <references count="3">
            <reference field="4294967294" count="1" selected="0">
              <x v="0"/>
            </reference>
            <reference field="1" count="12">
              <x v="0"/>
              <x v="1"/>
              <x v="2"/>
              <x v="3"/>
              <x v="4"/>
              <x v="5"/>
              <x v="6"/>
              <x v="7"/>
              <x v="8"/>
              <x v="9"/>
              <x v="10"/>
              <x v="11"/>
            </reference>
            <reference field="2" count="1" selected="0">
              <x v="9"/>
            </reference>
          </references>
        </pivotArea>
      </pivotAreas>
    </conditionalFormat>
    <conditionalFormat priority="14">
      <pivotAreas count="1">
        <pivotArea type="data" collapsedLevelsAreSubtotals="1" fieldPosition="0">
          <references count="3">
            <reference field="4294967294" count="1" selected="0">
              <x v="0"/>
            </reference>
            <reference field="1" count="5">
              <x v="0"/>
              <x v="1"/>
              <x v="2"/>
              <x v="3"/>
              <x v="4"/>
            </reference>
            <reference field="2" count="1" selected="0">
              <x v="10"/>
            </reference>
          </references>
        </pivotArea>
      </pivotAreas>
    </conditionalFormat>
  </conditionalFormats>
  <chartFormats count="2">
    <chartFormat chart="0" format="0" series="1">
      <pivotArea type="data" outline="0" fieldPosition="0">
        <references count="2">
          <reference field="4294967294" count="1" selected="0">
            <x v="0"/>
          </reference>
          <reference field="2" count="1" selected="0">
            <x v="9"/>
          </reference>
        </references>
      </pivotArea>
    </chartFormat>
    <chartFormat chart="0" format="1" series="1">
      <pivotArea type="data" outline="0" fieldPosition="0">
        <references count="2">
          <reference field="4294967294" count="1" selected="0">
            <x v="0"/>
          </reference>
          <reference field="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BCFBB1D-5FC0-4BDC-84C3-349115649C3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3:F36" firstHeaderRow="0" firstDataRow="1" firstDataCol="1"/>
  <pivotFields count="38">
    <pivotField showAll="0"/>
    <pivotField axis="axisRow" showAll="0">
      <items count="14">
        <item x="8"/>
        <item x="9"/>
        <item x="5"/>
        <item x="12"/>
        <item x="4"/>
        <item x="6"/>
        <item x="7"/>
        <item x="11"/>
        <item x="0"/>
        <item x="1"/>
        <item x="3"/>
        <item x="10"/>
        <item x="2"/>
        <item t="default"/>
      </items>
    </pivotField>
    <pivotField axis="axisRow" multipleItemSelectionAllowed="1" showAll="0">
      <items count="12">
        <item h="1" x="0"/>
        <item h="1" x="1"/>
        <item h="1" x="2"/>
        <item h="1" x="3"/>
        <item h="1" x="4"/>
        <item h="1" x="5"/>
        <item h="1" x="6"/>
        <item h="1"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s>
  <rowFields count="2">
    <field x="2"/>
    <field x="1"/>
  </rowFields>
  <rowItems count="33">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5">
    <i>
      <x/>
    </i>
    <i i="1">
      <x v="1"/>
    </i>
    <i i="2">
      <x v="2"/>
    </i>
    <i i="3">
      <x v="3"/>
    </i>
    <i i="4">
      <x v="4"/>
    </i>
  </colItems>
  <dataFields count="5">
    <dataField name="Sum of Food" fld="30" baseField="0" baseItem="0"/>
    <dataField name="Sum of Clothing &amp; Footwear" fld="31" baseField="0" baseItem="0"/>
    <dataField name="Sum of Essential services" fld="32" baseField="0" baseItem="0"/>
    <dataField name="Sum of Healthcare" fld="33" baseField="0" baseItem="0"/>
    <dataField name="Sum of Luxury &amp;Other Thing" fld="3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B1736AB-AD4E-4820-A012-3BCF0CD4831E}" autoFormatId="16" applyNumberFormats="0" applyBorderFormats="0" applyFontFormats="0" applyPatternFormats="0" applyAlignmentFormats="0" applyWidthHeightFormats="0">
  <queryTableRefresh nextId="60" unboundColumnsRight="8">
    <queryTableFields count="38">
      <queryTableField id="1" name="Sector" tableColumnId="1"/>
      <queryTableField id="52" name="Month" tableColumnId="39"/>
      <queryTableField id="53" name="Year" tableColumnId="40"/>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Clothing" tableColumnId="17"/>
      <queryTableField id="18" name="Footwear" tableColumnId="18"/>
      <queryTableField id="19" name="Clothing and footwear" tableColumnId="19"/>
      <queryTableField id="20" name="Housing" tableColumnId="20"/>
      <queryTableField id="21" name="Household goods and services" tableColumnId="21"/>
      <queryTableField id="22" name="Health" tableColumnId="22"/>
      <queryTableField id="23" name="Personal care and effects" tableColumnId="23"/>
      <queryTableField id="24" name="Transport and communication" tableColumnId="24"/>
      <queryTableField id="25" name="Recreation and amusement" tableColumnId="25"/>
      <queryTableField id="26" name="Pan, tobacco and intoxicants" tableColumnId="26"/>
      <queryTableField id="27" name="Fuel and light" tableColumnId="27"/>
      <queryTableField id="28" name="Education" tableColumnId="28"/>
      <queryTableField id="29" name="Miscellaneous" tableColumnId="29"/>
      <queryTableField id="30" name="General index" tableColumnId="30"/>
      <queryTableField id="31" dataBound="0" tableColumnId="31"/>
      <queryTableField id="32" dataBound="0" tableColumnId="32"/>
      <queryTableField id="33" dataBound="0" tableColumnId="33"/>
      <queryTableField id="35" dataBound="0" tableColumnId="35"/>
      <queryTableField id="36" dataBound="0" tableColumnId="36"/>
      <queryTableField id="34" dataBound="0" tableColumnId="34"/>
      <queryTableField id="56" dataBound="0" tableColumnId="2"/>
      <queryTableField id="57" dataBound="0" tableColumnId="3"/>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337F03-7159-4B32-A9F0-859901CCA375}" name="Table1" displayName="Table1" ref="A7:AD379" totalsRowShown="0" headerRowDxfId="120">
  <autoFilter ref="A7:AD379" xr:uid="{92E24FB3-22E3-41EB-9A50-76F927339D0E}"/>
  <tableColumns count="30">
    <tableColumn id="1" xr3:uid="{F9B1F645-5763-48DF-B6DC-C3C602F5E4DE}" name="Sector"/>
    <tableColumn id="2" xr3:uid="{07A888F1-D69A-4043-968A-70E2EE4598AF}" name="Year"/>
    <tableColumn id="3" xr3:uid="{13C29DC5-8830-47FF-B40B-3A612E2675FE}" name="Month"/>
    <tableColumn id="4" xr3:uid="{DF749D1B-8BD4-4C07-A25C-89A05357E115}" name="Cereals and products"/>
    <tableColumn id="5" xr3:uid="{8581B201-DB3D-479C-B138-541B95A3A818}" name="Meat and fish"/>
    <tableColumn id="6" xr3:uid="{73DD19F4-2BBC-4AC9-9E49-4646DB53D9DE}" name="Egg"/>
    <tableColumn id="7" xr3:uid="{9FFE4467-2295-45ED-B5F9-E9C74A3B6CDE}" name="Milk and products"/>
    <tableColumn id="8" xr3:uid="{A44F3AC3-F60D-4EF5-9B07-E5039B7D4099}" name="Oils and fats"/>
    <tableColumn id="9" xr3:uid="{33225E30-B028-4F82-83C0-1535D761FD38}" name="Fruits"/>
    <tableColumn id="10" xr3:uid="{8FBB689E-DDA6-4579-BE7D-AEC4663485C8}" name="Vegetables"/>
    <tableColumn id="11" xr3:uid="{7B3450CC-B6C8-409C-B450-2F1DA038BA3F}" name="Pulses and products"/>
    <tableColumn id="12" xr3:uid="{7385C70F-9212-44A0-9A9E-99FC87616310}" name="Sugar and Confectionery"/>
    <tableColumn id="13" xr3:uid="{6FC7FD10-3323-456A-A106-6053425EBA16}" name="Spices"/>
    <tableColumn id="14" xr3:uid="{BC03F179-6EAA-4B43-9731-78826B4BC9B7}" name="Non-alcoholic beverages"/>
    <tableColumn id="15" xr3:uid="{08AA9755-406A-45E3-B7E1-8A74E0EDDB27}" name="Prepared meals, snacks, sweets etc."/>
    <tableColumn id="16" xr3:uid="{9FCC1027-BC96-4CCF-845A-EF50991EB839}" name="Food and beverages"/>
    <tableColumn id="19" xr3:uid="{DCA6704B-2AEE-43CF-B0E5-556CD081D0F8}" name="Footwear"/>
    <tableColumn id="20" xr3:uid="{822FF9FA-0718-4142-908D-3CB09ADD54FB}" name="Clothing and footwear"/>
    <tableColumn id="18" xr3:uid="{9B01D192-8717-4E12-8196-DA68B5F88941}" name="Clothing"/>
    <tableColumn id="21" xr3:uid="{B16DA021-481F-423E-85A7-F5028AAB6E99}" name="Housing"/>
    <tableColumn id="23" xr3:uid="{E39FE90F-C894-4C48-ACD6-AB3FF5D4AE24}" name="Household goods and services"/>
    <tableColumn id="25" xr3:uid="{1A87DB33-4C4F-4269-9BC6-D2193BF3D3C0}" name="Transport and communication"/>
    <tableColumn id="27" xr3:uid="{C3DE1D04-0DA6-4C1F-A703-334F93497B9A}" name="Education"/>
    <tableColumn id="24" xr3:uid="{80819BBF-184F-4869-89C9-BF615CFE648D}" name="Health"/>
    <tableColumn id="28" xr3:uid="{8A4B4DA1-E37C-4BA8-8260-1D42EFEF54BE}" name="Personal care and effects"/>
    <tableColumn id="22" xr3:uid="{447A83B8-8EE2-4832-BCEC-4C1EE13E1D1D}" name="Fuel and light"/>
    <tableColumn id="26" xr3:uid="{978F5F66-BC29-46EB-AEB3-8AA2E3A2A6E6}" name="Recreation and amusement"/>
    <tableColumn id="17" xr3:uid="{405EDBC4-E8B4-4ABF-9A79-4870309D003D}" name="Pan, tobacco and intoxicants"/>
    <tableColumn id="29" xr3:uid="{E3322C4E-5791-4023-AF60-D1B8F25BB432}" name="Miscellaneous"/>
    <tableColumn id="30" xr3:uid="{8B95D754-C9E9-4CC0-8855-A01F15A5E3EF}" name="General index"/>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E38151-4162-487C-B3E0-6671E4DD43CA}" name="Table1_1" displayName="Table1_1" ref="A1:AL373" tableType="queryTable" totalsRowShown="0">
  <autoFilter ref="A1:AL373" xr:uid="{EDE38151-4162-487C-B3E0-6671E4DD43CA}"/>
  <sortState xmlns:xlrd2="http://schemas.microsoft.com/office/spreadsheetml/2017/richdata2" ref="A2:AL373">
    <sortCondition descending="1" ref="B1:B373"/>
  </sortState>
  <tableColumns count="38">
    <tableColumn id="1" xr3:uid="{769A9FDC-A38D-42EA-BE4C-A8F42E8B29F1}" uniqueName="1" name="Sector" queryTableFieldId="1" dataDxfId="119" totalsRowDxfId="118"/>
    <tableColumn id="39" xr3:uid="{754ADA11-FA4B-4F61-B1E2-B534264E3548}" uniqueName="39" name="Month" queryTableFieldId="52" dataDxfId="117"/>
    <tableColumn id="40" xr3:uid="{9ED65BD7-8B60-44BA-91A4-10395EF0BD64}" uniqueName="40" name="Year" queryTableFieldId="53"/>
    <tableColumn id="4" xr3:uid="{8E14B885-FB89-4247-8C83-8CFEA0CE1967}" uniqueName="4" name="Cereals and products" queryTableFieldId="4"/>
    <tableColumn id="5" xr3:uid="{1275371D-0CA6-4996-9743-E2EC8DDCD6D7}" uniqueName="5" name="Meat and fish" queryTableFieldId="5"/>
    <tableColumn id="6" xr3:uid="{941757AD-C1B4-4327-92B0-B58CECBC8615}" uniqueName="6" name="Egg" queryTableFieldId="6"/>
    <tableColumn id="7" xr3:uid="{2F1249AF-4A75-4F66-9975-9F4DC776AC0B}" uniqueName="7" name="Milk and products" queryTableFieldId="7"/>
    <tableColumn id="8" xr3:uid="{40CDEECD-DEAA-415B-8130-4C12F68F349C}" uniqueName="8" name="Oils and fats" queryTableFieldId="8"/>
    <tableColumn id="9" xr3:uid="{CF2119D6-B733-40DA-BB71-F177E5B756AC}" uniqueName="9" name="Fruits" queryTableFieldId="9"/>
    <tableColumn id="10" xr3:uid="{D80119FA-3C5E-424A-AA2A-682E50A1D492}" uniqueName="10" name="Vegetables" queryTableFieldId="10"/>
    <tableColumn id="11" xr3:uid="{10E7B8CC-EAB2-481B-8A99-47C8F97990BB}" uniqueName="11" name="Pulses and products" queryTableFieldId="11"/>
    <tableColumn id="12" xr3:uid="{3B65ED6B-7CF7-400F-8D47-535F920F783E}" uniqueName="12" name="Sugar and Confectionery" queryTableFieldId="12"/>
    <tableColumn id="13" xr3:uid="{6552F62B-2980-464D-B185-13BF2C0D372E}" uniqueName="13" name="Spices" queryTableFieldId="13"/>
    <tableColumn id="14" xr3:uid="{16381753-F0B0-49EC-BA6A-A972FC4F4EE1}" uniqueName="14" name="Non-alcoholic beverages" queryTableFieldId="14"/>
    <tableColumn id="15" xr3:uid="{CC4D9247-4EC2-4BB6-9FFF-FF68F3C225DD}" uniqueName="15" name="Prepared meals, snacks, sweets etc." queryTableFieldId="15"/>
    <tableColumn id="16" xr3:uid="{2B6A80CF-D57E-4D23-866A-4B9917E71796}" uniqueName="16" name="Food and beverages" queryTableFieldId="16"/>
    <tableColumn id="17" xr3:uid="{6F58E8F5-0145-4576-B0AC-2C08BB9AB25F}" uniqueName="17" name="Clothing" queryTableFieldId="17"/>
    <tableColumn id="18" xr3:uid="{568169D5-D42A-41B6-9EFD-B4D56F85FC10}" uniqueName="18" name="Footwear" queryTableFieldId="18"/>
    <tableColumn id="19" xr3:uid="{00FAA247-9F49-4537-BBBB-45DBC52A0812}" uniqueName="19" name="Clothing and footwear" queryTableFieldId="19"/>
    <tableColumn id="20" xr3:uid="{BE97FA50-9E04-4FA7-8E97-B89616524F86}" uniqueName="20" name="Housing" queryTableFieldId="20"/>
    <tableColumn id="21" xr3:uid="{34BB30DD-A6B2-44FE-990B-9B88AB7FFEDF}" uniqueName="21" name="Household goods and services" queryTableFieldId="21"/>
    <tableColumn id="22" xr3:uid="{C18C54A0-0425-4DF0-9B3B-4BA0C3F527E5}" uniqueName="22" name="Health" queryTableFieldId="22"/>
    <tableColumn id="23" xr3:uid="{BB8DA9A8-A73F-4739-A838-4748279649E7}" uniqueName="23" name="Personal care and effects" queryTableFieldId="23"/>
    <tableColumn id="24" xr3:uid="{5FB329A5-6CA2-4B4F-A44A-3DEA73DE9E33}" uniqueName="24" name="Transport and communication" queryTableFieldId="24"/>
    <tableColumn id="25" xr3:uid="{CF5108CA-9C40-4DB7-9184-982CDBBFBCF2}" uniqueName="25" name="Recreation and amusement" queryTableFieldId="25"/>
    <tableColumn id="26" xr3:uid="{30353622-3558-4188-B7B5-C9D95159103C}" uniqueName="26" name="Pan, tobacco and intoxicants" queryTableFieldId="26"/>
    <tableColumn id="27" xr3:uid="{A76C39FD-165F-4905-8A26-8EACFCBA477C}" uniqueName="27" name="Fuel and light" queryTableFieldId="27"/>
    <tableColumn id="28" xr3:uid="{D4ECF9BF-3EFD-4CB7-A892-2026FA49BD71}" uniqueName="28" name="Education" queryTableFieldId="28"/>
    <tableColumn id="29" xr3:uid="{1282D79B-6F1D-4920-93C9-7CDA28C871FC}" uniqueName="29" name="Miscellaneous" queryTableFieldId="29"/>
    <tableColumn id="30" xr3:uid="{03315C6C-544C-4497-8E80-0F8D48F0D233}" uniqueName="30" name="General index" queryTableFieldId="30"/>
    <tableColumn id="31" xr3:uid="{BFBA2D35-1764-4B03-9AB9-5184157E2BF5}" uniqueName="31" name="Food" queryTableFieldId="31" dataDxfId="116" totalsRowDxfId="115">
      <calculatedColumnFormula>SUM(Table1_1[[#This Row],[Cereals and products]:[Food and beverages]])</calculatedColumnFormula>
    </tableColumn>
    <tableColumn id="32" xr3:uid="{2EC4FCC3-7F0D-4FFA-9857-609E16CF11A5}" uniqueName="32" name="Clothing &amp; Footwear" queryTableFieldId="32" dataDxfId="114" totalsRowDxfId="113">
      <calculatedColumnFormula>SUM(Table1_1[[#This Row],[Clothing and footwear]:[Clothing]])</calculatedColumnFormula>
    </tableColumn>
    <tableColumn id="33" xr3:uid="{575F4A1C-A92E-432C-A91E-7FD9BC820EF0}" uniqueName="33" name="Essential services" queryTableFieldId="33" dataDxfId="112" totalsRowDxfId="111">
      <calculatedColumnFormula>SUM(Table1_1[[#This Row],[Clothing]:[Education]])</calculatedColumnFormula>
    </tableColumn>
    <tableColumn id="35" xr3:uid="{03598A4C-13D9-41F7-8A0F-5B970773448E}" uniqueName="35" name="Healthcare" queryTableFieldId="35" dataDxfId="110" totalsRowDxfId="109">
      <calculatedColumnFormula>SUM(Table1_1[[#This Row],[Health]:[Personal care and effects]])</calculatedColumnFormula>
    </tableColumn>
    <tableColumn id="36" xr3:uid="{AB2BBA0D-06E4-48CD-97C2-E157BF46D1D3}" uniqueName="36" name="Luxury &amp;Other Thing" queryTableFieldId="36" dataDxfId="108" totalsRowDxfId="107">
      <calculatedColumnFormula>SUM(Table1_1[[#This Row],[Recreation and amusement]:[Miscellaneous]])</calculatedColumnFormula>
    </tableColumn>
    <tableColumn id="34" xr3:uid="{784B0620-CE39-42FD-A73A-5E034D4EA620}" uniqueName="34" name="Energy" queryTableFieldId="34" dataDxfId="106" totalsRowDxfId="105">
      <calculatedColumnFormula>SUM(Table1_1[[#This Row],[Fuel and light]])</calculatedColumnFormula>
    </tableColumn>
    <tableColumn id="2" xr3:uid="{2A2AC931-AFDF-4DFA-8D9C-AC36DE7B618A}" uniqueName="2" name="All indexs" queryTableFieldId="56" dataDxfId="104">
      <calculatedColumnFormula>SUM(Table1_1[[#This Row],[Food]:[Luxury &amp;Other Thing]])</calculatedColumnFormula>
    </tableColumn>
    <tableColumn id="3" xr3:uid="{E0D0D613-7749-4A44-B36F-F2EB3188ED88}" uniqueName="3" name="All Indexs Excep Energy" queryTableFieldId="57" dataDxfId="103">
      <calculatedColumnFormula>SUM(Table1_1[[#This Row],[Food]:[Luxury &amp;Other Thing]])</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5BBB0-B528-4B87-869B-BC6C4D355687}">
  <dimension ref="A1:AD373"/>
  <sheetViews>
    <sheetView tabSelected="1" workbookViewId="0">
      <selection activeCell="Y22" sqref="Y22"/>
    </sheetView>
  </sheetViews>
  <sheetFormatPr defaultRowHeight="15" x14ac:dyDescent="0.25"/>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25">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25">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25">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25">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25">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25">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25">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25">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25">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25">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25">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25">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25">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25">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25">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25">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25">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25">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25">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25">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25">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25">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25">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25">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25">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25">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25">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25">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25">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25">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25">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25">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25">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25">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25">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2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25">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25">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25">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25">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25">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25">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25">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25">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25">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25">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25">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25">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25">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25">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25">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25">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25">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25">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25">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25">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25">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25">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25">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25">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25">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25">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25">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25">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25">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25">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25">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25">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25">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25">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25">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2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25">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25">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25">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25">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25">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25">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25">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25">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25">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25">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25">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25">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25">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25">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25">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25">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25">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25">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25">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25">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25">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25">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25">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25">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25">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25">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25">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25">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25">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25">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25">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25">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25">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25">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25">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2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25">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25">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25">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25">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25">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25">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25">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25">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25">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25">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25">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25">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25">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25">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25">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25">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25">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25">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25">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25">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25">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25">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25">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25">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25">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25">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25">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25">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25">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25">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25">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25">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25">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25">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25">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2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25">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25">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25">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25">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25">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25">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25">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25">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25">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25">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25">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25">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25">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25">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25">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25">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25">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25">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25">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25">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25">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25">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25">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25">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25">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25">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25">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25">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25">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25">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25">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25">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25">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25">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25">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2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25">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25">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25">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25">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25">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25">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25">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25">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25">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25">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25">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25">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25">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25">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25">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25">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25">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25">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25">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25">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25">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25">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25">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25">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25">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25">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25">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25">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25">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25">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25">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25">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25">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25">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25">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2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25">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25">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25">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25">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25">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25">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25">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25">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25">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25">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25">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25">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25">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25">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25">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25">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25">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25">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25">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25">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25">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25">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25">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25">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25">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25">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25">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25">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25">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25">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25">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25">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2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25">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25">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25">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25">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25">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25">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25">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25">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25">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25">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25">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25">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25">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25">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25">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25">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25">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25">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25">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25">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25">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25">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25">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25">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25">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25">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25">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25">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25">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25">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25">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25">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25">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25">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25">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25">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25">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25">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25">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25">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25">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25">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25">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25">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25">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25">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25">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25">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25">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25">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25">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25">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25">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25">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25">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25">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25">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25">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25">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25">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25">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25">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25">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25">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25">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25">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25">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25">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25">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25">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25">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25">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25">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25">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25">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25">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25">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25">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25">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25">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25">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25">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25">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25">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25">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25">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25">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25">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25">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25">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25">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25">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25">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25">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25">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25">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25">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25">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25">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25">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25">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25">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25">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25">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25">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25">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25">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25">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25">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25">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25">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25">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25">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25">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25">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25">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25">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25">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25">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25">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25">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25">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24FB3-22E3-41EB-9A50-76F927339D0E}">
  <dimension ref="A1:AE379"/>
  <sheetViews>
    <sheetView workbookViewId="0">
      <pane ySplit="7" topLeftCell="A8" activePane="bottomLeft" state="frozen"/>
      <selection pane="bottomLeft" activeCell="AE31" sqref="AE31"/>
    </sheetView>
  </sheetViews>
  <sheetFormatPr defaultRowHeight="15" x14ac:dyDescent="0.25"/>
  <cols>
    <col min="1" max="1" width="14.85546875" customWidth="1"/>
    <col min="3" max="3" width="10.42578125" customWidth="1"/>
    <col min="4" max="4" width="21.5703125" customWidth="1"/>
    <col min="5" max="5" width="15.28515625" customWidth="1"/>
    <col min="7" max="7" width="19" customWidth="1"/>
    <col min="8" max="8" width="14" customWidth="1"/>
    <col min="10" max="10" width="13.140625" customWidth="1"/>
    <col min="11" max="11" width="20.7109375" customWidth="1"/>
    <col min="12" max="12" width="24.7109375" customWidth="1"/>
    <col min="14" max="14" width="25" customWidth="1"/>
    <col min="15" max="15" width="34.7109375" customWidth="1"/>
    <col min="16" max="16" width="20.85546875" customWidth="1"/>
    <col min="17" max="17" width="14.7109375" customWidth="1"/>
    <col min="18" max="18" width="21" customWidth="1"/>
    <col min="19" max="19" width="20.7109375" customWidth="1"/>
    <col min="20" max="20" width="13.7109375" customWidth="1"/>
    <col min="21" max="21" width="28" customWidth="1"/>
    <col min="22" max="22" width="25" customWidth="1"/>
    <col min="23" max="23" width="29.7109375" customWidth="1"/>
    <col min="24" max="24" width="17.7109375" customWidth="1"/>
    <col min="25" max="25" width="24.7109375" customWidth="1"/>
    <col min="26" max="26" width="22.85546875" customWidth="1"/>
    <col min="27" max="27" width="22.140625" customWidth="1"/>
    <col min="28" max="28" width="20.7109375" customWidth="1"/>
    <col min="29" max="29" width="19.42578125" customWidth="1"/>
    <col min="30" max="30" width="17.85546875" customWidth="1"/>
    <col min="31" max="31" width="29.42578125" customWidth="1"/>
    <col min="32" max="32" width="27.42578125" customWidth="1"/>
    <col min="33" max="33" width="13.28515625" customWidth="1"/>
    <col min="34" max="34" width="25.28515625" customWidth="1"/>
    <col min="35" max="35" width="28.140625" customWidth="1"/>
    <col min="36" max="36" width="16.28515625" bestFit="1" customWidth="1"/>
    <col min="37" max="37" width="15.7109375" customWidth="1"/>
  </cols>
  <sheetData>
    <row r="1" spans="1:30" x14ac:dyDescent="0.25">
      <c r="A1" s="72" t="s">
        <v>49</v>
      </c>
      <c r="B1" s="72"/>
      <c r="C1" s="72"/>
      <c r="D1" s="6">
        <f>AVERAGE(Table1[Cereals and products])</f>
        <v>136.78904818797287</v>
      </c>
      <c r="E1" s="6">
        <f>AVERAGE(Table1[Meat and fish])</f>
        <v>156.44006371963354</v>
      </c>
      <c r="F1" s="6">
        <f>AVERAGE(Table1[Egg])</f>
        <v>140.8677120669056</v>
      </c>
      <c r="G1" s="6">
        <f>AVERAGE(Table1[Milk and products])</f>
        <v>140.44810832337723</v>
      </c>
      <c r="H1" s="6">
        <f>AVERAGE(Table1[Oils and fats])</f>
        <v>132.14369772998799</v>
      </c>
      <c r="I1" s="6">
        <f>AVERAGE(Table1[Fruits])</f>
        <v>140.91819992035039</v>
      </c>
      <c r="J1" s="6">
        <f>AVERAGE(Table1[Vegetables])</f>
        <v>155.87802668259653</v>
      </c>
      <c r="K1" s="6">
        <f>AVERAGE(Table1[Pulses and products])</f>
        <v>141.5040223018718</v>
      </c>
      <c r="L1" s="6">
        <f>AVERAGE(Table1[Sugar and Confectionery])</f>
        <v>111.00225009956185</v>
      </c>
      <c r="M1" s="6">
        <f>AVERAGE(Table1[Spices])</f>
        <v>144.61756272401442</v>
      </c>
      <c r="N1" s="6">
        <f>AVERAGE(Table1[Non-alcoholic beverages])</f>
        <v>134.10940860215049</v>
      </c>
      <c r="O1" s="6">
        <f>AVERAGE(Table1[Prepared meals, snacks, sweets etc.])</f>
        <v>149.25515583285409</v>
      </c>
      <c r="P1" s="6">
        <f>AVERAGE(Table1[Food and beverages])</f>
        <v>142.58550378335329</v>
      </c>
      <c r="Q1" s="6">
        <f>AVERAGE(Table1[Footwear])</f>
        <v>136.04517899022076</v>
      </c>
      <c r="R1" s="6">
        <f>AVERAGE(Table1[Clothing and footwear])</f>
        <v>141.79026726846323</v>
      </c>
      <c r="S1" s="6">
        <f>AVERAGE(Table1[Clothing])</f>
        <v>142.78860421552565</v>
      </c>
      <c r="T1" s="6">
        <f>AVERAGE(Table1[Housing])</f>
        <v>139.44939377848576</v>
      </c>
      <c r="U1" s="6">
        <f>AVERAGE(Table1[Household goods and services])</f>
        <v>136.82787217723498</v>
      </c>
      <c r="V1" s="6">
        <f>AVERAGE(Table1[Transport and communication])</f>
        <v>127.2028773397052</v>
      </c>
      <c r="W1" s="6">
        <f>AVERAGE(Table1[Education])</f>
        <v>141.36792999690252</v>
      </c>
      <c r="X1" s="6">
        <f>AVERAGE(Table1[Health])</f>
        <v>138.60434090003986</v>
      </c>
      <c r="Y1" s="6">
        <f>AVERAGE(Table1[Personal care and effects])</f>
        <v>133.54138236205145</v>
      </c>
      <c r="Z1" s="6">
        <f>AVERAGE(Table1[Fuel and light])</f>
        <v>136.62797579538915</v>
      </c>
      <c r="AA1" s="6">
        <f>AVERAGE(Table1[Recreation and amusement])</f>
        <v>134.04037199286103</v>
      </c>
      <c r="AB1" s="6">
        <f>AVERAGE(Table1[Pan, tobacco and intoxicants])</f>
        <v>155.65035141672936</v>
      </c>
      <c r="AC1" s="6">
        <f>AVERAGE(Table1[Miscellaneous])</f>
        <v>134.37624009911946</v>
      </c>
      <c r="AD1" s="6">
        <f>AVERAGE(Table1[General index])</f>
        <v>139.70662381816305</v>
      </c>
    </row>
    <row r="2" spans="1:30" x14ac:dyDescent="0.25">
      <c r="A2" s="72" t="s">
        <v>50</v>
      </c>
      <c r="B2" s="72"/>
      <c r="C2" s="72"/>
      <c r="D2" s="7">
        <f>MODE(Table1[Cereals and products])</f>
        <v>124</v>
      </c>
      <c r="E2" s="7">
        <f>MODE(Table1[Meat and fish])</f>
        <v>143.69999999999999</v>
      </c>
      <c r="F2" s="7">
        <f>MODE(Table1[Egg])</f>
        <v>117.8</v>
      </c>
      <c r="G2" s="7">
        <f>MODE(Table1[Milk and products])</f>
        <v>153.30000000000001</v>
      </c>
      <c r="H2" s="7">
        <f>MODE(Table1[Oils and fats])</f>
        <v>118.1</v>
      </c>
      <c r="I2" s="7">
        <f>MODE(Table1[Fruits])</f>
        <v>147.19999999999999</v>
      </c>
      <c r="J2" s="7">
        <f>MODE(Table1[Vegetables])</f>
        <v>129.19999999999999</v>
      </c>
      <c r="K2" s="7">
        <f>MODE(Table1[Pulses and products])</f>
        <v>164</v>
      </c>
      <c r="L2" s="7">
        <f>MODE(Table1[Sugar and Confectionery])</f>
        <v>121.9</v>
      </c>
      <c r="M2" s="7">
        <f>MODE(Table1[Spices])</f>
        <v>135.6</v>
      </c>
      <c r="N2" s="7">
        <f>MODE(Table1[Non-alcoholic beverages])</f>
        <v>112.1</v>
      </c>
      <c r="O2" s="7">
        <f>MODE(Table1[Prepared meals, snacks, sweets etc.])</f>
        <v>161.80000000000001</v>
      </c>
      <c r="P2" s="7">
        <f>MODE(Table1[Food and beverages])</f>
        <v>131.80000000000001</v>
      </c>
      <c r="Q2" s="7">
        <f>MODE(Table1[Footwear])</f>
        <v>146.1</v>
      </c>
      <c r="R2" s="7">
        <f>MODE(Table1[Clothing and footwear])</f>
        <v>129</v>
      </c>
      <c r="S2" s="7">
        <f>MODE(Table1[Clothing])</f>
        <v>115.8</v>
      </c>
      <c r="T2" s="7">
        <f>MODE(Table1[Housing])</f>
        <v>139.5</v>
      </c>
      <c r="U2" s="7">
        <f>MODE(Table1[Household goods and services])</f>
        <v>146.4</v>
      </c>
      <c r="V2" s="7">
        <f>MODE(Table1[Transport and communication])</f>
        <v>109.3</v>
      </c>
      <c r="W2" s="7">
        <f>MODE(Table1[Education])</f>
        <v>155.5</v>
      </c>
      <c r="X2" s="7">
        <f>MODE(Table1[Health])</f>
        <v>109.7</v>
      </c>
      <c r="Y2" s="7">
        <f>MODE(Table1[Personal care and effects])</f>
        <v>104.3</v>
      </c>
      <c r="Z2" s="7">
        <f>MODE(Table1[Fuel and light])</f>
        <v>113.4</v>
      </c>
      <c r="AA2" s="7">
        <f>MODE(Table1[Recreation and amusement])</f>
        <v>104</v>
      </c>
      <c r="AB2" s="7">
        <f>MODE(Table1[Pan, tobacco and intoxicants])</f>
        <v>196.5</v>
      </c>
      <c r="AC2" s="7">
        <f>MODE(Table1[Miscellaneous])</f>
        <v>113.7</v>
      </c>
      <c r="AD2" s="7">
        <f>MODE(Table1[General index])</f>
        <v>114.2</v>
      </c>
    </row>
    <row r="3" spans="1:30" x14ac:dyDescent="0.25">
      <c r="A3" s="72" t="s">
        <v>51</v>
      </c>
      <c r="B3" s="72"/>
      <c r="C3" s="72"/>
      <c r="D3" s="8">
        <f>_xlfn.STDEV.P(Table1[Cereals and products])</f>
        <v>14.961265559235235</v>
      </c>
      <c r="E3" s="8">
        <f>_xlfn.STDEV.P(Table1[Meat and fish])</f>
        <v>33.067912602264983</v>
      </c>
      <c r="F3" s="8">
        <f>_xlfn.STDEV.P(Table1[Egg])</f>
        <v>22.415623179393588</v>
      </c>
      <c r="G3" s="8">
        <f>_xlfn.STDEV.P(Table1[Milk and products])</f>
        <v>18.306299976540007</v>
      </c>
      <c r="H3" s="8">
        <f>_xlfn.STDEV.P(Table1[Oils and fats])</f>
        <v>29.795966306935856</v>
      </c>
      <c r="I3" s="8">
        <f>_xlfn.STDEV.P(Table1[Fruits])</f>
        <v>17.298330006520775</v>
      </c>
      <c r="J3" s="8">
        <f>_xlfn.STDEV.P(Table1[Vegetables])</f>
        <v>27.791610306942442</v>
      </c>
      <c r="K3" s="8">
        <f>_xlfn.STDEV.P(Table1[Pulses and products])</f>
        <v>23.825217178739884</v>
      </c>
      <c r="L3" s="8">
        <f>_xlfn.STDEV.P(Table1[Sugar and Confectionery])</f>
        <v>9.0101509046498052</v>
      </c>
      <c r="M3" s="8">
        <f>_xlfn.STDEV.P(Table1[Spices])</f>
        <v>26.784492870630327</v>
      </c>
      <c r="N3" s="8">
        <f>_xlfn.STDEV.P(Table1[Non-alcoholic beverages])</f>
        <v>19.370945782549274</v>
      </c>
      <c r="O3" s="8">
        <f>_xlfn.STDEV.P(Table1[Prepared meals, snacks, sweets etc.])</f>
        <v>22.854126009867915</v>
      </c>
      <c r="P3" s="8">
        <f>_xlfn.STDEV.P(Table1[Food and beverages])</f>
        <v>19.607633022056859</v>
      </c>
      <c r="Q3" s="8">
        <f>_xlfn.STDEV.P(Table1[Footwear])</f>
        <v>19.56206237426137</v>
      </c>
      <c r="R3" s="8">
        <f>_xlfn.STDEV.P(Table1[Clothing and footwear])</f>
        <v>20.817885910084371</v>
      </c>
      <c r="S3" s="8">
        <f>_xlfn.STDEV.P(Table1[Clothing])</f>
        <v>21.076010671853115</v>
      </c>
      <c r="T3" s="8">
        <f>_xlfn.STDEV.P(Table1[Housing])</f>
        <v>17.20139030503983</v>
      </c>
      <c r="U3" s="8">
        <f>_xlfn.STDEV.P(Table1[Household goods and services])</f>
        <v>19.173432281100567</v>
      </c>
      <c r="V3" s="8">
        <f>_xlfn.STDEV.P(Table1[Transport and communication])</f>
        <v>18.986208554075773</v>
      </c>
      <c r="W3" s="8">
        <f>_xlfn.STDEV.P(Table1[Education])</f>
        <v>21.087333906936152</v>
      </c>
      <c r="X3" s="8">
        <f>_xlfn.STDEV.P(Table1[Health])</f>
        <v>23.594360439056381</v>
      </c>
      <c r="Y3" s="8">
        <f>_xlfn.STDEV.P(Table1[Personal care and effects])</f>
        <v>22.976188013283732</v>
      </c>
      <c r="Z3" s="8">
        <f>_xlfn.STDEV.P(Table1[Fuel and light])</f>
        <v>22.161924281393777</v>
      </c>
      <c r="AA3" s="8">
        <f>_xlfn.STDEV.P(Table1[Recreation and amusement])</f>
        <v>19.973489838380146</v>
      </c>
      <c r="AB3" s="8">
        <f>_xlfn.STDEV.P(Table1[Pan, tobacco and intoxicants])</f>
        <v>29.398188816378386</v>
      </c>
      <c r="AC3" s="8">
        <f>_xlfn.STDEV.P(Table1[Miscellaneous])</f>
        <v>20.640770047940343</v>
      </c>
      <c r="AD3" s="8">
        <f>_xlfn.STDEV.P(Table1[General index])</f>
        <v>20.214920037501461</v>
      </c>
    </row>
    <row r="4" spans="1:30" x14ac:dyDescent="0.25">
      <c r="A4" s="72" t="s">
        <v>52</v>
      </c>
      <c r="B4" s="72"/>
      <c r="C4" s="72"/>
      <c r="D4" s="7">
        <f>SUM(Table1[Cereals and products])</f>
        <v>50885.525925925904</v>
      </c>
      <c r="E4" s="7">
        <f>SUM(Table1[Meat and fish])</f>
        <v>58195.703703703679</v>
      </c>
      <c r="F4" s="7">
        <f>SUM(Table1[Egg])</f>
        <v>52402.788888888885</v>
      </c>
      <c r="G4" s="7">
        <f>SUM(Table1[Milk and products])</f>
        <v>52246.69629629633</v>
      </c>
      <c r="H4" s="7">
        <f>SUM(Table1[Oils and fats])</f>
        <v>49157.455555555534</v>
      </c>
      <c r="I4" s="7">
        <f>SUM(Table1[Fruits])</f>
        <v>52421.57037037034</v>
      </c>
      <c r="J4" s="7">
        <f>SUM(Table1[Vegetables])</f>
        <v>57986.62592592591</v>
      </c>
      <c r="K4" s="7">
        <f>SUM(Table1[Pulses and products])</f>
        <v>52639.496296296311</v>
      </c>
      <c r="L4" s="7">
        <f>SUM(Table1[Sugar and Confectionery])</f>
        <v>41292.83703703701</v>
      </c>
      <c r="M4" s="7">
        <f>SUM(Table1[Spices])</f>
        <v>53797.733333333359</v>
      </c>
      <c r="N4" s="7">
        <f>SUM(Table1[Non-alcoholic beverages])</f>
        <v>49888.699999999983</v>
      </c>
      <c r="O4" s="7">
        <f>SUM(Table1[Prepared meals, snacks, sweets etc.])</f>
        <v>55522.917969821719</v>
      </c>
      <c r="P4" s="7">
        <f>SUM(Table1[Food and beverages])</f>
        <v>53041.807407407425</v>
      </c>
      <c r="Q4" s="7">
        <f>SUM(Table1[Footwear])</f>
        <v>50608.806584362123</v>
      </c>
      <c r="R4" s="7">
        <f>SUM(Table1[Clothing and footwear])</f>
        <v>52745.979423868324</v>
      </c>
      <c r="S4" s="7">
        <f>SUM(Table1[Clothing])</f>
        <v>53117.360768175546</v>
      </c>
      <c r="T4" s="7">
        <f>SUM(Table1[Housing])</f>
        <v>51875.174485596697</v>
      </c>
      <c r="U4" s="7">
        <f>SUM(Table1[Household goods and services])</f>
        <v>50899.96844993141</v>
      </c>
      <c r="V4" s="7">
        <f>SUM(Table1[Transport and communication])</f>
        <v>47319.470370370334</v>
      </c>
      <c r="W4" s="7">
        <f>SUM(Table1[Education])</f>
        <v>52588.869958847739</v>
      </c>
      <c r="X4" s="7">
        <f>SUM(Table1[Health])</f>
        <v>51560.814814814832</v>
      </c>
      <c r="Y4" s="7">
        <f>SUM(Table1[Personal care and effects])</f>
        <v>49677.39423868314</v>
      </c>
      <c r="Z4" s="7">
        <f>SUM(Table1[Fuel and light])</f>
        <v>50825.606995884766</v>
      </c>
      <c r="AA4" s="7">
        <f>SUM(Table1[Recreation and amusement])</f>
        <v>49863.0183813443</v>
      </c>
      <c r="AB4" s="7">
        <f>SUM(Table1[Pan, tobacco and intoxicants])</f>
        <v>57901.930727023326</v>
      </c>
      <c r="AC4" s="7">
        <f>SUM(Table1[Miscellaneous])</f>
        <v>49987.961316872439</v>
      </c>
      <c r="AD4" s="7">
        <f>SUM(Table1[General index])</f>
        <v>51970.86406035666</v>
      </c>
    </row>
    <row r="6" spans="1:30" ht="15.75" x14ac:dyDescent="0.25">
      <c r="A6" s="78" t="s">
        <v>64</v>
      </c>
      <c r="B6" s="78"/>
      <c r="C6" s="78"/>
      <c r="D6" s="73" t="s">
        <v>58</v>
      </c>
      <c r="E6" s="73"/>
      <c r="F6" s="73"/>
      <c r="G6" s="73"/>
      <c r="H6" s="73"/>
      <c r="I6" s="73"/>
      <c r="J6" s="73"/>
      <c r="K6" s="73"/>
      <c r="L6" s="73"/>
      <c r="M6" s="73"/>
      <c r="N6" s="73"/>
      <c r="O6" s="73"/>
      <c r="P6" s="73"/>
      <c r="Q6" s="74" t="s">
        <v>59</v>
      </c>
      <c r="R6" s="74"/>
      <c r="S6" s="75" t="s">
        <v>60</v>
      </c>
      <c r="T6" s="75"/>
      <c r="U6" s="75"/>
      <c r="V6" s="75"/>
      <c r="W6" s="75"/>
      <c r="X6" s="76" t="s">
        <v>61</v>
      </c>
      <c r="Y6" s="76"/>
      <c r="Z6" s="10" t="s">
        <v>62</v>
      </c>
      <c r="AA6" s="77" t="s">
        <v>63</v>
      </c>
      <c r="AB6" s="77"/>
      <c r="AC6" s="77"/>
      <c r="AD6" s="4"/>
    </row>
    <row r="7" spans="1:30" x14ac:dyDescent="0.25">
      <c r="A7" s="1" t="s">
        <v>0</v>
      </c>
      <c r="B7" s="1" t="s">
        <v>1</v>
      </c>
      <c r="C7" s="1" t="s">
        <v>2</v>
      </c>
      <c r="D7" s="1" t="s">
        <v>3</v>
      </c>
      <c r="E7" s="1" t="s">
        <v>4</v>
      </c>
      <c r="F7" s="1" t="s">
        <v>5</v>
      </c>
      <c r="G7" s="1" t="s">
        <v>6</v>
      </c>
      <c r="H7" s="1" t="s">
        <v>7</v>
      </c>
      <c r="I7" s="1" t="s">
        <v>8</v>
      </c>
      <c r="J7" s="1" t="s">
        <v>9</v>
      </c>
      <c r="K7" s="1" t="s">
        <v>10</v>
      </c>
      <c r="L7" s="1" t="s">
        <v>11</v>
      </c>
      <c r="M7" s="1" t="s">
        <v>12</v>
      </c>
      <c r="N7" s="1" t="s">
        <v>13</v>
      </c>
      <c r="O7" s="1" t="s">
        <v>14</v>
      </c>
      <c r="P7" s="1" t="s">
        <v>15</v>
      </c>
      <c r="Q7" s="1" t="s">
        <v>18</v>
      </c>
      <c r="R7" s="1" t="s">
        <v>19</v>
      </c>
      <c r="S7" s="1" t="s">
        <v>17</v>
      </c>
      <c r="T7" s="1" t="s">
        <v>20</v>
      </c>
      <c r="U7" s="1" t="s">
        <v>22</v>
      </c>
      <c r="V7" s="1" t="s">
        <v>24</v>
      </c>
      <c r="W7" s="1" t="s">
        <v>26</v>
      </c>
      <c r="X7" s="1" t="s">
        <v>23</v>
      </c>
      <c r="Y7" s="1" t="s">
        <v>27</v>
      </c>
      <c r="Z7" s="1" t="s">
        <v>21</v>
      </c>
      <c r="AA7" s="1" t="s">
        <v>25</v>
      </c>
      <c r="AB7" s="1" t="s">
        <v>16</v>
      </c>
      <c r="AC7" s="1" t="s">
        <v>28</v>
      </c>
      <c r="AD7" s="1" t="s">
        <v>29</v>
      </c>
    </row>
    <row r="8" spans="1:30" x14ac:dyDescent="0.25">
      <c r="A8" t="s">
        <v>30</v>
      </c>
      <c r="B8">
        <v>2013</v>
      </c>
      <c r="C8" t="s">
        <v>31</v>
      </c>
      <c r="D8">
        <v>107.5</v>
      </c>
      <c r="E8">
        <v>106.3</v>
      </c>
      <c r="F8">
        <v>108.1</v>
      </c>
      <c r="G8">
        <v>104.9</v>
      </c>
      <c r="H8">
        <v>106.1</v>
      </c>
      <c r="I8">
        <v>103.9</v>
      </c>
      <c r="J8">
        <v>101.9</v>
      </c>
      <c r="K8">
        <v>106.1</v>
      </c>
      <c r="L8">
        <v>106.8</v>
      </c>
      <c r="M8">
        <v>103.1</v>
      </c>
      <c r="N8">
        <v>104.8</v>
      </c>
      <c r="O8">
        <v>106.7</v>
      </c>
      <c r="P8">
        <v>105.5</v>
      </c>
      <c r="Q8">
        <v>105.8</v>
      </c>
      <c r="R8">
        <v>106.4</v>
      </c>
      <c r="S8">
        <v>106.5</v>
      </c>
      <c r="T8">
        <v>139.5</v>
      </c>
      <c r="U8">
        <v>104.8</v>
      </c>
      <c r="V8">
        <v>103.3</v>
      </c>
      <c r="W8">
        <v>103.8</v>
      </c>
      <c r="X8">
        <v>104</v>
      </c>
      <c r="Y8">
        <v>104.7</v>
      </c>
      <c r="Z8">
        <v>105.5</v>
      </c>
      <c r="AA8">
        <v>103.4</v>
      </c>
      <c r="AB8">
        <v>105.1</v>
      </c>
      <c r="AC8">
        <v>104</v>
      </c>
      <c r="AD8">
        <v>105.1</v>
      </c>
    </row>
    <row r="9" spans="1:30" x14ac:dyDescent="0.25">
      <c r="A9" t="s">
        <v>33</v>
      </c>
      <c r="B9">
        <v>2013</v>
      </c>
      <c r="C9" t="s">
        <v>31</v>
      </c>
      <c r="D9">
        <v>110.5</v>
      </c>
      <c r="E9">
        <v>109.1</v>
      </c>
      <c r="F9">
        <v>113</v>
      </c>
      <c r="G9">
        <v>103.6</v>
      </c>
      <c r="H9">
        <v>103.4</v>
      </c>
      <c r="I9">
        <v>102.3</v>
      </c>
      <c r="J9">
        <v>102.9</v>
      </c>
      <c r="K9">
        <v>105.8</v>
      </c>
      <c r="L9">
        <v>105.1</v>
      </c>
      <c r="M9">
        <v>101.8</v>
      </c>
      <c r="N9">
        <v>105.1</v>
      </c>
      <c r="O9">
        <v>107.9</v>
      </c>
      <c r="P9">
        <v>105.9</v>
      </c>
      <c r="Q9">
        <v>105</v>
      </c>
      <c r="R9">
        <v>105.8</v>
      </c>
      <c r="S9">
        <v>105.9</v>
      </c>
      <c r="T9">
        <v>100.3</v>
      </c>
      <c r="U9">
        <v>104.8</v>
      </c>
      <c r="V9">
        <v>103.2</v>
      </c>
      <c r="W9">
        <v>103.5</v>
      </c>
      <c r="X9">
        <v>104.1</v>
      </c>
      <c r="Y9">
        <v>104.3</v>
      </c>
      <c r="Z9">
        <v>105.4</v>
      </c>
      <c r="AA9">
        <v>102.9</v>
      </c>
      <c r="AB9">
        <v>105.2</v>
      </c>
      <c r="AC9">
        <v>103.7</v>
      </c>
      <c r="AD9">
        <v>104</v>
      </c>
    </row>
    <row r="10" spans="1:30" x14ac:dyDescent="0.25">
      <c r="A10" t="s">
        <v>34</v>
      </c>
      <c r="B10">
        <v>2013</v>
      </c>
      <c r="C10" t="s">
        <v>31</v>
      </c>
      <c r="D10">
        <v>108.4</v>
      </c>
      <c r="E10">
        <v>107.3</v>
      </c>
      <c r="F10">
        <v>110</v>
      </c>
      <c r="G10">
        <v>104.4</v>
      </c>
      <c r="H10">
        <v>105.1</v>
      </c>
      <c r="I10">
        <v>103.2</v>
      </c>
      <c r="J10">
        <v>102.2</v>
      </c>
      <c r="K10">
        <v>106</v>
      </c>
      <c r="L10">
        <v>106.2</v>
      </c>
      <c r="M10">
        <v>102.7</v>
      </c>
      <c r="N10">
        <v>104.9</v>
      </c>
      <c r="O10">
        <v>107.3</v>
      </c>
      <c r="P10">
        <v>105.6</v>
      </c>
      <c r="Q10">
        <v>105.5</v>
      </c>
      <c r="R10">
        <v>106.2</v>
      </c>
      <c r="S10">
        <v>106.3</v>
      </c>
      <c r="T10">
        <v>100.3</v>
      </c>
      <c r="U10">
        <v>104.8</v>
      </c>
      <c r="V10">
        <v>103.2</v>
      </c>
      <c r="W10">
        <v>103.6</v>
      </c>
      <c r="X10">
        <v>104</v>
      </c>
      <c r="Y10">
        <v>104.5</v>
      </c>
      <c r="Z10">
        <v>105.5</v>
      </c>
      <c r="AA10">
        <v>103.1</v>
      </c>
      <c r="AB10">
        <v>105.1</v>
      </c>
      <c r="AC10">
        <v>103.9</v>
      </c>
      <c r="AD10">
        <v>104.6</v>
      </c>
    </row>
    <row r="11" spans="1:30" x14ac:dyDescent="0.25">
      <c r="A11" t="s">
        <v>30</v>
      </c>
      <c r="B11">
        <v>2013</v>
      </c>
      <c r="C11" t="s">
        <v>35</v>
      </c>
      <c r="D11">
        <v>109.2</v>
      </c>
      <c r="E11">
        <v>108.7</v>
      </c>
      <c r="F11">
        <v>110.2</v>
      </c>
      <c r="G11">
        <v>105.4</v>
      </c>
      <c r="H11">
        <v>106.7</v>
      </c>
      <c r="I11">
        <v>104</v>
      </c>
      <c r="J11">
        <v>102.4</v>
      </c>
      <c r="K11">
        <v>105.9</v>
      </c>
      <c r="L11">
        <v>105.7</v>
      </c>
      <c r="M11">
        <v>103.1</v>
      </c>
      <c r="N11">
        <v>105.1</v>
      </c>
      <c r="O11">
        <v>107.7</v>
      </c>
      <c r="P11">
        <v>106.3</v>
      </c>
      <c r="Q11">
        <v>106.3</v>
      </c>
      <c r="R11">
        <v>107</v>
      </c>
      <c r="S11">
        <v>107.1</v>
      </c>
      <c r="T11">
        <v>139.5</v>
      </c>
      <c r="U11">
        <v>105.2</v>
      </c>
      <c r="V11">
        <v>103.9</v>
      </c>
      <c r="W11">
        <v>104.1</v>
      </c>
      <c r="X11">
        <v>104.4</v>
      </c>
      <c r="Y11">
        <v>104.6</v>
      </c>
      <c r="Z11">
        <v>106.2</v>
      </c>
      <c r="AA11">
        <v>104</v>
      </c>
      <c r="AB11">
        <v>105.6</v>
      </c>
      <c r="AC11">
        <v>104.4</v>
      </c>
      <c r="AD11">
        <v>105.8</v>
      </c>
    </row>
    <row r="12" spans="1:30" x14ac:dyDescent="0.25">
      <c r="A12" t="s">
        <v>33</v>
      </c>
      <c r="B12">
        <v>2013</v>
      </c>
      <c r="C12" t="s">
        <v>35</v>
      </c>
      <c r="D12">
        <v>112.9</v>
      </c>
      <c r="E12">
        <v>112.9</v>
      </c>
      <c r="F12">
        <v>116.9</v>
      </c>
      <c r="G12">
        <v>104</v>
      </c>
      <c r="H12">
        <v>103.5</v>
      </c>
      <c r="I12">
        <v>103.1</v>
      </c>
      <c r="J12">
        <v>104.9</v>
      </c>
      <c r="K12">
        <v>104.1</v>
      </c>
      <c r="L12">
        <v>103.8</v>
      </c>
      <c r="M12">
        <v>102.3</v>
      </c>
      <c r="N12">
        <v>106</v>
      </c>
      <c r="O12">
        <v>109</v>
      </c>
      <c r="P12">
        <v>107.2</v>
      </c>
      <c r="Q12">
        <v>105.5</v>
      </c>
      <c r="R12">
        <v>106.4</v>
      </c>
      <c r="S12">
        <v>106.6</v>
      </c>
      <c r="T12">
        <v>100.4</v>
      </c>
      <c r="U12">
        <v>105.2</v>
      </c>
      <c r="V12">
        <v>104.4</v>
      </c>
      <c r="W12">
        <v>103.7</v>
      </c>
      <c r="X12">
        <v>104.7</v>
      </c>
      <c r="Y12">
        <v>104.3</v>
      </c>
      <c r="Z12">
        <v>105.7</v>
      </c>
      <c r="AA12">
        <v>103.3</v>
      </c>
      <c r="AB12">
        <v>106</v>
      </c>
      <c r="AC12">
        <v>104.3</v>
      </c>
      <c r="AD12">
        <v>104.7</v>
      </c>
    </row>
    <row r="13" spans="1:30" x14ac:dyDescent="0.25">
      <c r="A13" t="s">
        <v>34</v>
      </c>
      <c r="B13">
        <v>2013</v>
      </c>
      <c r="C13" t="s">
        <v>35</v>
      </c>
      <c r="D13">
        <v>110.4</v>
      </c>
      <c r="E13">
        <v>110.2</v>
      </c>
      <c r="F13">
        <v>112.8</v>
      </c>
      <c r="G13">
        <v>104.9</v>
      </c>
      <c r="H13">
        <v>105.5</v>
      </c>
      <c r="I13">
        <v>103.6</v>
      </c>
      <c r="J13">
        <v>103.2</v>
      </c>
      <c r="K13">
        <v>105.3</v>
      </c>
      <c r="L13">
        <v>105.1</v>
      </c>
      <c r="M13">
        <v>102.8</v>
      </c>
      <c r="N13">
        <v>105.5</v>
      </c>
      <c r="O13">
        <v>108.3</v>
      </c>
      <c r="P13">
        <v>106.6</v>
      </c>
      <c r="Q13">
        <v>106</v>
      </c>
      <c r="R13">
        <v>106.8</v>
      </c>
      <c r="S13">
        <v>106.9</v>
      </c>
      <c r="T13">
        <v>100.4</v>
      </c>
      <c r="U13">
        <v>105.2</v>
      </c>
      <c r="V13">
        <v>104.2</v>
      </c>
      <c r="W13">
        <v>103.9</v>
      </c>
      <c r="X13">
        <v>104.5</v>
      </c>
      <c r="Y13">
        <v>104.5</v>
      </c>
      <c r="Z13">
        <v>106</v>
      </c>
      <c r="AA13">
        <v>103.6</v>
      </c>
      <c r="AB13">
        <v>105.7</v>
      </c>
      <c r="AC13">
        <v>104.4</v>
      </c>
      <c r="AD13">
        <v>105.3</v>
      </c>
    </row>
    <row r="14" spans="1:30" x14ac:dyDescent="0.25">
      <c r="A14" t="s">
        <v>30</v>
      </c>
      <c r="B14">
        <v>2013</v>
      </c>
      <c r="C14" t="s">
        <v>36</v>
      </c>
      <c r="D14">
        <v>110.2</v>
      </c>
      <c r="E14">
        <v>108.8</v>
      </c>
      <c r="F14">
        <v>109.9</v>
      </c>
      <c r="G14">
        <v>105.6</v>
      </c>
      <c r="H14">
        <v>106.2</v>
      </c>
      <c r="I14">
        <v>105.7</v>
      </c>
      <c r="J14">
        <v>101.4</v>
      </c>
      <c r="K14">
        <v>105.7</v>
      </c>
      <c r="L14">
        <v>105</v>
      </c>
      <c r="M14">
        <v>103.3</v>
      </c>
      <c r="N14">
        <v>105.6</v>
      </c>
      <c r="O14">
        <v>108.2</v>
      </c>
      <c r="P14">
        <v>106.6</v>
      </c>
      <c r="Q14">
        <v>106.8</v>
      </c>
      <c r="R14">
        <v>107.5</v>
      </c>
      <c r="S14">
        <v>107.6</v>
      </c>
      <c r="T14">
        <v>139.5</v>
      </c>
      <c r="U14">
        <v>105.6</v>
      </c>
      <c r="V14">
        <v>104.6</v>
      </c>
      <c r="W14">
        <v>104.3</v>
      </c>
      <c r="X14">
        <v>104.7</v>
      </c>
      <c r="Y14">
        <v>104.3</v>
      </c>
      <c r="Z14">
        <v>106.1</v>
      </c>
      <c r="AA14">
        <v>104</v>
      </c>
      <c r="AB14">
        <v>106.5</v>
      </c>
      <c r="AC14">
        <v>104.6</v>
      </c>
      <c r="AD14">
        <v>106</v>
      </c>
    </row>
    <row r="15" spans="1:30" x14ac:dyDescent="0.25">
      <c r="A15" t="s">
        <v>33</v>
      </c>
      <c r="B15">
        <v>2013</v>
      </c>
      <c r="C15" t="s">
        <v>36</v>
      </c>
      <c r="D15">
        <v>113.9</v>
      </c>
      <c r="E15">
        <v>111.4</v>
      </c>
      <c r="F15">
        <v>113.2</v>
      </c>
      <c r="G15">
        <v>104.3</v>
      </c>
      <c r="H15">
        <v>102.7</v>
      </c>
      <c r="I15">
        <v>104.9</v>
      </c>
      <c r="J15">
        <v>103.8</v>
      </c>
      <c r="K15">
        <v>103.5</v>
      </c>
      <c r="L15">
        <v>102.6</v>
      </c>
      <c r="M15">
        <v>102.4</v>
      </c>
      <c r="N15">
        <v>107</v>
      </c>
      <c r="O15">
        <v>109.8</v>
      </c>
      <c r="P15">
        <v>107.3</v>
      </c>
      <c r="Q15">
        <v>106</v>
      </c>
      <c r="R15">
        <v>107</v>
      </c>
      <c r="S15">
        <v>107.2</v>
      </c>
      <c r="T15">
        <v>100.4</v>
      </c>
      <c r="U15">
        <v>105.7</v>
      </c>
      <c r="V15">
        <v>105.5</v>
      </c>
      <c r="W15">
        <v>103.8</v>
      </c>
      <c r="X15">
        <v>105.2</v>
      </c>
      <c r="Y15">
        <v>104.2</v>
      </c>
      <c r="Z15">
        <v>106</v>
      </c>
      <c r="AA15">
        <v>103.5</v>
      </c>
      <c r="AB15">
        <v>106.8</v>
      </c>
      <c r="AC15">
        <v>104.9</v>
      </c>
      <c r="AD15">
        <v>105</v>
      </c>
    </row>
    <row r="16" spans="1:30" x14ac:dyDescent="0.25">
      <c r="A16" t="s">
        <v>34</v>
      </c>
      <c r="B16">
        <v>2013</v>
      </c>
      <c r="C16" t="s">
        <v>36</v>
      </c>
      <c r="D16">
        <v>111.4</v>
      </c>
      <c r="E16">
        <v>109.7</v>
      </c>
      <c r="F16">
        <v>111.2</v>
      </c>
      <c r="G16">
        <v>105.1</v>
      </c>
      <c r="H16">
        <v>104.9</v>
      </c>
      <c r="I16">
        <v>105.3</v>
      </c>
      <c r="J16">
        <v>102.2</v>
      </c>
      <c r="K16">
        <v>105</v>
      </c>
      <c r="L16">
        <v>104.2</v>
      </c>
      <c r="M16">
        <v>103</v>
      </c>
      <c r="N16">
        <v>106.2</v>
      </c>
      <c r="O16">
        <v>108.9</v>
      </c>
      <c r="P16">
        <v>106.9</v>
      </c>
      <c r="Q16">
        <v>106.5</v>
      </c>
      <c r="R16">
        <v>107.3</v>
      </c>
      <c r="S16">
        <v>107.4</v>
      </c>
      <c r="T16">
        <v>100.4</v>
      </c>
      <c r="U16">
        <v>105.6</v>
      </c>
      <c r="V16">
        <v>105.1</v>
      </c>
      <c r="W16">
        <v>104</v>
      </c>
      <c r="X16">
        <v>104.9</v>
      </c>
      <c r="Y16">
        <v>104.3</v>
      </c>
      <c r="Z16">
        <v>106.1</v>
      </c>
      <c r="AA16">
        <v>103.7</v>
      </c>
      <c r="AB16">
        <v>106.6</v>
      </c>
      <c r="AC16">
        <v>104.7</v>
      </c>
      <c r="AD16">
        <v>105.5</v>
      </c>
    </row>
    <row r="17" spans="1:30" x14ac:dyDescent="0.25">
      <c r="A17" t="s">
        <v>30</v>
      </c>
      <c r="B17">
        <v>2013</v>
      </c>
      <c r="C17" t="s">
        <v>37</v>
      </c>
      <c r="D17">
        <v>110.2</v>
      </c>
      <c r="E17">
        <v>109.5</v>
      </c>
      <c r="F17">
        <v>106.9</v>
      </c>
      <c r="G17">
        <v>106.3</v>
      </c>
      <c r="H17">
        <v>105.7</v>
      </c>
      <c r="I17">
        <v>108.3</v>
      </c>
      <c r="J17">
        <v>103.4</v>
      </c>
      <c r="K17">
        <v>105.7</v>
      </c>
      <c r="L17">
        <v>104.2</v>
      </c>
      <c r="M17">
        <v>103.2</v>
      </c>
      <c r="N17">
        <v>106.5</v>
      </c>
      <c r="O17">
        <v>108.8</v>
      </c>
      <c r="P17">
        <v>107.1</v>
      </c>
      <c r="Q17">
        <v>107.4</v>
      </c>
      <c r="R17">
        <v>108</v>
      </c>
      <c r="S17">
        <v>108.1</v>
      </c>
      <c r="T17">
        <v>139.5</v>
      </c>
      <c r="U17">
        <v>106.1</v>
      </c>
      <c r="V17">
        <v>104.4</v>
      </c>
      <c r="W17">
        <v>104.8</v>
      </c>
      <c r="X17">
        <v>105.1</v>
      </c>
      <c r="Y17">
        <v>102.7</v>
      </c>
      <c r="Z17">
        <v>106.5</v>
      </c>
      <c r="AA17">
        <v>104.5</v>
      </c>
      <c r="AB17">
        <v>107.1</v>
      </c>
      <c r="AC17">
        <v>104.6</v>
      </c>
      <c r="AD17">
        <v>106.4</v>
      </c>
    </row>
    <row r="18" spans="1:30" x14ac:dyDescent="0.25">
      <c r="A18" t="s">
        <v>33</v>
      </c>
      <c r="B18">
        <v>2013</v>
      </c>
      <c r="C18" t="s">
        <v>37</v>
      </c>
      <c r="D18">
        <v>114.6</v>
      </c>
      <c r="E18">
        <v>113.4</v>
      </c>
      <c r="F18">
        <v>106</v>
      </c>
      <c r="G18">
        <v>104.7</v>
      </c>
      <c r="H18">
        <v>102.1</v>
      </c>
      <c r="I18">
        <v>109.5</v>
      </c>
      <c r="J18">
        <v>109.7</v>
      </c>
      <c r="K18">
        <v>104.6</v>
      </c>
      <c r="L18">
        <v>102</v>
      </c>
      <c r="M18">
        <v>103.5</v>
      </c>
      <c r="N18">
        <v>108.2</v>
      </c>
      <c r="O18">
        <v>110.6</v>
      </c>
      <c r="P18">
        <v>108.8</v>
      </c>
      <c r="Q18">
        <v>106.4</v>
      </c>
      <c r="R18">
        <v>107.7</v>
      </c>
      <c r="S18">
        <v>107.9</v>
      </c>
      <c r="T18">
        <v>100.5</v>
      </c>
      <c r="U18">
        <v>106.5</v>
      </c>
      <c r="V18">
        <v>105</v>
      </c>
      <c r="W18">
        <v>105.2</v>
      </c>
      <c r="X18">
        <v>105.7</v>
      </c>
      <c r="Y18">
        <v>103.2</v>
      </c>
      <c r="Z18">
        <v>106.4</v>
      </c>
      <c r="AA18">
        <v>104</v>
      </c>
      <c r="AB18">
        <v>108.5</v>
      </c>
      <c r="AC18">
        <v>105.1</v>
      </c>
      <c r="AD18">
        <v>105.7</v>
      </c>
    </row>
    <row r="19" spans="1:30" x14ac:dyDescent="0.25">
      <c r="A19" t="s">
        <v>34</v>
      </c>
      <c r="B19">
        <v>2013</v>
      </c>
      <c r="C19" t="s">
        <v>37</v>
      </c>
      <c r="D19">
        <v>111.6</v>
      </c>
      <c r="E19">
        <v>110.9</v>
      </c>
      <c r="F19">
        <v>106.6</v>
      </c>
      <c r="G19">
        <v>105.7</v>
      </c>
      <c r="H19">
        <v>104.4</v>
      </c>
      <c r="I19">
        <v>108.9</v>
      </c>
      <c r="J19">
        <v>105.5</v>
      </c>
      <c r="K19">
        <v>105.3</v>
      </c>
      <c r="L19">
        <v>103.5</v>
      </c>
      <c r="M19">
        <v>103.3</v>
      </c>
      <c r="N19">
        <v>107.2</v>
      </c>
      <c r="O19">
        <v>109.6</v>
      </c>
      <c r="P19">
        <v>107.7</v>
      </c>
      <c r="Q19">
        <v>107</v>
      </c>
      <c r="R19">
        <v>107.9</v>
      </c>
      <c r="S19">
        <v>108</v>
      </c>
      <c r="T19">
        <v>100.5</v>
      </c>
      <c r="U19">
        <v>106.3</v>
      </c>
      <c r="V19">
        <v>104.7</v>
      </c>
      <c r="W19">
        <v>105</v>
      </c>
      <c r="X19">
        <v>105.3</v>
      </c>
      <c r="Y19">
        <v>102.9</v>
      </c>
      <c r="Z19">
        <v>106.5</v>
      </c>
      <c r="AA19">
        <v>104.2</v>
      </c>
      <c r="AB19">
        <v>107.5</v>
      </c>
      <c r="AC19">
        <v>104.8</v>
      </c>
      <c r="AD19">
        <v>106.1</v>
      </c>
    </row>
    <row r="20" spans="1:30" x14ac:dyDescent="0.25">
      <c r="A20" t="s">
        <v>30</v>
      </c>
      <c r="B20">
        <v>2013</v>
      </c>
      <c r="C20" t="s">
        <v>38</v>
      </c>
      <c r="D20">
        <v>110.9</v>
      </c>
      <c r="E20">
        <v>109.8</v>
      </c>
      <c r="F20">
        <v>105.9</v>
      </c>
      <c r="G20">
        <v>107.5</v>
      </c>
      <c r="H20">
        <v>105.3</v>
      </c>
      <c r="I20">
        <v>108.1</v>
      </c>
      <c r="J20">
        <v>107.3</v>
      </c>
      <c r="K20">
        <v>106.1</v>
      </c>
      <c r="L20">
        <v>103.7</v>
      </c>
      <c r="M20">
        <v>104</v>
      </c>
      <c r="N20">
        <v>107.4</v>
      </c>
      <c r="O20">
        <v>109.9</v>
      </c>
      <c r="P20">
        <v>108.1</v>
      </c>
      <c r="Q20">
        <v>107.9</v>
      </c>
      <c r="R20">
        <v>108.6</v>
      </c>
      <c r="S20">
        <v>108.8</v>
      </c>
      <c r="T20">
        <v>139.5</v>
      </c>
      <c r="U20">
        <v>106.8</v>
      </c>
      <c r="V20">
        <v>104.1</v>
      </c>
      <c r="W20">
        <v>105.5</v>
      </c>
      <c r="X20">
        <v>105.7</v>
      </c>
      <c r="Y20">
        <v>102.1</v>
      </c>
      <c r="Z20">
        <v>107.5</v>
      </c>
      <c r="AA20">
        <v>105</v>
      </c>
      <c r="AB20">
        <v>108.1</v>
      </c>
      <c r="AC20">
        <v>104.8</v>
      </c>
      <c r="AD20">
        <v>107.2</v>
      </c>
    </row>
    <row r="21" spans="1:30" x14ac:dyDescent="0.25">
      <c r="A21" t="s">
        <v>33</v>
      </c>
      <c r="B21">
        <v>2013</v>
      </c>
      <c r="C21" t="s">
        <v>38</v>
      </c>
      <c r="D21">
        <v>115.4</v>
      </c>
      <c r="E21">
        <v>114.2</v>
      </c>
      <c r="F21">
        <v>102.7</v>
      </c>
      <c r="G21">
        <v>105.5</v>
      </c>
      <c r="H21">
        <v>101.5</v>
      </c>
      <c r="I21">
        <v>110.6</v>
      </c>
      <c r="J21">
        <v>123.7</v>
      </c>
      <c r="K21">
        <v>105.2</v>
      </c>
      <c r="L21">
        <v>101.9</v>
      </c>
      <c r="M21">
        <v>105</v>
      </c>
      <c r="N21">
        <v>109.1</v>
      </c>
      <c r="O21">
        <v>111.3</v>
      </c>
      <c r="P21">
        <v>111.1</v>
      </c>
      <c r="Q21">
        <v>106.7</v>
      </c>
      <c r="R21">
        <v>108.3</v>
      </c>
      <c r="S21">
        <v>108.5</v>
      </c>
      <c r="T21">
        <v>100.5</v>
      </c>
      <c r="U21">
        <v>107.1</v>
      </c>
      <c r="V21">
        <v>103.9</v>
      </c>
      <c r="W21">
        <v>105.7</v>
      </c>
      <c r="X21">
        <v>106.2</v>
      </c>
      <c r="Y21">
        <v>102.6</v>
      </c>
      <c r="Z21">
        <v>107.2</v>
      </c>
      <c r="AA21">
        <v>104.6</v>
      </c>
      <c r="AB21">
        <v>109.8</v>
      </c>
      <c r="AC21">
        <v>104.9</v>
      </c>
      <c r="AD21">
        <v>106.6</v>
      </c>
    </row>
    <row r="22" spans="1:30" x14ac:dyDescent="0.25">
      <c r="A22" t="s">
        <v>34</v>
      </c>
      <c r="B22">
        <v>2013</v>
      </c>
      <c r="C22" t="s">
        <v>38</v>
      </c>
      <c r="D22">
        <v>112.3</v>
      </c>
      <c r="E22">
        <v>111.3</v>
      </c>
      <c r="F22">
        <v>104.7</v>
      </c>
      <c r="G22">
        <v>106.8</v>
      </c>
      <c r="H22">
        <v>103.9</v>
      </c>
      <c r="I22">
        <v>109.3</v>
      </c>
      <c r="J22">
        <v>112.9</v>
      </c>
      <c r="K22">
        <v>105.8</v>
      </c>
      <c r="L22">
        <v>103.1</v>
      </c>
      <c r="M22">
        <v>104.3</v>
      </c>
      <c r="N22">
        <v>108.1</v>
      </c>
      <c r="O22">
        <v>110.5</v>
      </c>
      <c r="P22">
        <v>109.2</v>
      </c>
      <c r="Q22">
        <v>107.4</v>
      </c>
      <c r="R22">
        <v>108.5</v>
      </c>
      <c r="S22">
        <v>108.7</v>
      </c>
      <c r="T22">
        <v>100.5</v>
      </c>
      <c r="U22">
        <v>106.9</v>
      </c>
      <c r="V22">
        <v>104</v>
      </c>
      <c r="W22">
        <v>105.6</v>
      </c>
      <c r="X22">
        <v>105.9</v>
      </c>
      <c r="Y22">
        <v>102.3</v>
      </c>
      <c r="Z22">
        <v>107.4</v>
      </c>
      <c r="AA22">
        <v>104.8</v>
      </c>
      <c r="AB22">
        <v>108.6</v>
      </c>
      <c r="AC22">
        <v>104.8</v>
      </c>
      <c r="AD22">
        <v>106.9</v>
      </c>
    </row>
    <row r="23" spans="1:30" x14ac:dyDescent="0.25">
      <c r="A23" t="s">
        <v>30</v>
      </c>
      <c r="B23">
        <v>2013</v>
      </c>
      <c r="C23" t="s">
        <v>39</v>
      </c>
      <c r="D23">
        <v>112.3</v>
      </c>
      <c r="E23">
        <v>112.1</v>
      </c>
      <c r="F23">
        <v>108.1</v>
      </c>
      <c r="G23">
        <v>108.3</v>
      </c>
      <c r="H23">
        <v>105.9</v>
      </c>
      <c r="I23">
        <v>109.2</v>
      </c>
      <c r="J23">
        <v>118</v>
      </c>
      <c r="K23">
        <v>106.8</v>
      </c>
      <c r="L23">
        <v>104.1</v>
      </c>
      <c r="M23">
        <v>105.4</v>
      </c>
      <c r="N23">
        <v>108.2</v>
      </c>
      <c r="O23">
        <v>111</v>
      </c>
      <c r="P23">
        <v>110.6</v>
      </c>
      <c r="Q23">
        <v>108.8</v>
      </c>
      <c r="R23">
        <v>109.5</v>
      </c>
      <c r="S23">
        <v>109.7</v>
      </c>
      <c r="T23">
        <v>139.5</v>
      </c>
      <c r="U23">
        <v>107.5</v>
      </c>
      <c r="V23">
        <v>105</v>
      </c>
      <c r="W23">
        <v>106.5</v>
      </c>
      <c r="X23">
        <v>106.3</v>
      </c>
      <c r="Y23">
        <v>102.5</v>
      </c>
      <c r="Z23">
        <v>108.5</v>
      </c>
      <c r="AA23">
        <v>105.6</v>
      </c>
      <c r="AB23">
        <v>109</v>
      </c>
      <c r="AC23">
        <v>105.5</v>
      </c>
      <c r="AD23">
        <v>108.9</v>
      </c>
    </row>
    <row r="24" spans="1:30" x14ac:dyDescent="0.25">
      <c r="A24" t="s">
        <v>33</v>
      </c>
      <c r="B24">
        <v>2013</v>
      </c>
      <c r="C24" t="s">
        <v>39</v>
      </c>
      <c r="D24">
        <v>117</v>
      </c>
      <c r="E24">
        <v>120.1</v>
      </c>
      <c r="F24">
        <v>112.5</v>
      </c>
      <c r="G24">
        <v>107.3</v>
      </c>
      <c r="H24">
        <v>101.3</v>
      </c>
      <c r="I24">
        <v>112.4</v>
      </c>
      <c r="J24">
        <v>143.6</v>
      </c>
      <c r="K24">
        <v>105.4</v>
      </c>
      <c r="L24">
        <v>101.4</v>
      </c>
      <c r="M24">
        <v>106.4</v>
      </c>
      <c r="N24">
        <v>110</v>
      </c>
      <c r="O24">
        <v>112.2</v>
      </c>
      <c r="P24">
        <v>115</v>
      </c>
      <c r="Q24">
        <v>107.2</v>
      </c>
      <c r="R24">
        <v>108.9</v>
      </c>
      <c r="S24">
        <v>109.2</v>
      </c>
      <c r="T24">
        <v>106.6</v>
      </c>
      <c r="U24">
        <v>107.7</v>
      </c>
      <c r="V24">
        <v>105.2</v>
      </c>
      <c r="W24">
        <v>108.1</v>
      </c>
      <c r="X24">
        <v>106.5</v>
      </c>
      <c r="Y24">
        <v>103.3</v>
      </c>
      <c r="Z24">
        <v>108</v>
      </c>
      <c r="AA24">
        <v>105.2</v>
      </c>
      <c r="AB24">
        <v>110.9</v>
      </c>
      <c r="AC24">
        <v>106.1</v>
      </c>
      <c r="AD24">
        <v>109.7</v>
      </c>
    </row>
    <row r="25" spans="1:30" x14ac:dyDescent="0.25">
      <c r="A25" t="s">
        <v>34</v>
      </c>
      <c r="B25">
        <v>2013</v>
      </c>
      <c r="C25" t="s">
        <v>39</v>
      </c>
      <c r="D25">
        <v>113.8</v>
      </c>
      <c r="E25">
        <v>114.9</v>
      </c>
      <c r="F25">
        <v>109.8</v>
      </c>
      <c r="G25">
        <v>107.9</v>
      </c>
      <c r="H25">
        <v>104.2</v>
      </c>
      <c r="I25">
        <v>110.7</v>
      </c>
      <c r="J25">
        <v>126.7</v>
      </c>
      <c r="K25">
        <v>106.3</v>
      </c>
      <c r="L25">
        <v>103.2</v>
      </c>
      <c r="M25">
        <v>105.7</v>
      </c>
      <c r="N25">
        <v>109</v>
      </c>
      <c r="O25">
        <v>111.6</v>
      </c>
      <c r="P25">
        <v>112.2</v>
      </c>
      <c r="Q25">
        <v>108.1</v>
      </c>
      <c r="R25">
        <v>109.3</v>
      </c>
      <c r="S25">
        <v>109.5</v>
      </c>
      <c r="T25">
        <v>106.6</v>
      </c>
      <c r="U25">
        <v>107.6</v>
      </c>
      <c r="V25">
        <v>105.1</v>
      </c>
      <c r="W25">
        <v>107.4</v>
      </c>
      <c r="X25">
        <v>106.4</v>
      </c>
      <c r="Y25">
        <v>102.8</v>
      </c>
      <c r="Z25">
        <v>108.3</v>
      </c>
      <c r="AA25">
        <v>105.4</v>
      </c>
      <c r="AB25">
        <v>109.5</v>
      </c>
      <c r="AC25">
        <v>105.8</v>
      </c>
      <c r="AD25">
        <v>109.3</v>
      </c>
    </row>
    <row r="26" spans="1:30" x14ac:dyDescent="0.25">
      <c r="A26" t="s">
        <v>30</v>
      </c>
      <c r="B26">
        <v>2013</v>
      </c>
      <c r="C26" t="s">
        <v>40</v>
      </c>
      <c r="D26">
        <v>113.4</v>
      </c>
      <c r="E26">
        <v>114.9</v>
      </c>
      <c r="F26">
        <v>110.5</v>
      </c>
      <c r="G26">
        <v>109.3</v>
      </c>
      <c r="H26">
        <v>106.2</v>
      </c>
      <c r="I26">
        <v>110.3</v>
      </c>
      <c r="J26">
        <v>129.19999999999999</v>
      </c>
      <c r="K26">
        <v>107.1</v>
      </c>
      <c r="L26">
        <v>104.3</v>
      </c>
      <c r="M26">
        <v>106.4</v>
      </c>
      <c r="N26">
        <v>109.1</v>
      </c>
      <c r="O26">
        <v>112.1</v>
      </c>
      <c r="P26">
        <v>113.1</v>
      </c>
      <c r="Q26">
        <v>109.5</v>
      </c>
      <c r="R26">
        <v>110.3</v>
      </c>
      <c r="S26">
        <v>110.5</v>
      </c>
      <c r="T26">
        <v>139.5</v>
      </c>
      <c r="U26">
        <v>108.3</v>
      </c>
      <c r="V26">
        <v>106.8</v>
      </c>
      <c r="W26">
        <v>107.8</v>
      </c>
      <c r="X26">
        <v>106.9</v>
      </c>
      <c r="Y26">
        <v>102.5</v>
      </c>
      <c r="Z26">
        <v>109.5</v>
      </c>
      <c r="AA26">
        <v>106.4</v>
      </c>
      <c r="AB26">
        <v>109.8</v>
      </c>
      <c r="AC26">
        <v>106.5</v>
      </c>
      <c r="AD26">
        <v>110.7</v>
      </c>
    </row>
    <row r="27" spans="1:30" x14ac:dyDescent="0.25">
      <c r="A27" t="s">
        <v>33</v>
      </c>
      <c r="B27">
        <v>2013</v>
      </c>
      <c r="C27" t="s">
        <v>40</v>
      </c>
      <c r="D27">
        <v>117.8</v>
      </c>
      <c r="E27">
        <v>119.2</v>
      </c>
      <c r="F27">
        <v>114</v>
      </c>
      <c r="G27">
        <v>108.3</v>
      </c>
      <c r="H27">
        <v>101.1</v>
      </c>
      <c r="I27">
        <v>113.2</v>
      </c>
      <c r="J27">
        <v>160.9</v>
      </c>
      <c r="K27">
        <v>105.1</v>
      </c>
      <c r="L27">
        <v>101.3</v>
      </c>
      <c r="M27">
        <v>107.5</v>
      </c>
      <c r="N27">
        <v>110.4</v>
      </c>
      <c r="O27">
        <v>113.1</v>
      </c>
      <c r="P27">
        <v>117.5</v>
      </c>
      <c r="Q27">
        <v>107.8</v>
      </c>
      <c r="R27">
        <v>109.5</v>
      </c>
      <c r="S27">
        <v>109.8</v>
      </c>
      <c r="T27">
        <v>107.7</v>
      </c>
      <c r="U27">
        <v>108.1</v>
      </c>
      <c r="V27">
        <v>107.3</v>
      </c>
      <c r="W27">
        <v>110.1</v>
      </c>
      <c r="X27">
        <v>107.1</v>
      </c>
      <c r="Y27">
        <v>103.2</v>
      </c>
      <c r="Z27">
        <v>108.6</v>
      </c>
      <c r="AA27">
        <v>105.9</v>
      </c>
      <c r="AB27">
        <v>111.7</v>
      </c>
      <c r="AC27">
        <v>107.3</v>
      </c>
      <c r="AD27">
        <v>111.4</v>
      </c>
    </row>
    <row r="28" spans="1:30" x14ac:dyDescent="0.25">
      <c r="A28" t="s">
        <v>34</v>
      </c>
      <c r="B28">
        <v>2013</v>
      </c>
      <c r="C28" t="s">
        <v>40</v>
      </c>
      <c r="D28">
        <v>114.8</v>
      </c>
      <c r="E28">
        <v>116.4</v>
      </c>
      <c r="F28">
        <v>111.9</v>
      </c>
      <c r="G28">
        <v>108.9</v>
      </c>
      <c r="H28">
        <v>104.3</v>
      </c>
      <c r="I28">
        <v>111.7</v>
      </c>
      <c r="J28">
        <v>140</v>
      </c>
      <c r="K28">
        <v>106.4</v>
      </c>
      <c r="L28">
        <v>103.3</v>
      </c>
      <c r="M28">
        <v>106.8</v>
      </c>
      <c r="N28">
        <v>109.6</v>
      </c>
      <c r="O28">
        <v>112.6</v>
      </c>
      <c r="P28">
        <v>114.7</v>
      </c>
      <c r="Q28">
        <v>108.8</v>
      </c>
      <c r="R28">
        <v>110</v>
      </c>
      <c r="S28">
        <v>110.2</v>
      </c>
      <c r="T28">
        <v>107.7</v>
      </c>
      <c r="U28">
        <v>108.2</v>
      </c>
      <c r="V28">
        <v>107.1</v>
      </c>
      <c r="W28">
        <v>109.1</v>
      </c>
      <c r="X28">
        <v>107</v>
      </c>
      <c r="Y28">
        <v>102.8</v>
      </c>
      <c r="Z28">
        <v>109.2</v>
      </c>
      <c r="AA28">
        <v>106.1</v>
      </c>
      <c r="AB28">
        <v>110.3</v>
      </c>
      <c r="AC28">
        <v>106.9</v>
      </c>
      <c r="AD28">
        <v>111</v>
      </c>
    </row>
    <row r="29" spans="1:30" x14ac:dyDescent="0.25">
      <c r="A29" t="s">
        <v>30</v>
      </c>
      <c r="B29">
        <v>2013</v>
      </c>
      <c r="C29" t="s">
        <v>41</v>
      </c>
      <c r="D29">
        <v>114.3</v>
      </c>
      <c r="E29">
        <v>115.4</v>
      </c>
      <c r="F29">
        <v>111.1</v>
      </c>
      <c r="G29">
        <v>110</v>
      </c>
      <c r="H29">
        <v>106.4</v>
      </c>
      <c r="I29">
        <v>110.8</v>
      </c>
      <c r="J29">
        <v>138.9</v>
      </c>
      <c r="K29">
        <v>107.4</v>
      </c>
      <c r="L29">
        <v>104.1</v>
      </c>
      <c r="M29">
        <v>106.9</v>
      </c>
      <c r="N29">
        <v>109.7</v>
      </c>
      <c r="O29">
        <v>112.6</v>
      </c>
      <c r="P29">
        <v>114.9</v>
      </c>
      <c r="Q29">
        <v>110.2</v>
      </c>
      <c r="R29">
        <v>111.1</v>
      </c>
      <c r="S29">
        <v>111.3</v>
      </c>
      <c r="T29">
        <v>139.5</v>
      </c>
      <c r="U29">
        <v>108.7</v>
      </c>
      <c r="V29">
        <v>107.8</v>
      </c>
      <c r="W29">
        <v>108.7</v>
      </c>
      <c r="X29">
        <v>107.5</v>
      </c>
      <c r="Y29">
        <v>105</v>
      </c>
      <c r="Z29">
        <v>109.9</v>
      </c>
      <c r="AA29">
        <v>106.8</v>
      </c>
      <c r="AB29">
        <v>110.7</v>
      </c>
      <c r="AC29">
        <v>107.5</v>
      </c>
      <c r="AD29">
        <v>112.1</v>
      </c>
    </row>
    <row r="30" spans="1:30" x14ac:dyDescent="0.25">
      <c r="A30" t="s">
        <v>33</v>
      </c>
      <c r="B30">
        <v>2013</v>
      </c>
      <c r="C30" t="s">
        <v>41</v>
      </c>
      <c r="D30">
        <v>118.3</v>
      </c>
      <c r="E30">
        <v>120.4</v>
      </c>
      <c r="F30">
        <v>112.7</v>
      </c>
      <c r="G30">
        <v>108.9</v>
      </c>
      <c r="H30">
        <v>101.1</v>
      </c>
      <c r="I30">
        <v>108.7</v>
      </c>
      <c r="J30">
        <v>177</v>
      </c>
      <c r="K30">
        <v>104.7</v>
      </c>
      <c r="L30">
        <v>101</v>
      </c>
      <c r="M30">
        <v>108.5</v>
      </c>
      <c r="N30">
        <v>110.9</v>
      </c>
      <c r="O30">
        <v>114.3</v>
      </c>
      <c r="P30">
        <v>119.6</v>
      </c>
      <c r="Q30">
        <v>108.3</v>
      </c>
      <c r="R30">
        <v>110.2</v>
      </c>
      <c r="S30">
        <v>110.6</v>
      </c>
      <c r="T30">
        <v>108.9</v>
      </c>
      <c r="U30">
        <v>108.7</v>
      </c>
      <c r="V30">
        <v>108.1</v>
      </c>
      <c r="W30">
        <v>110.8</v>
      </c>
      <c r="X30">
        <v>107.6</v>
      </c>
      <c r="Y30">
        <v>106</v>
      </c>
      <c r="Z30">
        <v>109.3</v>
      </c>
      <c r="AA30">
        <v>106.5</v>
      </c>
      <c r="AB30">
        <v>112.4</v>
      </c>
      <c r="AC30">
        <v>108.3</v>
      </c>
      <c r="AD30">
        <v>112.7</v>
      </c>
    </row>
    <row r="31" spans="1:30" x14ac:dyDescent="0.25">
      <c r="A31" t="s">
        <v>34</v>
      </c>
      <c r="B31">
        <v>2013</v>
      </c>
      <c r="C31" t="s">
        <v>41</v>
      </c>
      <c r="D31">
        <v>115.6</v>
      </c>
      <c r="E31">
        <v>117.2</v>
      </c>
      <c r="F31">
        <v>111.7</v>
      </c>
      <c r="G31">
        <v>109.6</v>
      </c>
      <c r="H31">
        <v>104.5</v>
      </c>
      <c r="I31">
        <v>109.8</v>
      </c>
      <c r="J31">
        <v>151.80000000000001</v>
      </c>
      <c r="K31">
        <v>106.5</v>
      </c>
      <c r="L31">
        <v>103.1</v>
      </c>
      <c r="M31">
        <v>107.4</v>
      </c>
      <c r="N31">
        <v>110.2</v>
      </c>
      <c r="O31">
        <v>113.4</v>
      </c>
      <c r="P31">
        <v>116.6</v>
      </c>
      <c r="Q31">
        <v>109.4</v>
      </c>
      <c r="R31">
        <v>110.7</v>
      </c>
      <c r="S31">
        <v>111</v>
      </c>
      <c r="T31">
        <v>108.9</v>
      </c>
      <c r="U31">
        <v>108.7</v>
      </c>
      <c r="V31">
        <v>108</v>
      </c>
      <c r="W31">
        <v>109.9</v>
      </c>
      <c r="X31">
        <v>107.5</v>
      </c>
      <c r="Y31">
        <v>105.4</v>
      </c>
      <c r="Z31">
        <v>109.7</v>
      </c>
      <c r="AA31">
        <v>106.6</v>
      </c>
      <c r="AB31">
        <v>111.2</v>
      </c>
      <c r="AC31">
        <v>107.9</v>
      </c>
      <c r="AD31">
        <v>112.4</v>
      </c>
    </row>
    <row r="32" spans="1:30" x14ac:dyDescent="0.25">
      <c r="A32" t="s">
        <v>30</v>
      </c>
      <c r="B32">
        <v>2013</v>
      </c>
      <c r="C32" t="s">
        <v>42</v>
      </c>
      <c r="D32">
        <v>115.4</v>
      </c>
      <c r="E32">
        <v>115.7</v>
      </c>
      <c r="F32">
        <v>111.7</v>
      </c>
      <c r="G32">
        <v>111</v>
      </c>
      <c r="H32">
        <v>107.4</v>
      </c>
      <c r="I32">
        <v>110.9</v>
      </c>
      <c r="J32">
        <v>154</v>
      </c>
      <c r="K32">
        <v>108.1</v>
      </c>
      <c r="L32">
        <v>104.2</v>
      </c>
      <c r="M32">
        <v>107.9</v>
      </c>
      <c r="N32">
        <v>110.4</v>
      </c>
      <c r="O32">
        <v>114</v>
      </c>
      <c r="P32">
        <v>117.8</v>
      </c>
      <c r="Q32">
        <v>111.4</v>
      </c>
      <c r="R32">
        <v>112.5</v>
      </c>
      <c r="S32">
        <v>112.7</v>
      </c>
      <c r="T32">
        <v>139.5</v>
      </c>
      <c r="U32">
        <v>109.6</v>
      </c>
      <c r="V32">
        <v>109.3</v>
      </c>
      <c r="W32">
        <v>109.8</v>
      </c>
      <c r="X32">
        <v>108.3</v>
      </c>
      <c r="Y32">
        <v>106.7</v>
      </c>
      <c r="Z32">
        <v>111.1</v>
      </c>
      <c r="AA32">
        <v>107.7</v>
      </c>
      <c r="AB32">
        <v>111.7</v>
      </c>
      <c r="AC32">
        <v>108.7</v>
      </c>
      <c r="AD32">
        <v>114.2</v>
      </c>
    </row>
    <row r="33" spans="1:30" x14ac:dyDescent="0.25">
      <c r="A33" t="s">
        <v>33</v>
      </c>
      <c r="B33">
        <v>2013</v>
      </c>
      <c r="C33" t="s">
        <v>42</v>
      </c>
      <c r="D33">
        <v>118.6</v>
      </c>
      <c r="E33">
        <v>119.1</v>
      </c>
      <c r="F33">
        <v>113.2</v>
      </c>
      <c r="G33">
        <v>109.6</v>
      </c>
      <c r="H33">
        <v>101.7</v>
      </c>
      <c r="I33">
        <v>103.2</v>
      </c>
      <c r="J33">
        <v>174.3</v>
      </c>
      <c r="K33">
        <v>105.1</v>
      </c>
      <c r="L33">
        <v>100.8</v>
      </c>
      <c r="M33">
        <v>109.1</v>
      </c>
      <c r="N33">
        <v>111.1</v>
      </c>
      <c r="O33">
        <v>115.4</v>
      </c>
      <c r="P33">
        <v>119.2</v>
      </c>
      <c r="Q33">
        <v>109</v>
      </c>
      <c r="R33">
        <v>111.1</v>
      </c>
      <c r="S33">
        <v>111.4</v>
      </c>
      <c r="T33">
        <v>109.7</v>
      </c>
      <c r="U33">
        <v>109.6</v>
      </c>
      <c r="V33">
        <v>110.4</v>
      </c>
      <c r="W33">
        <v>111.2</v>
      </c>
      <c r="X33">
        <v>107.9</v>
      </c>
      <c r="Y33">
        <v>106.9</v>
      </c>
      <c r="Z33">
        <v>109.5</v>
      </c>
      <c r="AA33">
        <v>107.4</v>
      </c>
      <c r="AB33">
        <v>112.9</v>
      </c>
      <c r="AC33">
        <v>109.4</v>
      </c>
      <c r="AD33">
        <v>113.2</v>
      </c>
    </row>
    <row r="34" spans="1:30" x14ac:dyDescent="0.25">
      <c r="A34" t="s">
        <v>34</v>
      </c>
      <c r="B34">
        <v>2013</v>
      </c>
      <c r="C34" t="s">
        <v>42</v>
      </c>
      <c r="D34">
        <v>116.4</v>
      </c>
      <c r="E34">
        <v>116.9</v>
      </c>
      <c r="F34">
        <v>112.3</v>
      </c>
      <c r="G34">
        <v>110.5</v>
      </c>
      <c r="H34">
        <v>105.3</v>
      </c>
      <c r="I34">
        <v>107.3</v>
      </c>
      <c r="J34">
        <v>160.9</v>
      </c>
      <c r="K34">
        <v>107.1</v>
      </c>
      <c r="L34">
        <v>103.1</v>
      </c>
      <c r="M34">
        <v>108.3</v>
      </c>
      <c r="N34">
        <v>110.7</v>
      </c>
      <c r="O34">
        <v>114.6</v>
      </c>
      <c r="P34">
        <v>118.3</v>
      </c>
      <c r="Q34">
        <v>110.4</v>
      </c>
      <c r="R34">
        <v>111.9</v>
      </c>
      <c r="S34">
        <v>112.2</v>
      </c>
      <c r="T34">
        <v>109.7</v>
      </c>
      <c r="U34">
        <v>109.6</v>
      </c>
      <c r="V34">
        <v>109.9</v>
      </c>
      <c r="W34">
        <v>110.6</v>
      </c>
      <c r="X34">
        <v>108.1</v>
      </c>
      <c r="Y34">
        <v>106.8</v>
      </c>
      <c r="Z34">
        <v>110.5</v>
      </c>
      <c r="AA34">
        <v>107.5</v>
      </c>
      <c r="AB34">
        <v>112</v>
      </c>
      <c r="AC34">
        <v>109</v>
      </c>
      <c r="AD34">
        <v>113.7</v>
      </c>
    </row>
    <row r="35" spans="1:30" x14ac:dyDescent="0.25">
      <c r="A35" t="s">
        <v>30</v>
      </c>
      <c r="B35">
        <v>2013</v>
      </c>
      <c r="C35" t="s">
        <v>43</v>
      </c>
      <c r="D35">
        <v>116.3</v>
      </c>
      <c r="E35">
        <v>115.4</v>
      </c>
      <c r="F35">
        <v>112.6</v>
      </c>
      <c r="G35">
        <v>111.7</v>
      </c>
      <c r="H35">
        <v>107.7</v>
      </c>
      <c r="I35">
        <v>113.2</v>
      </c>
      <c r="J35">
        <v>164.9</v>
      </c>
      <c r="K35">
        <v>108.3</v>
      </c>
      <c r="L35">
        <v>103.9</v>
      </c>
      <c r="M35">
        <v>108.2</v>
      </c>
      <c r="N35">
        <v>111.1</v>
      </c>
      <c r="O35">
        <v>114.9</v>
      </c>
      <c r="P35">
        <v>119.8</v>
      </c>
      <c r="Q35">
        <v>112.3</v>
      </c>
      <c r="R35">
        <v>113.4</v>
      </c>
      <c r="S35">
        <v>113.6</v>
      </c>
      <c r="T35">
        <v>139.5</v>
      </c>
      <c r="U35">
        <v>110.4</v>
      </c>
      <c r="V35">
        <v>109.3</v>
      </c>
      <c r="W35">
        <v>110.2</v>
      </c>
      <c r="X35">
        <v>108.9</v>
      </c>
      <c r="Y35">
        <v>107.5</v>
      </c>
      <c r="Z35">
        <v>111.6</v>
      </c>
      <c r="AA35">
        <v>108.3</v>
      </c>
      <c r="AB35">
        <v>112.2</v>
      </c>
      <c r="AC35">
        <v>109.1</v>
      </c>
      <c r="AD35">
        <v>115.5</v>
      </c>
    </row>
    <row r="36" spans="1:30" x14ac:dyDescent="0.25">
      <c r="A36" t="s">
        <v>33</v>
      </c>
      <c r="B36">
        <v>2013</v>
      </c>
      <c r="C36" t="s">
        <v>43</v>
      </c>
      <c r="D36">
        <v>118.9</v>
      </c>
      <c r="E36">
        <v>118.1</v>
      </c>
      <c r="F36">
        <v>114.5</v>
      </c>
      <c r="G36">
        <v>110.4</v>
      </c>
      <c r="H36">
        <v>102.3</v>
      </c>
      <c r="I36">
        <v>106.2</v>
      </c>
      <c r="J36">
        <v>183.5</v>
      </c>
      <c r="K36">
        <v>105.3</v>
      </c>
      <c r="L36">
        <v>100.2</v>
      </c>
      <c r="M36">
        <v>109.6</v>
      </c>
      <c r="N36">
        <v>111.4</v>
      </c>
      <c r="O36">
        <v>116</v>
      </c>
      <c r="P36">
        <v>120.8</v>
      </c>
      <c r="Q36">
        <v>109.7</v>
      </c>
      <c r="R36">
        <v>112</v>
      </c>
      <c r="S36">
        <v>112.5</v>
      </c>
      <c r="T36">
        <v>110.5</v>
      </c>
      <c r="U36">
        <v>110.2</v>
      </c>
      <c r="V36">
        <v>109.7</v>
      </c>
      <c r="W36">
        <v>111.3</v>
      </c>
      <c r="X36">
        <v>108.2</v>
      </c>
      <c r="Y36">
        <v>107.3</v>
      </c>
      <c r="Z36">
        <v>109.7</v>
      </c>
      <c r="AA36">
        <v>108</v>
      </c>
      <c r="AB36">
        <v>113.5</v>
      </c>
      <c r="AC36">
        <v>109.4</v>
      </c>
      <c r="AD36">
        <v>114</v>
      </c>
    </row>
    <row r="37" spans="1:30" x14ac:dyDescent="0.25">
      <c r="A37" t="s">
        <v>34</v>
      </c>
      <c r="B37">
        <v>2013</v>
      </c>
      <c r="C37" t="s">
        <v>43</v>
      </c>
      <c r="D37">
        <v>117.1</v>
      </c>
      <c r="E37">
        <v>116.3</v>
      </c>
      <c r="F37">
        <v>113.3</v>
      </c>
      <c r="G37">
        <v>111.2</v>
      </c>
      <c r="H37">
        <v>105.7</v>
      </c>
      <c r="I37">
        <v>109.9</v>
      </c>
      <c r="J37">
        <v>171.2</v>
      </c>
      <c r="K37">
        <v>107.3</v>
      </c>
      <c r="L37">
        <v>102.7</v>
      </c>
      <c r="M37">
        <v>108.7</v>
      </c>
      <c r="N37">
        <v>111.2</v>
      </c>
      <c r="O37">
        <v>115.4</v>
      </c>
      <c r="P37">
        <v>120.2</v>
      </c>
      <c r="Q37">
        <v>111.2</v>
      </c>
      <c r="R37">
        <v>112.8</v>
      </c>
      <c r="S37">
        <v>113.2</v>
      </c>
      <c r="T37">
        <v>110.5</v>
      </c>
      <c r="U37">
        <v>110.3</v>
      </c>
      <c r="V37">
        <v>109.5</v>
      </c>
      <c r="W37">
        <v>110.8</v>
      </c>
      <c r="X37">
        <v>108.6</v>
      </c>
      <c r="Y37">
        <v>107.4</v>
      </c>
      <c r="Z37">
        <v>110.9</v>
      </c>
      <c r="AA37">
        <v>108.1</v>
      </c>
      <c r="AB37">
        <v>112.5</v>
      </c>
      <c r="AC37">
        <v>109.2</v>
      </c>
      <c r="AD37">
        <v>114.8</v>
      </c>
    </row>
    <row r="38" spans="1:30" x14ac:dyDescent="0.25">
      <c r="A38" t="s">
        <v>30</v>
      </c>
      <c r="B38">
        <v>2013</v>
      </c>
      <c r="C38" t="s">
        <v>44</v>
      </c>
      <c r="D38">
        <v>117.3</v>
      </c>
      <c r="E38">
        <v>114.9</v>
      </c>
      <c r="F38">
        <v>116.2</v>
      </c>
      <c r="G38">
        <v>112.8</v>
      </c>
      <c r="H38">
        <v>108.9</v>
      </c>
      <c r="I38">
        <v>116.6</v>
      </c>
      <c r="J38">
        <v>178.1</v>
      </c>
      <c r="K38">
        <v>109.1</v>
      </c>
      <c r="L38">
        <v>103.6</v>
      </c>
      <c r="M38">
        <v>109</v>
      </c>
      <c r="N38">
        <v>111.8</v>
      </c>
      <c r="O38">
        <v>116</v>
      </c>
      <c r="P38">
        <v>122.5</v>
      </c>
      <c r="Q38">
        <v>113.1</v>
      </c>
      <c r="R38">
        <v>114.4</v>
      </c>
      <c r="S38">
        <v>114.6</v>
      </c>
      <c r="T38">
        <v>139.5</v>
      </c>
      <c r="U38">
        <v>111.3</v>
      </c>
      <c r="V38">
        <v>109.6</v>
      </c>
      <c r="W38">
        <v>111</v>
      </c>
      <c r="X38">
        <v>109.7</v>
      </c>
      <c r="Y38">
        <v>108.2</v>
      </c>
      <c r="Z38">
        <v>112.6</v>
      </c>
      <c r="AA38">
        <v>108.7</v>
      </c>
      <c r="AB38">
        <v>112.8</v>
      </c>
      <c r="AC38">
        <v>109.8</v>
      </c>
      <c r="AD38">
        <v>117.4</v>
      </c>
    </row>
    <row r="39" spans="1:30" x14ac:dyDescent="0.25">
      <c r="A39" t="s">
        <v>33</v>
      </c>
      <c r="B39">
        <v>2013</v>
      </c>
      <c r="C39" t="s">
        <v>45</v>
      </c>
      <c r="D39">
        <v>119.8</v>
      </c>
      <c r="E39">
        <v>116.3</v>
      </c>
      <c r="F39">
        <v>122.6</v>
      </c>
      <c r="G39">
        <v>112</v>
      </c>
      <c r="H39">
        <v>103.2</v>
      </c>
      <c r="I39">
        <v>110</v>
      </c>
      <c r="J39">
        <v>192.8</v>
      </c>
      <c r="K39">
        <v>106.3</v>
      </c>
      <c r="L39">
        <v>99.5</v>
      </c>
      <c r="M39">
        <v>110.3</v>
      </c>
      <c r="N39">
        <v>111.8</v>
      </c>
      <c r="O39">
        <v>117.1</v>
      </c>
      <c r="P39">
        <v>122.9</v>
      </c>
      <c r="Q39">
        <v>110.3</v>
      </c>
      <c r="R39">
        <v>113</v>
      </c>
      <c r="S39">
        <v>113.5</v>
      </c>
      <c r="T39">
        <v>111.1</v>
      </c>
      <c r="U39">
        <v>110.9</v>
      </c>
      <c r="V39">
        <v>109.5</v>
      </c>
      <c r="W39">
        <v>111.3</v>
      </c>
      <c r="X39">
        <v>108.6</v>
      </c>
      <c r="Y39">
        <v>107.9</v>
      </c>
      <c r="Z39">
        <v>110</v>
      </c>
      <c r="AA39">
        <v>108.5</v>
      </c>
      <c r="AB39">
        <v>114.1</v>
      </c>
      <c r="AC39">
        <v>109.6</v>
      </c>
      <c r="AD39">
        <v>115</v>
      </c>
    </row>
    <row r="40" spans="1:30" x14ac:dyDescent="0.25">
      <c r="A40" t="s">
        <v>34</v>
      </c>
      <c r="B40">
        <v>2013</v>
      </c>
      <c r="C40" t="s">
        <v>45</v>
      </c>
      <c r="D40">
        <v>118.1</v>
      </c>
      <c r="E40">
        <v>115.4</v>
      </c>
      <c r="F40">
        <v>118.7</v>
      </c>
      <c r="G40">
        <v>112.5</v>
      </c>
      <c r="H40">
        <v>106.8</v>
      </c>
      <c r="I40">
        <v>113.5</v>
      </c>
      <c r="J40">
        <v>183.1</v>
      </c>
      <c r="K40">
        <v>108.2</v>
      </c>
      <c r="L40">
        <v>102.2</v>
      </c>
      <c r="M40">
        <v>109.4</v>
      </c>
      <c r="N40">
        <v>111.8</v>
      </c>
      <c r="O40">
        <v>116.5</v>
      </c>
      <c r="P40">
        <v>122.6</v>
      </c>
      <c r="Q40">
        <v>111.9</v>
      </c>
      <c r="R40">
        <v>113.8</v>
      </c>
      <c r="S40">
        <v>114.2</v>
      </c>
      <c r="T40">
        <v>111.1</v>
      </c>
      <c r="U40">
        <v>111.1</v>
      </c>
      <c r="V40">
        <v>109.5</v>
      </c>
      <c r="W40">
        <v>111.2</v>
      </c>
      <c r="X40">
        <v>109.3</v>
      </c>
      <c r="Y40">
        <v>108.1</v>
      </c>
      <c r="Z40">
        <v>111.6</v>
      </c>
      <c r="AA40">
        <v>108.6</v>
      </c>
      <c r="AB40">
        <v>113.1</v>
      </c>
      <c r="AC40">
        <v>109.7</v>
      </c>
      <c r="AD40">
        <v>116.3</v>
      </c>
    </row>
    <row r="41" spans="1:30" x14ac:dyDescent="0.25">
      <c r="A41" t="s">
        <v>30</v>
      </c>
      <c r="B41">
        <v>2013</v>
      </c>
      <c r="C41" t="s">
        <v>46</v>
      </c>
      <c r="D41">
        <v>118.4</v>
      </c>
      <c r="E41">
        <v>115.9</v>
      </c>
      <c r="F41">
        <v>120.4</v>
      </c>
      <c r="G41">
        <v>113.8</v>
      </c>
      <c r="H41">
        <v>109.5</v>
      </c>
      <c r="I41">
        <v>115.5</v>
      </c>
      <c r="J41">
        <v>145.69999999999999</v>
      </c>
      <c r="K41">
        <v>109.5</v>
      </c>
      <c r="L41">
        <v>102.9</v>
      </c>
      <c r="M41">
        <v>109.8</v>
      </c>
      <c r="N41">
        <v>112.1</v>
      </c>
      <c r="O41">
        <v>116.8</v>
      </c>
      <c r="P41">
        <v>118.7</v>
      </c>
      <c r="Q41">
        <v>114</v>
      </c>
      <c r="R41">
        <v>115.5</v>
      </c>
      <c r="S41">
        <v>115.8</v>
      </c>
      <c r="T41">
        <v>139.5</v>
      </c>
      <c r="U41">
        <v>112.1</v>
      </c>
      <c r="V41">
        <v>109.9</v>
      </c>
      <c r="W41">
        <v>111.6</v>
      </c>
      <c r="X41">
        <v>110.1</v>
      </c>
      <c r="Y41">
        <v>108.1</v>
      </c>
      <c r="Z41">
        <v>112.8</v>
      </c>
      <c r="AA41">
        <v>109.2</v>
      </c>
      <c r="AB41">
        <v>113.6</v>
      </c>
      <c r="AC41">
        <v>110.1</v>
      </c>
      <c r="AD41">
        <v>115.5</v>
      </c>
    </row>
    <row r="42" spans="1:30" x14ac:dyDescent="0.25">
      <c r="A42" t="s">
        <v>33</v>
      </c>
      <c r="B42">
        <v>2013</v>
      </c>
      <c r="C42" t="s">
        <v>46</v>
      </c>
      <c r="D42">
        <v>120.5</v>
      </c>
      <c r="E42">
        <v>118.1</v>
      </c>
      <c r="F42">
        <v>128.5</v>
      </c>
      <c r="G42">
        <v>112.8</v>
      </c>
      <c r="H42">
        <v>103.4</v>
      </c>
      <c r="I42">
        <v>110.7</v>
      </c>
      <c r="J42">
        <v>144.80000000000001</v>
      </c>
      <c r="K42">
        <v>107.1</v>
      </c>
      <c r="L42">
        <v>98.6</v>
      </c>
      <c r="M42">
        <v>111.9</v>
      </c>
      <c r="N42">
        <v>112.1</v>
      </c>
      <c r="O42">
        <v>118.1</v>
      </c>
      <c r="P42">
        <v>117.8</v>
      </c>
      <c r="Q42">
        <v>110.9</v>
      </c>
      <c r="R42">
        <v>113.7</v>
      </c>
      <c r="S42">
        <v>114.2</v>
      </c>
      <c r="T42">
        <v>110.7</v>
      </c>
      <c r="U42">
        <v>111.3</v>
      </c>
      <c r="V42">
        <v>109.7</v>
      </c>
      <c r="W42">
        <v>111.4</v>
      </c>
      <c r="X42">
        <v>109</v>
      </c>
      <c r="Y42">
        <v>107.7</v>
      </c>
      <c r="Z42">
        <v>110.4</v>
      </c>
      <c r="AA42">
        <v>108.9</v>
      </c>
      <c r="AB42">
        <v>115</v>
      </c>
      <c r="AC42">
        <v>109.8</v>
      </c>
      <c r="AD42">
        <v>113.3</v>
      </c>
    </row>
    <row r="43" spans="1:30" x14ac:dyDescent="0.25">
      <c r="A43" t="s">
        <v>34</v>
      </c>
      <c r="B43">
        <v>2013</v>
      </c>
      <c r="C43" t="s">
        <v>46</v>
      </c>
      <c r="D43">
        <v>119.1</v>
      </c>
      <c r="E43">
        <v>116.7</v>
      </c>
      <c r="F43">
        <v>123.5</v>
      </c>
      <c r="G43">
        <v>113.4</v>
      </c>
      <c r="H43">
        <v>107.3</v>
      </c>
      <c r="I43">
        <v>113.3</v>
      </c>
      <c r="J43">
        <v>145.4</v>
      </c>
      <c r="K43">
        <v>108.7</v>
      </c>
      <c r="L43">
        <v>101.5</v>
      </c>
      <c r="M43">
        <v>110.5</v>
      </c>
      <c r="N43">
        <v>112.1</v>
      </c>
      <c r="O43">
        <v>117.4</v>
      </c>
      <c r="P43">
        <v>118.4</v>
      </c>
      <c r="Q43">
        <v>112.7</v>
      </c>
      <c r="R43">
        <v>114.8</v>
      </c>
      <c r="S43">
        <v>115.2</v>
      </c>
      <c r="T43">
        <v>110.7</v>
      </c>
      <c r="U43">
        <v>111.7</v>
      </c>
      <c r="V43">
        <v>109.8</v>
      </c>
      <c r="W43">
        <v>111.5</v>
      </c>
      <c r="X43">
        <v>109.7</v>
      </c>
      <c r="Y43">
        <v>107.9</v>
      </c>
      <c r="Z43">
        <v>111.9</v>
      </c>
      <c r="AA43">
        <v>109</v>
      </c>
      <c r="AB43">
        <v>114</v>
      </c>
      <c r="AC43">
        <v>110</v>
      </c>
      <c r="AD43">
        <v>114.5</v>
      </c>
    </row>
    <row r="44" spans="1:30" x14ac:dyDescent="0.25">
      <c r="A44" t="s">
        <v>30</v>
      </c>
      <c r="B44">
        <v>2014</v>
      </c>
      <c r="C44" t="s">
        <v>31</v>
      </c>
      <c r="D44">
        <v>118.9</v>
      </c>
      <c r="E44">
        <v>117.1</v>
      </c>
      <c r="F44">
        <v>120.5</v>
      </c>
      <c r="G44">
        <v>114.4</v>
      </c>
      <c r="H44">
        <v>109</v>
      </c>
      <c r="I44">
        <v>115.5</v>
      </c>
      <c r="J44">
        <v>123.9</v>
      </c>
      <c r="K44">
        <v>109.6</v>
      </c>
      <c r="L44">
        <v>101.8</v>
      </c>
      <c r="M44">
        <v>110.2</v>
      </c>
      <c r="N44">
        <v>112.4</v>
      </c>
      <c r="O44">
        <v>117.3</v>
      </c>
      <c r="P44">
        <v>116</v>
      </c>
      <c r="Q44">
        <v>114.5</v>
      </c>
      <c r="R44">
        <v>116.2</v>
      </c>
      <c r="S44">
        <v>116.5</v>
      </c>
      <c r="T44">
        <v>139.5</v>
      </c>
      <c r="U44">
        <v>112.6</v>
      </c>
      <c r="V44">
        <v>110.5</v>
      </c>
      <c r="W44">
        <v>111.8</v>
      </c>
      <c r="X44">
        <v>110.6</v>
      </c>
      <c r="Y44">
        <v>108.3</v>
      </c>
      <c r="Z44">
        <v>113</v>
      </c>
      <c r="AA44">
        <v>109.6</v>
      </c>
      <c r="AB44">
        <v>114</v>
      </c>
      <c r="AC44">
        <v>110.6</v>
      </c>
      <c r="AD44">
        <v>114.2</v>
      </c>
    </row>
    <row r="45" spans="1:30" x14ac:dyDescent="0.25">
      <c r="A45" t="s">
        <v>33</v>
      </c>
      <c r="B45">
        <v>2014</v>
      </c>
      <c r="C45" t="s">
        <v>31</v>
      </c>
      <c r="D45">
        <v>121.2</v>
      </c>
      <c r="E45">
        <v>122</v>
      </c>
      <c r="F45">
        <v>129.9</v>
      </c>
      <c r="G45">
        <v>113.6</v>
      </c>
      <c r="H45">
        <v>102.9</v>
      </c>
      <c r="I45">
        <v>112.1</v>
      </c>
      <c r="J45">
        <v>118.9</v>
      </c>
      <c r="K45">
        <v>107.5</v>
      </c>
      <c r="L45">
        <v>96.9</v>
      </c>
      <c r="M45">
        <v>112.7</v>
      </c>
      <c r="N45">
        <v>112.1</v>
      </c>
      <c r="O45">
        <v>119</v>
      </c>
      <c r="P45">
        <v>115.5</v>
      </c>
      <c r="Q45">
        <v>111.3</v>
      </c>
      <c r="R45">
        <v>114.3</v>
      </c>
      <c r="S45">
        <v>114.8</v>
      </c>
      <c r="T45">
        <v>111.6</v>
      </c>
      <c r="U45">
        <v>111.9</v>
      </c>
      <c r="V45">
        <v>110.8</v>
      </c>
      <c r="W45">
        <v>111.5</v>
      </c>
      <c r="X45">
        <v>109.7</v>
      </c>
      <c r="Y45">
        <v>108</v>
      </c>
      <c r="Z45">
        <v>111</v>
      </c>
      <c r="AA45">
        <v>109.8</v>
      </c>
      <c r="AB45">
        <v>115.7</v>
      </c>
      <c r="AC45">
        <v>110.5</v>
      </c>
      <c r="AD45">
        <v>112.9</v>
      </c>
    </row>
    <row r="46" spans="1:30" x14ac:dyDescent="0.25">
      <c r="A46" t="s">
        <v>34</v>
      </c>
      <c r="B46">
        <v>2014</v>
      </c>
      <c r="C46" t="s">
        <v>31</v>
      </c>
      <c r="D46">
        <v>119.6</v>
      </c>
      <c r="E46">
        <v>118.8</v>
      </c>
      <c r="F46">
        <v>124.1</v>
      </c>
      <c r="G46">
        <v>114.1</v>
      </c>
      <c r="H46">
        <v>106.8</v>
      </c>
      <c r="I46">
        <v>113.9</v>
      </c>
      <c r="J46">
        <v>122.2</v>
      </c>
      <c r="K46">
        <v>108.9</v>
      </c>
      <c r="L46">
        <v>100.2</v>
      </c>
      <c r="M46">
        <v>111</v>
      </c>
      <c r="N46">
        <v>112.3</v>
      </c>
      <c r="O46">
        <v>118.1</v>
      </c>
      <c r="P46">
        <v>115.8</v>
      </c>
      <c r="Q46">
        <v>113.2</v>
      </c>
      <c r="R46">
        <v>115.4</v>
      </c>
      <c r="S46">
        <v>115.8</v>
      </c>
      <c r="T46">
        <v>111.6</v>
      </c>
      <c r="U46">
        <v>112.3</v>
      </c>
      <c r="V46">
        <v>110.7</v>
      </c>
      <c r="W46">
        <v>111.6</v>
      </c>
      <c r="X46">
        <v>110.3</v>
      </c>
      <c r="Y46">
        <v>108.2</v>
      </c>
      <c r="Z46">
        <v>112.2</v>
      </c>
      <c r="AA46">
        <v>109.7</v>
      </c>
      <c r="AB46">
        <v>114.5</v>
      </c>
      <c r="AC46">
        <v>110.6</v>
      </c>
      <c r="AD46">
        <v>113.6</v>
      </c>
    </row>
    <row r="47" spans="1:30" x14ac:dyDescent="0.25">
      <c r="A47" t="s">
        <v>30</v>
      </c>
      <c r="B47">
        <v>2014</v>
      </c>
      <c r="C47" t="s">
        <v>35</v>
      </c>
      <c r="D47">
        <v>119.4</v>
      </c>
      <c r="E47">
        <v>117.7</v>
      </c>
      <c r="F47">
        <v>121.2</v>
      </c>
      <c r="G47">
        <v>115</v>
      </c>
      <c r="H47">
        <v>109</v>
      </c>
      <c r="I47">
        <v>116.6</v>
      </c>
      <c r="J47">
        <v>116</v>
      </c>
      <c r="K47">
        <v>109.8</v>
      </c>
      <c r="L47">
        <v>101.1</v>
      </c>
      <c r="M47">
        <v>110.4</v>
      </c>
      <c r="N47">
        <v>112.9</v>
      </c>
      <c r="O47">
        <v>117.8</v>
      </c>
      <c r="P47">
        <v>115.3</v>
      </c>
      <c r="Q47">
        <v>114.5</v>
      </c>
      <c r="R47">
        <v>116.7</v>
      </c>
      <c r="S47">
        <v>117.1</v>
      </c>
      <c r="T47">
        <v>139.5</v>
      </c>
      <c r="U47">
        <v>112.9</v>
      </c>
      <c r="V47">
        <v>110.8</v>
      </c>
      <c r="W47">
        <v>112</v>
      </c>
      <c r="X47">
        <v>110.9</v>
      </c>
      <c r="Y47">
        <v>108.7</v>
      </c>
      <c r="Z47">
        <v>113.2</v>
      </c>
      <c r="AA47">
        <v>109.9</v>
      </c>
      <c r="AB47">
        <v>114.2</v>
      </c>
      <c r="AC47">
        <v>110.9</v>
      </c>
      <c r="AD47">
        <v>114</v>
      </c>
    </row>
    <row r="48" spans="1:30" x14ac:dyDescent="0.25">
      <c r="A48" t="s">
        <v>33</v>
      </c>
      <c r="B48">
        <v>2014</v>
      </c>
      <c r="C48" t="s">
        <v>35</v>
      </c>
      <c r="D48">
        <v>121.9</v>
      </c>
      <c r="E48">
        <v>122</v>
      </c>
      <c r="F48">
        <v>124.5</v>
      </c>
      <c r="G48">
        <v>115.2</v>
      </c>
      <c r="H48">
        <v>102.5</v>
      </c>
      <c r="I48">
        <v>114.1</v>
      </c>
      <c r="J48">
        <v>111.5</v>
      </c>
      <c r="K48">
        <v>108.2</v>
      </c>
      <c r="L48">
        <v>95.4</v>
      </c>
      <c r="M48">
        <v>113.5</v>
      </c>
      <c r="N48">
        <v>112.1</v>
      </c>
      <c r="O48">
        <v>119.9</v>
      </c>
      <c r="P48">
        <v>115.2</v>
      </c>
      <c r="Q48">
        <v>111.7</v>
      </c>
      <c r="R48">
        <v>114.7</v>
      </c>
      <c r="S48">
        <v>115.3</v>
      </c>
      <c r="T48">
        <v>112.5</v>
      </c>
      <c r="U48">
        <v>112.6</v>
      </c>
      <c r="V48">
        <v>111.3</v>
      </c>
      <c r="W48">
        <v>111.6</v>
      </c>
      <c r="X48">
        <v>110.4</v>
      </c>
      <c r="Y48">
        <v>108.7</v>
      </c>
      <c r="Z48">
        <v>111.1</v>
      </c>
      <c r="AA48">
        <v>110.3</v>
      </c>
      <c r="AB48">
        <v>116.2</v>
      </c>
      <c r="AC48">
        <v>111</v>
      </c>
      <c r="AD48">
        <v>113.1</v>
      </c>
    </row>
    <row r="49" spans="1:30" x14ac:dyDescent="0.25">
      <c r="A49" t="s">
        <v>34</v>
      </c>
      <c r="B49">
        <v>2014</v>
      </c>
      <c r="C49" t="s">
        <v>35</v>
      </c>
      <c r="D49">
        <v>120.2</v>
      </c>
      <c r="E49">
        <v>119.2</v>
      </c>
      <c r="F49">
        <v>122.5</v>
      </c>
      <c r="G49">
        <v>115.1</v>
      </c>
      <c r="H49">
        <v>106.6</v>
      </c>
      <c r="I49">
        <v>115.4</v>
      </c>
      <c r="J49">
        <v>114.5</v>
      </c>
      <c r="K49">
        <v>109.3</v>
      </c>
      <c r="L49">
        <v>99.2</v>
      </c>
      <c r="M49">
        <v>111.4</v>
      </c>
      <c r="N49">
        <v>112.6</v>
      </c>
      <c r="O49">
        <v>118.8</v>
      </c>
      <c r="P49">
        <v>115.3</v>
      </c>
      <c r="Q49">
        <v>113.3</v>
      </c>
      <c r="R49">
        <v>115.9</v>
      </c>
      <c r="S49">
        <v>116.4</v>
      </c>
      <c r="T49">
        <v>112.5</v>
      </c>
      <c r="U49">
        <v>112.8</v>
      </c>
      <c r="V49">
        <v>111.1</v>
      </c>
      <c r="W49">
        <v>111.8</v>
      </c>
      <c r="X49">
        <v>110.7</v>
      </c>
      <c r="Y49">
        <v>108.7</v>
      </c>
      <c r="Z49">
        <v>112.4</v>
      </c>
      <c r="AA49">
        <v>110.1</v>
      </c>
      <c r="AB49">
        <v>114.7</v>
      </c>
      <c r="AC49">
        <v>110.9</v>
      </c>
      <c r="AD49">
        <v>113.6</v>
      </c>
    </row>
    <row r="50" spans="1:30" x14ac:dyDescent="0.25">
      <c r="A50" t="s">
        <v>30</v>
      </c>
      <c r="B50">
        <v>2014</v>
      </c>
      <c r="C50" t="s">
        <v>36</v>
      </c>
      <c r="D50">
        <v>120.1</v>
      </c>
      <c r="E50">
        <v>118.1</v>
      </c>
      <c r="F50">
        <v>120.7</v>
      </c>
      <c r="G50">
        <v>116.1</v>
      </c>
      <c r="H50">
        <v>109.3</v>
      </c>
      <c r="I50">
        <v>119.6</v>
      </c>
      <c r="J50">
        <v>117.9</v>
      </c>
      <c r="K50">
        <v>110.2</v>
      </c>
      <c r="L50">
        <v>101.2</v>
      </c>
      <c r="M50">
        <v>110.7</v>
      </c>
      <c r="N50">
        <v>113</v>
      </c>
      <c r="O50">
        <v>118.3</v>
      </c>
      <c r="P50">
        <v>116.2</v>
      </c>
      <c r="Q50">
        <v>114.9</v>
      </c>
      <c r="R50">
        <v>117.2</v>
      </c>
      <c r="S50">
        <v>117.5</v>
      </c>
      <c r="T50">
        <v>139.5</v>
      </c>
      <c r="U50">
        <v>113.4</v>
      </c>
      <c r="V50">
        <v>111.2</v>
      </c>
      <c r="W50">
        <v>112.4</v>
      </c>
      <c r="X50">
        <v>111.4</v>
      </c>
      <c r="Y50">
        <v>108.9</v>
      </c>
      <c r="Z50">
        <v>113.4</v>
      </c>
      <c r="AA50">
        <v>110.2</v>
      </c>
      <c r="AB50">
        <v>114.6</v>
      </c>
      <c r="AC50">
        <v>111.3</v>
      </c>
      <c r="AD50">
        <v>114.6</v>
      </c>
    </row>
    <row r="51" spans="1:30" x14ac:dyDescent="0.25">
      <c r="A51" t="s">
        <v>33</v>
      </c>
      <c r="B51">
        <v>2014</v>
      </c>
      <c r="C51" t="s">
        <v>36</v>
      </c>
      <c r="D51">
        <v>122.1</v>
      </c>
      <c r="E51">
        <v>121.4</v>
      </c>
      <c r="F51">
        <v>121.5</v>
      </c>
      <c r="G51">
        <v>116.2</v>
      </c>
      <c r="H51">
        <v>102.8</v>
      </c>
      <c r="I51">
        <v>117.7</v>
      </c>
      <c r="J51">
        <v>113.3</v>
      </c>
      <c r="K51">
        <v>108.9</v>
      </c>
      <c r="L51">
        <v>96.3</v>
      </c>
      <c r="M51">
        <v>114.1</v>
      </c>
      <c r="N51">
        <v>112.2</v>
      </c>
      <c r="O51">
        <v>120.5</v>
      </c>
      <c r="P51">
        <v>116</v>
      </c>
      <c r="Q51">
        <v>112.1</v>
      </c>
      <c r="R51">
        <v>115.2</v>
      </c>
      <c r="S51">
        <v>115.8</v>
      </c>
      <c r="T51">
        <v>113.2</v>
      </c>
      <c r="U51">
        <v>113</v>
      </c>
      <c r="V51">
        <v>111.6</v>
      </c>
      <c r="W51">
        <v>111.8</v>
      </c>
      <c r="X51">
        <v>110.8</v>
      </c>
      <c r="Y51">
        <v>109.2</v>
      </c>
      <c r="Z51">
        <v>110.9</v>
      </c>
      <c r="AA51">
        <v>110.9</v>
      </c>
      <c r="AB51">
        <v>116.7</v>
      </c>
      <c r="AC51">
        <v>111.4</v>
      </c>
      <c r="AD51">
        <v>113.7</v>
      </c>
    </row>
    <row r="52" spans="1:30" x14ac:dyDescent="0.25">
      <c r="A52" t="s">
        <v>34</v>
      </c>
      <c r="B52">
        <v>2014</v>
      </c>
      <c r="C52" t="s">
        <v>47</v>
      </c>
      <c r="D52">
        <v>120.7</v>
      </c>
      <c r="E52">
        <v>119.3</v>
      </c>
      <c r="F52">
        <v>121</v>
      </c>
      <c r="G52">
        <v>116.1</v>
      </c>
      <c r="H52">
        <v>106.9</v>
      </c>
      <c r="I52">
        <v>118.7</v>
      </c>
      <c r="J52">
        <v>116.3</v>
      </c>
      <c r="K52">
        <v>109.8</v>
      </c>
      <c r="L52">
        <v>99.6</v>
      </c>
      <c r="M52">
        <v>111.8</v>
      </c>
      <c r="N52">
        <v>112.7</v>
      </c>
      <c r="O52">
        <v>119.3</v>
      </c>
      <c r="P52">
        <v>116.1</v>
      </c>
      <c r="Q52">
        <v>113.7</v>
      </c>
      <c r="R52">
        <v>116.4</v>
      </c>
      <c r="S52">
        <v>116.8</v>
      </c>
      <c r="T52">
        <v>113.2</v>
      </c>
      <c r="U52">
        <v>113.2</v>
      </c>
      <c r="V52">
        <v>111.4</v>
      </c>
      <c r="W52">
        <v>112</v>
      </c>
      <c r="X52">
        <v>111.2</v>
      </c>
      <c r="Y52">
        <v>109</v>
      </c>
      <c r="Z52">
        <v>112.5</v>
      </c>
      <c r="AA52">
        <v>110.6</v>
      </c>
      <c r="AB52">
        <v>115.2</v>
      </c>
      <c r="AC52">
        <v>111.3</v>
      </c>
      <c r="AD52">
        <v>114.2</v>
      </c>
    </row>
    <row r="53" spans="1:30" x14ac:dyDescent="0.25">
      <c r="A53" t="s">
        <v>30</v>
      </c>
      <c r="B53">
        <v>2014</v>
      </c>
      <c r="C53" t="s">
        <v>37</v>
      </c>
      <c r="D53">
        <v>120.2</v>
      </c>
      <c r="E53">
        <v>118.9</v>
      </c>
      <c r="F53">
        <v>118.1</v>
      </c>
      <c r="G53">
        <v>117</v>
      </c>
      <c r="H53">
        <v>109.7</v>
      </c>
      <c r="I53">
        <v>125.5</v>
      </c>
      <c r="J53">
        <v>120.5</v>
      </c>
      <c r="K53">
        <v>111</v>
      </c>
      <c r="L53">
        <v>102.6</v>
      </c>
      <c r="M53">
        <v>111.2</v>
      </c>
      <c r="N53">
        <v>113.5</v>
      </c>
      <c r="O53">
        <v>118.7</v>
      </c>
      <c r="P53">
        <v>117.2</v>
      </c>
      <c r="Q53">
        <v>116.1</v>
      </c>
      <c r="R53">
        <v>117.8</v>
      </c>
      <c r="S53">
        <v>118.1</v>
      </c>
      <c r="T53">
        <v>139.5</v>
      </c>
      <c r="U53">
        <v>113.7</v>
      </c>
      <c r="V53">
        <v>111.2</v>
      </c>
      <c r="W53">
        <v>113</v>
      </c>
      <c r="X53">
        <v>111.8</v>
      </c>
      <c r="Y53">
        <v>108.9</v>
      </c>
      <c r="Z53">
        <v>113.4</v>
      </c>
      <c r="AA53">
        <v>110.5</v>
      </c>
      <c r="AB53">
        <v>115.4</v>
      </c>
      <c r="AC53">
        <v>111.5</v>
      </c>
      <c r="AD53">
        <v>115.4</v>
      </c>
    </row>
    <row r="54" spans="1:30" x14ac:dyDescent="0.25">
      <c r="A54" t="s">
        <v>33</v>
      </c>
      <c r="B54">
        <v>2014</v>
      </c>
      <c r="C54" t="s">
        <v>37</v>
      </c>
      <c r="D54">
        <v>122.5</v>
      </c>
      <c r="E54">
        <v>121.7</v>
      </c>
      <c r="F54">
        <v>113.3</v>
      </c>
      <c r="G54">
        <v>117</v>
      </c>
      <c r="H54">
        <v>103.1</v>
      </c>
      <c r="I54">
        <v>126.7</v>
      </c>
      <c r="J54">
        <v>121.2</v>
      </c>
      <c r="K54">
        <v>111</v>
      </c>
      <c r="L54">
        <v>100.3</v>
      </c>
      <c r="M54">
        <v>115.3</v>
      </c>
      <c r="N54">
        <v>112.7</v>
      </c>
      <c r="O54">
        <v>121</v>
      </c>
      <c r="P54">
        <v>118.2</v>
      </c>
      <c r="Q54">
        <v>112.5</v>
      </c>
      <c r="R54">
        <v>115.7</v>
      </c>
      <c r="S54">
        <v>116.3</v>
      </c>
      <c r="T54">
        <v>113.9</v>
      </c>
      <c r="U54">
        <v>113.4</v>
      </c>
      <c r="V54">
        <v>111.2</v>
      </c>
      <c r="W54">
        <v>112.5</v>
      </c>
      <c r="X54">
        <v>111</v>
      </c>
      <c r="Y54">
        <v>109.1</v>
      </c>
      <c r="Z54">
        <v>110.9</v>
      </c>
      <c r="AA54">
        <v>111.2</v>
      </c>
      <c r="AB54">
        <v>117.6</v>
      </c>
      <c r="AC54">
        <v>111.4</v>
      </c>
      <c r="AD54">
        <v>114.7</v>
      </c>
    </row>
    <row r="55" spans="1:30" x14ac:dyDescent="0.25">
      <c r="A55" t="s">
        <v>34</v>
      </c>
      <c r="B55">
        <v>2014</v>
      </c>
      <c r="C55" t="s">
        <v>37</v>
      </c>
      <c r="D55">
        <v>120.9</v>
      </c>
      <c r="E55">
        <v>119.9</v>
      </c>
      <c r="F55">
        <v>116.2</v>
      </c>
      <c r="G55">
        <v>117</v>
      </c>
      <c r="H55">
        <v>107.3</v>
      </c>
      <c r="I55">
        <v>126.1</v>
      </c>
      <c r="J55">
        <v>120.7</v>
      </c>
      <c r="K55">
        <v>111</v>
      </c>
      <c r="L55">
        <v>101.8</v>
      </c>
      <c r="M55">
        <v>112.6</v>
      </c>
      <c r="N55">
        <v>113.2</v>
      </c>
      <c r="O55">
        <v>119.8</v>
      </c>
      <c r="P55">
        <v>117.6</v>
      </c>
      <c r="Q55">
        <v>114.6</v>
      </c>
      <c r="R55">
        <v>117</v>
      </c>
      <c r="S55">
        <v>117.4</v>
      </c>
      <c r="T55">
        <v>113.9</v>
      </c>
      <c r="U55">
        <v>113.6</v>
      </c>
      <c r="V55">
        <v>111.2</v>
      </c>
      <c r="W55">
        <v>112.7</v>
      </c>
      <c r="X55">
        <v>111.5</v>
      </c>
      <c r="Y55">
        <v>109</v>
      </c>
      <c r="Z55">
        <v>112.5</v>
      </c>
      <c r="AA55">
        <v>110.9</v>
      </c>
      <c r="AB55">
        <v>116</v>
      </c>
      <c r="AC55">
        <v>111.5</v>
      </c>
      <c r="AD55">
        <v>115.1</v>
      </c>
    </row>
    <row r="56" spans="1:30" x14ac:dyDescent="0.25">
      <c r="A56" t="s">
        <v>30</v>
      </c>
      <c r="B56">
        <v>2014</v>
      </c>
      <c r="C56" t="s">
        <v>38</v>
      </c>
      <c r="D56">
        <v>120.3</v>
      </c>
      <c r="E56">
        <v>120.2</v>
      </c>
      <c r="F56">
        <v>116.9</v>
      </c>
      <c r="G56">
        <v>118</v>
      </c>
      <c r="H56">
        <v>110.1</v>
      </c>
      <c r="I56">
        <v>126.3</v>
      </c>
      <c r="J56">
        <v>123.9</v>
      </c>
      <c r="K56">
        <v>111.5</v>
      </c>
      <c r="L56">
        <v>103.5</v>
      </c>
      <c r="M56">
        <v>111.6</v>
      </c>
      <c r="N56">
        <v>114.2</v>
      </c>
      <c r="O56">
        <v>119.2</v>
      </c>
      <c r="P56">
        <v>118.2</v>
      </c>
      <c r="Q56">
        <v>116.8</v>
      </c>
      <c r="R56">
        <v>118.5</v>
      </c>
      <c r="S56">
        <v>118.7</v>
      </c>
      <c r="T56">
        <v>139.5</v>
      </c>
      <c r="U56">
        <v>114.1</v>
      </c>
      <c r="V56">
        <v>111.4</v>
      </c>
      <c r="W56">
        <v>113.1</v>
      </c>
      <c r="X56">
        <v>112.1</v>
      </c>
      <c r="Y56">
        <v>108.9</v>
      </c>
      <c r="Z56">
        <v>113.4</v>
      </c>
      <c r="AA56">
        <v>110.9</v>
      </c>
      <c r="AB56">
        <v>116.3</v>
      </c>
      <c r="AC56">
        <v>111.8</v>
      </c>
      <c r="AD56">
        <v>116</v>
      </c>
    </row>
    <row r="57" spans="1:30" x14ac:dyDescent="0.25">
      <c r="A57" t="s">
        <v>33</v>
      </c>
      <c r="B57">
        <v>2014</v>
      </c>
      <c r="C57" t="s">
        <v>38</v>
      </c>
      <c r="D57">
        <v>122.7</v>
      </c>
      <c r="E57">
        <v>124.1</v>
      </c>
      <c r="F57">
        <v>114.2</v>
      </c>
      <c r="G57">
        <v>119.1</v>
      </c>
      <c r="H57">
        <v>103.5</v>
      </c>
      <c r="I57">
        <v>129.19999999999999</v>
      </c>
      <c r="J57">
        <v>127</v>
      </c>
      <c r="K57">
        <v>112.6</v>
      </c>
      <c r="L57">
        <v>101.3</v>
      </c>
      <c r="M57">
        <v>117</v>
      </c>
      <c r="N57">
        <v>112.9</v>
      </c>
      <c r="O57">
        <v>121.7</v>
      </c>
      <c r="P57">
        <v>120</v>
      </c>
      <c r="Q57">
        <v>112.9</v>
      </c>
      <c r="R57">
        <v>116.2</v>
      </c>
      <c r="S57">
        <v>116.8</v>
      </c>
      <c r="T57">
        <v>114.3</v>
      </c>
      <c r="U57">
        <v>114.1</v>
      </c>
      <c r="V57">
        <v>111.3</v>
      </c>
      <c r="W57">
        <v>112.9</v>
      </c>
      <c r="X57">
        <v>111.2</v>
      </c>
      <c r="Y57">
        <v>109.3</v>
      </c>
      <c r="Z57">
        <v>111.1</v>
      </c>
      <c r="AA57">
        <v>111.5</v>
      </c>
      <c r="AB57">
        <v>118.3</v>
      </c>
      <c r="AC57">
        <v>111.7</v>
      </c>
      <c r="AD57">
        <v>115.6</v>
      </c>
    </row>
    <row r="58" spans="1:30" x14ac:dyDescent="0.25">
      <c r="A58" t="s">
        <v>34</v>
      </c>
      <c r="B58">
        <v>2014</v>
      </c>
      <c r="C58" t="s">
        <v>38</v>
      </c>
      <c r="D58">
        <v>121.1</v>
      </c>
      <c r="E58">
        <v>121.6</v>
      </c>
      <c r="F58">
        <v>115.9</v>
      </c>
      <c r="G58">
        <v>118.4</v>
      </c>
      <c r="H58">
        <v>107.7</v>
      </c>
      <c r="I58">
        <v>127.7</v>
      </c>
      <c r="J58">
        <v>125</v>
      </c>
      <c r="K58">
        <v>111.9</v>
      </c>
      <c r="L58">
        <v>102.8</v>
      </c>
      <c r="M58">
        <v>113.4</v>
      </c>
      <c r="N58">
        <v>113.7</v>
      </c>
      <c r="O58">
        <v>120.4</v>
      </c>
      <c r="P58">
        <v>118.9</v>
      </c>
      <c r="Q58">
        <v>115.2</v>
      </c>
      <c r="R58">
        <v>117.6</v>
      </c>
      <c r="S58">
        <v>118</v>
      </c>
      <c r="T58">
        <v>114.3</v>
      </c>
      <c r="U58">
        <v>114.1</v>
      </c>
      <c r="V58">
        <v>111.3</v>
      </c>
      <c r="W58">
        <v>113</v>
      </c>
      <c r="X58">
        <v>111.8</v>
      </c>
      <c r="Y58">
        <v>109.1</v>
      </c>
      <c r="Z58">
        <v>112.5</v>
      </c>
      <c r="AA58">
        <v>111.2</v>
      </c>
      <c r="AB58">
        <v>116.8</v>
      </c>
      <c r="AC58">
        <v>111.8</v>
      </c>
      <c r="AD58">
        <v>115.8</v>
      </c>
    </row>
    <row r="59" spans="1:30" x14ac:dyDescent="0.25">
      <c r="A59" t="s">
        <v>30</v>
      </c>
      <c r="B59">
        <v>2014</v>
      </c>
      <c r="C59" t="s">
        <v>39</v>
      </c>
      <c r="D59">
        <v>120.7</v>
      </c>
      <c r="E59">
        <v>121.6</v>
      </c>
      <c r="F59">
        <v>116.1</v>
      </c>
      <c r="G59">
        <v>119.3</v>
      </c>
      <c r="H59">
        <v>110.3</v>
      </c>
      <c r="I59">
        <v>125.8</v>
      </c>
      <c r="J59">
        <v>129.30000000000001</v>
      </c>
      <c r="K59">
        <v>112.2</v>
      </c>
      <c r="L59">
        <v>103.6</v>
      </c>
      <c r="M59">
        <v>112.3</v>
      </c>
      <c r="N59">
        <v>114.9</v>
      </c>
      <c r="O59">
        <v>120.1</v>
      </c>
      <c r="P59">
        <v>119.5</v>
      </c>
      <c r="Q59">
        <v>117.3</v>
      </c>
      <c r="R59">
        <v>119.3</v>
      </c>
      <c r="S59">
        <v>119.7</v>
      </c>
      <c r="T59">
        <v>139.5</v>
      </c>
      <c r="U59">
        <v>114.9</v>
      </c>
      <c r="V59">
        <v>112.2</v>
      </c>
      <c r="W59">
        <v>114.3</v>
      </c>
      <c r="X59">
        <v>112.8</v>
      </c>
      <c r="Y59">
        <v>108</v>
      </c>
      <c r="Z59">
        <v>114.4</v>
      </c>
      <c r="AA59">
        <v>111.4</v>
      </c>
      <c r="AB59">
        <v>117.3</v>
      </c>
      <c r="AC59">
        <v>112.3</v>
      </c>
      <c r="AD59">
        <v>117</v>
      </c>
    </row>
    <row r="60" spans="1:30" x14ac:dyDescent="0.25">
      <c r="A60" t="s">
        <v>33</v>
      </c>
      <c r="B60">
        <v>2014</v>
      </c>
      <c r="C60" t="s">
        <v>39</v>
      </c>
      <c r="D60">
        <v>123.1</v>
      </c>
      <c r="E60">
        <v>125.9</v>
      </c>
      <c r="F60">
        <v>115.4</v>
      </c>
      <c r="G60">
        <v>120.4</v>
      </c>
      <c r="H60">
        <v>103.4</v>
      </c>
      <c r="I60">
        <v>131.19999999999999</v>
      </c>
      <c r="J60">
        <v>137.5</v>
      </c>
      <c r="K60">
        <v>112.8</v>
      </c>
      <c r="L60">
        <v>101.4</v>
      </c>
      <c r="M60">
        <v>118.3</v>
      </c>
      <c r="N60">
        <v>113.2</v>
      </c>
      <c r="O60">
        <v>122.4</v>
      </c>
      <c r="P60">
        <v>122</v>
      </c>
      <c r="Q60">
        <v>113.2</v>
      </c>
      <c r="R60">
        <v>116.7</v>
      </c>
      <c r="S60">
        <v>117.4</v>
      </c>
      <c r="T60">
        <v>113.9</v>
      </c>
      <c r="U60">
        <v>114.3</v>
      </c>
      <c r="V60">
        <v>111.5</v>
      </c>
      <c r="W60">
        <v>115.1</v>
      </c>
      <c r="X60">
        <v>111.4</v>
      </c>
      <c r="Y60">
        <v>108.7</v>
      </c>
      <c r="Z60">
        <v>111.2</v>
      </c>
      <c r="AA60">
        <v>111.8</v>
      </c>
      <c r="AB60">
        <v>119</v>
      </c>
      <c r="AC60">
        <v>112.2</v>
      </c>
      <c r="AD60">
        <v>116.4</v>
      </c>
    </row>
    <row r="61" spans="1:30" x14ac:dyDescent="0.25">
      <c r="A61" t="s">
        <v>34</v>
      </c>
      <c r="B61">
        <v>2014</v>
      </c>
      <c r="C61" t="s">
        <v>39</v>
      </c>
      <c r="D61">
        <v>121.5</v>
      </c>
      <c r="E61">
        <v>123.1</v>
      </c>
      <c r="F61">
        <v>115.8</v>
      </c>
      <c r="G61">
        <v>119.7</v>
      </c>
      <c r="H61">
        <v>107.8</v>
      </c>
      <c r="I61">
        <v>128.30000000000001</v>
      </c>
      <c r="J61">
        <v>132.1</v>
      </c>
      <c r="K61">
        <v>112.4</v>
      </c>
      <c r="L61">
        <v>102.9</v>
      </c>
      <c r="M61">
        <v>114.3</v>
      </c>
      <c r="N61">
        <v>114.2</v>
      </c>
      <c r="O61">
        <v>121.2</v>
      </c>
      <c r="P61">
        <v>120.4</v>
      </c>
      <c r="Q61">
        <v>115.6</v>
      </c>
      <c r="R61">
        <v>118.3</v>
      </c>
      <c r="S61">
        <v>118.8</v>
      </c>
      <c r="T61">
        <v>113.9</v>
      </c>
      <c r="U61">
        <v>114.6</v>
      </c>
      <c r="V61">
        <v>111.8</v>
      </c>
      <c r="W61">
        <v>114.8</v>
      </c>
      <c r="X61">
        <v>112.3</v>
      </c>
      <c r="Y61">
        <v>108.3</v>
      </c>
      <c r="Z61">
        <v>113.2</v>
      </c>
      <c r="AA61">
        <v>111.6</v>
      </c>
      <c r="AB61">
        <v>117.8</v>
      </c>
      <c r="AC61">
        <v>112.3</v>
      </c>
      <c r="AD61">
        <v>116.7</v>
      </c>
    </row>
    <row r="62" spans="1:30" x14ac:dyDescent="0.25">
      <c r="A62" t="s">
        <v>30</v>
      </c>
      <c r="B62">
        <v>2014</v>
      </c>
      <c r="C62" t="s">
        <v>40</v>
      </c>
      <c r="D62">
        <v>121.7</v>
      </c>
      <c r="E62">
        <v>122.5</v>
      </c>
      <c r="F62">
        <v>117.7</v>
      </c>
      <c r="G62">
        <v>120.6</v>
      </c>
      <c r="H62">
        <v>110.4</v>
      </c>
      <c r="I62">
        <v>129.1</v>
      </c>
      <c r="J62">
        <v>150.1</v>
      </c>
      <c r="K62">
        <v>113.2</v>
      </c>
      <c r="L62">
        <v>104.8</v>
      </c>
      <c r="M62">
        <v>113.3</v>
      </c>
      <c r="N62">
        <v>115.6</v>
      </c>
      <c r="O62">
        <v>120.9</v>
      </c>
      <c r="P62">
        <v>123.3</v>
      </c>
      <c r="Q62">
        <v>118.3</v>
      </c>
      <c r="R62">
        <v>120.3</v>
      </c>
      <c r="S62">
        <v>120.7</v>
      </c>
      <c r="T62">
        <v>139.5</v>
      </c>
      <c r="U62">
        <v>115.4</v>
      </c>
      <c r="V62">
        <v>113.2</v>
      </c>
      <c r="W62">
        <v>115.5</v>
      </c>
      <c r="X62">
        <v>113.4</v>
      </c>
      <c r="Y62">
        <v>108.8</v>
      </c>
      <c r="Z62">
        <v>115.3</v>
      </c>
      <c r="AA62">
        <v>111.8</v>
      </c>
      <c r="AB62">
        <v>118</v>
      </c>
      <c r="AC62">
        <v>113.1</v>
      </c>
      <c r="AD62">
        <v>119.5</v>
      </c>
    </row>
    <row r="63" spans="1:30" x14ac:dyDescent="0.25">
      <c r="A63" t="s">
        <v>33</v>
      </c>
      <c r="B63">
        <v>2014</v>
      </c>
      <c r="C63" t="s">
        <v>40</v>
      </c>
      <c r="D63">
        <v>123.8</v>
      </c>
      <c r="E63">
        <v>126.4</v>
      </c>
      <c r="F63">
        <v>118</v>
      </c>
      <c r="G63">
        <v>121.6</v>
      </c>
      <c r="H63">
        <v>103.5</v>
      </c>
      <c r="I63">
        <v>133.69999999999999</v>
      </c>
      <c r="J63">
        <v>172.4</v>
      </c>
      <c r="K63">
        <v>113.1</v>
      </c>
      <c r="L63">
        <v>102.7</v>
      </c>
      <c r="M63">
        <v>120</v>
      </c>
      <c r="N63">
        <v>113.8</v>
      </c>
      <c r="O63">
        <v>123.4</v>
      </c>
      <c r="P63">
        <v>127.1</v>
      </c>
      <c r="Q63">
        <v>113.6</v>
      </c>
      <c r="R63">
        <v>117.4</v>
      </c>
      <c r="S63">
        <v>118</v>
      </c>
      <c r="T63">
        <v>114.8</v>
      </c>
      <c r="U63">
        <v>114.9</v>
      </c>
      <c r="V63">
        <v>113</v>
      </c>
      <c r="W63">
        <v>117.8</v>
      </c>
      <c r="X63">
        <v>111.5</v>
      </c>
      <c r="Y63">
        <v>109.7</v>
      </c>
      <c r="Z63">
        <v>111.6</v>
      </c>
      <c r="AA63">
        <v>112.4</v>
      </c>
      <c r="AB63">
        <v>121</v>
      </c>
      <c r="AC63">
        <v>113.5</v>
      </c>
      <c r="AD63">
        <v>118.9</v>
      </c>
    </row>
    <row r="64" spans="1:30" x14ac:dyDescent="0.25">
      <c r="A64" t="s">
        <v>34</v>
      </c>
      <c r="B64">
        <v>2014</v>
      </c>
      <c r="C64" t="s">
        <v>40</v>
      </c>
      <c r="D64">
        <v>122.4</v>
      </c>
      <c r="E64">
        <v>123.9</v>
      </c>
      <c r="F64">
        <v>117.8</v>
      </c>
      <c r="G64">
        <v>121</v>
      </c>
      <c r="H64">
        <v>107.9</v>
      </c>
      <c r="I64">
        <v>131.19999999999999</v>
      </c>
      <c r="J64">
        <v>157.69999999999999</v>
      </c>
      <c r="K64">
        <v>113.2</v>
      </c>
      <c r="L64">
        <v>104.1</v>
      </c>
      <c r="M64">
        <v>115.5</v>
      </c>
      <c r="N64">
        <v>114.8</v>
      </c>
      <c r="O64">
        <v>122.1</v>
      </c>
      <c r="P64">
        <v>124.7</v>
      </c>
      <c r="Q64">
        <v>116.3</v>
      </c>
      <c r="R64">
        <v>119.1</v>
      </c>
      <c r="S64">
        <v>119.6</v>
      </c>
      <c r="T64">
        <v>114.8</v>
      </c>
      <c r="U64">
        <v>115.2</v>
      </c>
      <c r="V64">
        <v>113.1</v>
      </c>
      <c r="W64">
        <v>116.8</v>
      </c>
      <c r="X64">
        <v>112.7</v>
      </c>
      <c r="Y64">
        <v>109.2</v>
      </c>
      <c r="Z64">
        <v>113.9</v>
      </c>
      <c r="AA64">
        <v>112.1</v>
      </c>
      <c r="AB64">
        <v>118.8</v>
      </c>
      <c r="AC64">
        <v>113.3</v>
      </c>
      <c r="AD64">
        <v>119.2</v>
      </c>
    </row>
    <row r="65" spans="1:30" x14ac:dyDescent="0.25">
      <c r="A65" t="s">
        <v>30</v>
      </c>
      <c r="B65">
        <v>2014</v>
      </c>
      <c r="C65" t="s">
        <v>41</v>
      </c>
      <c r="D65">
        <v>121.8</v>
      </c>
      <c r="E65">
        <v>122.8</v>
      </c>
      <c r="F65">
        <v>117.8</v>
      </c>
      <c r="G65">
        <v>121.9</v>
      </c>
      <c r="H65">
        <v>110.6</v>
      </c>
      <c r="I65">
        <v>129.69999999999999</v>
      </c>
      <c r="J65">
        <v>161.1</v>
      </c>
      <c r="K65">
        <v>114.1</v>
      </c>
      <c r="L65">
        <v>105.1</v>
      </c>
      <c r="M65">
        <v>114.6</v>
      </c>
      <c r="N65">
        <v>115.8</v>
      </c>
      <c r="O65">
        <v>121.7</v>
      </c>
      <c r="P65">
        <v>125.3</v>
      </c>
      <c r="Q65">
        <v>118.8</v>
      </c>
      <c r="R65">
        <v>120.7</v>
      </c>
      <c r="S65">
        <v>120.9</v>
      </c>
      <c r="T65">
        <v>139.5</v>
      </c>
      <c r="U65">
        <v>115.9</v>
      </c>
      <c r="V65">
        <v>113.2</v>
      </c>
      <c r="W65">
        <v>116.2</v>
      </c>
      <c r="X65">
        <v>114</v>
      </c>
      <c r="Y65">
        <v>109.4</v>
      </c>
      <c r="Z65">
        <v>115.4</v>
      </c>
      <c r="AA65">
        <v>112.2</v>
      </c>
      <c r="AB65">
        <v>118.8</v>
      </c>
      <c r="AC65">
        <v>113.5</v>
      </c>
      <c r="AD65">
        <v>120.7</v>
      </c>
    </row>
    <row r="66" spans="1:30" x14ac:dyDescent="0.25">
      <c r="A66" t="s">
        <v>33</v>
      </c>
      <c r="B66">
        <v>2014</v>
      </c>
      <c r="C66" t="s">
        <v>41</v>
      </c>
      <c r="D66">
        <v>124.8</v>
      </c>
      <c r="E66">
        <v>127.3</v>
      </c>
      <c r="F66">
        <v>116.5</v>
      </c>
      <c r="G66">
        <v>122.2</v>
      </c>
      <c r="H66">
        <v>103.6</v>
      </c>
      <c r="I66">
        <v>132.69999999999999</v>
      </c>
      <c r="J66">
        <v>181.9</v>
      </c>
      <c r="K66">
        <v>115.2</v>
      </c>
      <c r="L66">
        <v>102.7</v>
      </c>
      <c r="M66">
        <v>122.1</v>
      </c>
      <c r="N66">
        <v>114.4</v>
      </c>
      <c r="O66">
        <v>124.7</v>
      </c>
      <c r="P66">
        <v>128.9</v>
      </c>
      <c r="Q66">
        <v>114.1</v>
      </c>
      <c r="R66">
        <v>117.9</v>
      </c>
      <c r="S66">
        <v>118.6</v>
      </c>
      <c r="T66">
        <v>115.5</v>
      </c>
      <c r="U66">
        <v>115.3</v>
      </c>
      <c r="V66">
        <v>112.5</v>
      </c>
      <c r="W66">
        <v>119.2</v>
      </c>
      <c r="X66">
        <v>112.2</v>
      </c>
      <c r="Y66">
        <v>110.5</v>
      </c>
      <c r="Z66">
        <v>111.8</v>
      </c>
      <c r="AA66">
        <v>112.9</v>
      </c>
      <c r="AB66">
        <v>123</v>
      </c>
      <c r="AC66">
        <v>113.9</v>
      </c>
      <c r="AD66">
        <v>119.9</v>
      </c>
    </row>
    <row r="67" spans="1:30" x14ac:dyDescent="0.25">
      <c r="A67" t="s">
        <v>34</v>
      </c>
      <c r="B67">
        <v>2014</v>
      </c>
      <c r="C67" t="s">
        <v>41</v>
      </c>
      <c r="D67">
        <v>122.7</v>
      </c>
      <c r="E67">
        <v>124.4</v>
      </c>
      <c r="F67">
        <v>117.3</v>
      </c>
      <c r="G67">
        <v>122</v>
      </c>
      <c r="H67">
        <v>108</v>
      </c>
      <c r="I67">
        <v>131.1</v>
      </c>
      <c r="J67">
        <v>168.2</v>
      </c>
      <c r="K67">
        <v>114.5</v>
      </c>
      <c r="L67">
        <v>104.3</v>
      </c>
      <c r="M67">
        <v>117.1</v>
      </c>
      <c r="N67">
        <v>115.2</v>
      </c>
      <c r="O67">
        <v>123.1</v>
      </c>
      <c r="P67">
        <v>126.6</v>
      </c>
      <c r="Q67">
        <v>116.8</v>
      </c>
      <c r="R67">
        <v>119.6</v>
      </c>
      <c r="S67">
        <v>120</v>
      </c>
      <c r="T67">
        <v>115.5</v>
      </c>
      <c r="U67">
        <v>115.6</v>
      </c>
      <c r="V67">
        <v>112.8</v>
      </c>
      <c r="W67">
        <v>118</v>
      </c>
      <c r="X67">
        <v>113.3</v>
      </c>
      <c r="Y67">
        <v>109.9</v>
      </c>
      <c r="Z67">
        <v>114</v>
      </c>
      <c r="AA67">
        <v>112.6</v>
      </c>
      <c r="AB67">
        <v>119.9</v>
      </c>
      <c r="AC67">
        <v>113.7</v>
      </c>
      <c r="AD67">
        <v>120.3</v>
      </c>
    </row>
    <row r="68" spans="1:30" x14ac:dyDescent="0.25">
      <c r="A68" t="s">
        <v>30</v>
      </c>
      <c r="B68">
        <v>2014</v>
      </c>
      <c r="C68" t="s">
        <v>42</v>
      </c>
      <c r="D68">
        <v>122.3</v>
      </c>
      <c r="E68">
        <v>122.4</v>
      </c>
      <c r="F68">
        <v>117.8</v>
      </c>
      <c r="G68">
        <v>122.7</v>
      </c>
      <c r="H68">
        <v>110.4</v>
      </c>
      <c r="I68">
        <v>129.80000000000001</v>
      </c>
      <c r="J68">
        <v>158.80000000000001</v>
      </c>
      <c r="K68">
        <v>115</v>
      </c>
      <c r="L68">
        <v>104.7</v>
      </c>
      <c r="M68">
        <v>114.9</v>
      </c>
      <c r="N68">
        <v>116.5</v>
      </c>
      <c r="O68">
        <v>122.6</v>
      </c>
      <c r="P68">
        <v>125.3</v>
      </c>
      <c r="Q68">
        <v>119.2</v>
      </c>
      <c r="R68">
        <v>121.3</v>
      </c>
      <c r="S68">
        <v>121.7</v>
      </c>
      <c r="T68">
        <v>139.5</v>
      </c>
      <c r="U68">
        <v>116.7</v>
      </c>
      <c r="V68">
        <v>112.8</v>
      </c>
      <c r="W68">
        <v>116.6</v>
      </c>
      <c r="X68">
        <v>114.5</v>
      </c>
      <c r="Y68">
        <v>109.1</v>
      </c>
      <c r="Z68">
        <v>115.8</v>
      </c>
      <c r="AA68">
        <v>112.6</v>
      </c>
      <c r="AB68">
        <v>119.5</v>
      </c>
      <c r="AC68">
        <v>113.7</v>
      </c>
      <c r="AD68">
        <v>120.9</v>
      </c>
    </row>
    <row r="69" spans="1:30" x14ac:dyDescent="0.25">
      <c r="A69" t="s">
        <v>33</v>
      </c>
      <c r="B69">
        <v>2014</v>
      </c>
      <c r="C69" t="s">
        <v>42</v>
      </c>
      <c r="D69">
        <v>124.2</v>
      </c>
      <c r="E69">
        <v>125.4</v>
      </c>
      <c r="F69">
        <v>116.4</v>
      </c>
      <c r="G69">
        <v>122.7</v>
      </c>
      <c r="H69">
        <v>103.5</v>
      </c>
      <c r="I69">
        <v>124.5</v>
      </c>
      <c r="J69">
        <v>168.6</v>
      </c>
      <c r="K69">
        <v>116.9</v>
      </c>
      <c r="L69">
        <v>101.9</v>
      </c>
      <c r="M69">
        <v>122.9</v>
      </c>
      <c r="N69">
        <v>114.8</v>
      </c>
      <c r="O69">
        <v>125.2</v>
      </c>
      <c r="P69">
        <v>126.7</v>
      </c>
      <c r="Q69">
        <v>114.5</v>
      </c>
      <c r="R69">
        <v>118.4</v>
      </c>
      <c r="S69">
        <v>119.2</v>
      </c>
      <c r="T69">
        <v>116.1</v>
      </c>
      <c r="U69">
        <v>115.5</v>
      </c>
      <c r="V69">
        <v>111.2</v>
      </c>
      <c r="W69">
        <v>120</v>
      </c>
      <c r="X69">
        <v>112.3</v>
      </c>
      <c r="Y69">
        <v>110</v>
      </c>
      <c r="Z69">
        <v>111.8</v>
      </c>
      <c r="AA69">
        <v>113.4</v>
      </c>
      <c r="AB69">
        <v>124.3</v>
      </c>
      <c r="AC69">
        <v>113.6</v>
      </c>
      <c r="AD69">
        <v>119.2</v>
      </c>
    </row>
    <row r="70" spans="1:30" x14ac:dyDescent="0.25">
      <c r="A70" t="s">
        <v>34</v>
      </c>
      <c r="B70">
        <v>2014</v>
      </c>
      <c r="C70" t="s">
        <v>42</v>
      </c>
      <c r="D70">
        <v>122.9</v>
      </c>
      <c r="E70">
        <v>123.5</v>
      </c>
      <c r="F70">
        <v>117.3</v>
      </c>
      <c r="G70">
        <v>122.7</v>
      </c>
      <c r="H70">
        <v>107.9</v>
      </c>
      <c r="I70">
        <v>127.3</v>
      </c>
      <c r="J70">
        <v>162.1</v>
      </c>
      <c r="K70">
        <v>115.6</v>
      </c>
      <c r="L70">
        <v>103.8</v>
      </c>
      <c r="M70">
        <v>117.6</v>
      </c>
      <c r="N70">
        <v>115.8</v>
      </c>
      <c r="O70">
        <v>123.8</v>
      </c>
      <c r="P70">
        <v>125.8</v>
      </c>
      <c r="Q70">
        <v>117.2</v>
      </c>
      <c r="R70">
        <v>120.1</v>
      </c>
      <c r="S70">
        <v>120.7</v>
      </c>
      <c r="T70">
        <v>116.1</v>
      </c>
      <c r="U70">
        <v>116.1</v>
      </c>
      <c r="V70">
        <v>112</v>
      </c>
      <c r="W70">
        <v>118.6</v>
      </c>
      <c r="X70">
        <v>113.7</v>
      </c>
      <c r="Y70">
        <v>109.5</v>
      </c>
      <c r="Z70">
        <v>114.3</v>
      </c>
      <c r="AA70">
        <v>113.1</v>
      </c>
      <c r="AB70">
        <v>120.8</v>
      </c>
      <c r="AC70">
        <v>113.7</v>
      </c>
      <c r="AD70">
        <v>120.1</v>
      </c>
    </row>
    <row r="71" spans="1:30" x14ac:dyDescent="0.25">
      <c r="A71" t="s">
        <v>30</v>
      </c>
      <c r="B71">
        <v>2014</v>
      </c>
      <c r="C71" t="s">
        <v>43</v>
      </c>
      <c r="D71">
        <v>122.6</v>
      </c>
      <c r="E71">
        <v>122.5</v>
      </c>
      <c r="F71">
        <v>118.3</v>
      </c>
      <c r="G71">
        <v>123.2</v>
      </c>
      <c r="H71">
        <v>110.5</v>
      </c>
      <c r="I71">
        <v>128.9</v>
      </c>
      <c r="J71">
        <v>155.30000000000001</v>
      </c>
      <c r="K71">
        <v>115.5</v>
      </c>
      <c r="L71">
        <v>104</v>
      </c>
      <c r="M71">
        <v>115.3</v>
      </c>
      <c r="N71">
        <v>116.8</v>
      </c>
      <c r="O71">
        <v>123.2</v>
      </c>
      <c r="P71">
        <v>125.1</v>
      </c>
      <c r="Q71">
        <v>120.3</v>
      </c>
      <c r="R71">
        <v>122.3</v>
      </c>
      <c r="S71">
        <v>122.7</v>
      </c>
      <c r="T71">
        <v>139.5</v>
      </c>
      <c r="U71">
        <v>117.5</v>
      </c>
      <c r="V71">
        <v>112.6</v>
      </c>
      <c r="W71">
        <v>116.9</v>
      </c>
      <c r="X71">
        <v>115.3</v>
      </c>
      <c r="Y71">
        <v>109.3</v>
      </c>
      <c r="Z71">
        <v>116.4</v>
      </c>
      <c r="AA71">
        <v>113</v>
      </c>
      <c r="AB71">
        <v>120</v>
      </c>
      <c r="AC71">
        <v>114</v>
      </c>
      <c r="AD71">
        <v>121</v>
      </c>
    </row>
    <row r="72" spans="1:30" x14ac:dyDescent="0.25">
      <c r="A72" t="s">
        <v>33</v>
      </c>
      <c r="B72">
        <v>2014</v>
      </c>
      <c r="C72" t="s">
        <v>43</v>
      </c>
      <c r="D72">
        <v>124.6</v>
      </c>
      <c r="E72">
        <v>126.1</v>
      </c>
      <c r="F72">
        <v>117.8</v>
      </c>
      <c r="G72">
        <v>123.1</v>
      </c>
      <c r="H72">
        <v>103.5</v>
      </c>
      <c r="I72">
        <v>123.5</v>
      </c>
      <c r="J72">
        <v>159.6</v>
      </c>
      <c r="K72">
        <v>117.4</v>
      </c>
      <c r="L72">
        <v>101.2</v>
      </c>
      <c r="M72">
        <v>123.8</v>
      </c>
      <c r="N72">
        <v>115.2</v>
      </c>
      <c r="O72">
        <v>125.9</v>
      </c>
      <c r="P72">
        <v>125.8</v>
      </c>
      <c r="Q72">
        <v>114.9</v>
      </c>
      <c r="R72">
        <v>118.9</v>
      </c>
      <c r="S72">
        <v>119.6</v>
      </c>
      <c r="T72">
        <v>116.7</v>
      </c>
      <c r="U72">
        <v>115.8</v>
      </c>
      <c r="V72">
        <v>111</v>
      </c>
      <c r="W72">
        <v>120.2</v>
      </c>
      <c r="X72">
        <v>112.6</v>
      </c>
      <c r="Y72">
        <v>110.1</v>
      </c>
      <c r="Z72">
        <v>112</v>
      </c>
      <c r="AA72">
        <v>113.6</v>
      </c>
      <c r="AB72">
        <v>124.3</v>
      </c>
      <c r="AC72">
        <v>113.7</v>
      </c>
      <c r="AD72">
        <v>119.1</v>
      </c>
    </row>
    <row r="73" spans="1:30" x14ac:dyDescent="0.25">
      <c r="A73" t="s">
        <v>34</v>
      </c>
      <c r="B73">
        <v>2014</v>
      </c>
      <c r="C73" t="s">
        <v>43</v>
      </c>
      <c r="D73">
        <v>123.2</v>
      </c>
      <c r="E73">
        <v>123.8</v>
      </c>
      <c r="F73">
        <v>118.1</v>
      </c>
      <c r="G73">
        <v>123.2</v>
      </c>
      <c r="H73">
        <v>107.9</v>
      </c>
      <c r="I73">
        <v>126.4</v>
      </c>
      <c r="J73">
        <v>156.80000000000001</v>
      </c>
      <c r="K73">
        <v>116.1</v>
      </c>
      <c r="L73">
        <v>103.1</v>
      </c>
      <c r="M73">
        <v>118.1</v>
      </c>
      <c r="N73">
        <v>116.1</v>
      </c>
      <c r="O73">
        <v>124.5</v>
      </c>
      <c r="P73">
        <v>125.4</v>
      </c>
      <c r="Q73">
        <v>118.1</v>
      </c>
      <c r="R73">
        <v>121</v>
      </c>
      <c r="S73">
        <v>121.5</v>
      </c>
      <c r="T73">
        <v>116.7</v>
      </c>
      <c r="U73">
        <v>116.7</v>
      </c>
      <c r="V73">
        <v>111.8</v>
      </c>
      <c r="W73">
        <v>118.8</v>
      </c>
      <c r="X73">
        <v>114.3</v>
      </c>
      <c r="Y73">
        <v>109.6</v>
      </c>
      <c r="Z73">
        <v>114.7</v>
      </c>
      <c r="AA73">
        <v>113.3</v>
      </c>
      <c r="AB73">
        <v>121.1</v>
      </c>
      <c r="AC73">
        <v>113.9</v>
      </c>
      <c r="AD73">
        <v>120.1</v>
      </c>
    </row>
    <row r="74" spans="1:30" x14ac:dyDescent="0.25">
      <c r="A74" t="s">
        <v>30</v>
      </c>
      <c r="B74">
        <v>2014</v>
      </c>
      <c r="C74" t="s">
        <v>45</v>
      </c>
      <c r="D74">
        <v>122.7</v>
      </c>
      <c r="E74">
        <v>122.6</v>
      </c>
      <c r="F74">
        <v>119.9</v>
      </c>
      <c r="G74">
        <v>124</v>
      </c>
      <c r="H74">
        <v>110.5</v>
      </c>
      <c r="I74">
        <v>128.80000000000001</v>
      </c>
      <c r="J74">
        <v>152</v>
      </c>
      <c r="K74">
        <v>116.2</v>
      </c>
      <c r="L74">
        <v>103.3</v>
      </c>
      <c r="M74">
        <v>115.8</v>
      </c>
      <c r="N74">
        <v>116.8</v>
      </c>
      <c r="O74">
        <v>124.5</v>
      </c>
      <c r="P74">
        <v>124.9</v>
      </c>
      <c r="Q74">
        <v>120.5</v>
      </c>
      <c r="R74">
        <v>122.9</v>
      </c>
      <c r="S74">
        <v>123.3</v>
      </c>
      <c r="T74">
        <v>139.5</v>
      </c>
      <c r="U74">
        <v>118.1</v>
      </c>
      <c r="V74">
        <v>112</v>
      </c>
      <c r="W74">
        <v>117.2</v>
      </c>
      <c r="X74">
        <v>115.9</v>
      </c>
      <c r="Y74">
        <v>108.8</v>
      </c>
      <c r="Z74">
        <v>117.3</v>
      </c>
      <c r="AA74">
        <v>113.3</v>
      </c>
      <c r="AB74">
        <v>120.8</v>
      </c>
      <c r="AC74">
        <v>114.1</v>
      </c>
      <c r="AD74">
        <v>121.1</v>
      </c>
    </row>
    <row r="75" spans="1:30" x14ac:dyDescent="0.25">
      <c r="A75" t="s">
        <v>33</v>
      </c>
      <c r="B75">
        <v>2014</v>
      </c>
      <c r="C75" t="s">
        <v>45</v>
      </c>
      <c r="D75">
        <v>124.5</v>
      </c>
      <c r="E75">
        <v>125.6</v>
      </c>
      <c r="F75">
        <v>122.7</v>
      </c>
      <c r="G75">
        <v>124.6</v>
      </c>
      <c r="H75">
        <v>103.2</v>
      </c>
      <c r="I75">
        <v>122.2</v>
      </c>
      <c r="J75">
        <v>153.19999999999999</v>
      </c>
      <c r="K75">
        <v>119.3</v>
      </c>
      <c r="L75">
        <v>99.8</v>
      </c>
      <c r="M75">
        <v>124.6</v>
      </c>
      <c r="N75">
        <v>115.8</v>
      </c>
      <c r="O75">
        <v>126.9</v>
      </c>
      <c r="P75">
        <v>125.4</v>
      </c>
      <c r="Q75">
        <v>115.4</v>
      </c>
      <c r="R75">
        <v>119.5</v>
      </c>
      <c r="S75">
        <v>120.3</v>
      </c>
      <c r="T75">
        <v>117.1</v>
      </c>
      <c r="U75">
        <v>116.4</v>
      </c>
      <c r="V75">
        <v>109.7</v>
      </c>
      <c r="W75">
        <v>120.3</v>
      </c>
      <c r="X75">
        <v>113</v>
      </c>
      <c r="Y75">
        <v>109.6</v>
      </c>
      <c r="Z75">
        <v>112.6</v>
      </c>
      <c r="AA75">
        <v>114</v>
      </c>
      <c r="AB75">
        <v>125.8</v>
      </c>
      <c r="AC75">
        <v>113.4</v>
      </c>
      <c r="AD75">
        <v>119</v>
      </c>
    </row>
    <row r="76" spans="1:30" x14ac:dyDescent="0.25">
      <c r="A76" t="s">
        <v>34</v>
      </c>
      <c r="B76">
        <v>2014</v>
      </c>
      <c r="C76" t="s">
        <v>45</v>
      </c>
      <c r="D76">
        <v>123.3</v>
      </c>
      <c r="E76">
        <v>123.7</v>
      </c>
      <c r="F76">
        <v>121</v>
      </c>
      <c r="G76">
        <v>124.2</v>
      </c>
      <c r="H76">
        <v>107.8</v>
      </c>
      <c r="I76">
        <v>125.7</v>
      </c>
      <c r="J76">
        <v>152.4</v>
      </c>
      <c r="K76">
        <v>117.2</v>
      </c>
      <c r="L76">
        <v>102.1</v>
      </c>
      <c r="M76">
        <v>118.7</v>
      </c>
      <c r="N76">
        <v>116.4</v>
      </c>
      <c r="O76">
        <v>125.6</v>
      </c>
      <c r="P76">
        <v>125.1</v>
      </c>
      <c r="Q76">
        <v>118.4</v>
      </c>
      <c r="R76">
        <v>121.6</v>
      </c>
      <c r="S76">
        <v>122.1</v>
      </c>
      <c r="T76">
        <v>117.1</v>
      </c>
      <c r="U76">
        <v>117.3</v>
      </c>
      <c r="V76">
        <v>110.8</v>
      </c>
      <c r="W76">
        <v>119</v>
      </c>
      <c r="X76">
        <v>114.8</v>
      </c>
      <c r="Y76">
        <v>109.1</v>
      </c>
      <c r="Z76">
        <v>115.5</v>
      </c>
      <c r="AA76">
        <v>113.7</v>
      </c>
      <c r="AB76">
        <v>122.1</v>
      </c>
      <c r="AC76">
        <v>113.8</v>
      </c>
      <c r="AD76">
        <v>120.1</v>
      </c>
    </row>
    <row r="77" spans="1:30" x14ac:dyDescent="0.25">
      <c r="A77" t="s">
        <v>30</v>
      </c>
      <c r="B77">
        <v>2014</v>
      </c>
      <c r="C77" t="s">
        <v>46</v>
      </c>
      <c r="D77">
        <v>122.4</v>
      </c>
      <c r="E77">
        <v>122.4</v>
      </c>
      <c r="F77">
        <v>121.8</v>
      </c>
      <c r="G77">
        <v>124.2</v>
      </c>
      <c r="H77">
        <v>110.2</v>
      </c>
      <c r="I77">
        <v>128.6</v>
      </c>
      <c r="J77">
        <v>140.30000000000001</v>
      </c>
      <c r="K77">
        <v>116.3</v>
      </c>
      <c r="L77">
        <v>102</v>
      </c>
      <c r="M77">
        <v>116</v>
      </c>
      <c r="N77">
        <v>117.3</v>
      </c>
      <c r="O77">
        <v>124.8</v>
      </c>
      <c r="P77">
        <v>123.3</v>
      </c>
      <c r="Q77">
        <v>120.6</v>
      </c>
      <c r="R77">
        <v>123.3</v>
      </c>
      <c r="S77">
        <v>123.8</v>
      </c>
      <c r="T77">
        <v>139.5</v>
      </c>
      <c r="U77">
        <v>118.2</v>
      </c>
      <c r="V77">
        <v>111.5</v>
      </c>
      <c r="W77">
        <v>117.7</v>
      </c>
      <c r="X77">
        <v>116.2</v>
      </c>
      <c r="Y77">
        <v>109.4</v>
      </c>
      <c r="Z77">
        <v>117.4</v>
      </c>
      <c r="AA77">
        <v>113.3</v>
      </c>
      <c r="AB77">
        <v>121.7</v>
      </c>
      <c r="AC77">
        <v>114.2</v>
      </c>
      <c r="AD77">
        <v>120.3</v>
      </c>
    </row>
    <row r="78" spans="1:30" x14ac:dyDescent="0.25">
      <c r="A78" t="s">
        <v>33</v>
      </c>
      <c r="B78">
        <v>2014</v>
      </c>
      <c r="C78" t="s">
        <v>46</v>
      </c>
      <c r="D78">
        <v>124</v>
      </c>
      <c r="E78">
        <v>124.7</v>
      </c>
      <c r="F78">
        <v>126.3</v>
      </c>
      <c r="G78">
        <v>124.9</v>
      </c>
      <c r="H78">
        <v>103</v>
      </c>
      <c r="I78">
        <v>122.3</v>
      </c>
      <c r="J78">
        <v>141</v>
      </c>
      <c r="K78">
        <v>120.1</v>
      </c>
      <c r="L78">
        <v>97.8</v>
      </c>
      <c r="M78">
        <v>125.4</v>
      </c>
      <c r="N78">
        <v>116.1</v>
      </c>
      <c r="O78">
        <v>127.6</v>
      </c>
      <c r="P78">
        <v>124</v>
      </c>
      <c r="Q78">
        <v>115.8</v>
      </c>
      <c r="R78">
        <v>120</v>
      </c>
      <c r="S78">
        <v>120.7</v>
      </c>
      <c r="T78">
        <v>116.5</v>
      </c>
      <c r="U78">
        <v>116.8</v>
      </c>
      <c r="V78">
        <v>108.8</v>
      </c>
      <c r="W78">
        <v>120.7</v>
      </c>
      <c r="X78">
        <v>113.2</v>
      </c>
      <c r="Y78">
        <v>110.4</v>
      </c>
      <c r="Z78">
        <v>113</v>
      </c>
      <c r="AA78">
        <v>114.3</v>
      </c>
      <c r="AB78">
        <v>126.4</v>
      </c>
      <c r="AC78">
        <v>113.4</v>
      </c>
      <c r="AD78">
        <v>118.4</v>
      </c>
    </row>
    <row r="79" spans="1:30" x14ac:dyDescent="0.25">
      <c r="A79" t="s">
        <v>34</v>
      </c>
      <c r="B79">
        <v>2014</v>
      </c>
      <c r="C79" t="s">
        <v>46</v>
      </c>
      <c r="D79">
        <v>122.9</v>
      </c>
      <c r="E79">
        <v>123.2</v>
      </c>
      <c r="F79">
        <v>123.5</v>
      </c>
      <c r="G79">
        <v>124.5</v>
      </c>
      <c r="H79">
        <v>107.6</v>
      </c>
      <c r="I79">
        <v>125.7</v>
      </c>
      <c r="J79">
        <v>140.5</v>
      </c>
      <c r="K79">
        <v>117.6</v>
      </c>
      <c r="L79">
        <v>100.6</v>
      </c>
      <c r="M79">
        <v>119.1</v>
      </c>
      <c r="N79">
        <v>116.8</v>
      </c>
      <c r="O79">
        <v>126.1</v>
      </c>
      <c r="P79">
        <v>123.6</v>
      </c>
      <c r="Q79">
        <v>118.6</v>
      </c>
      <c r="R79">
        <v>122</v>
      </c>
      <c r="S79">
        <v>122.6</v>
      </c>
      <c r="T79">
        <v>116.5</v>
      </c>
      <c r="U79">
        <v>117.5</v>
      </c>
      <c r="V79">
        <v>110.1</v>
      </c>
      <c r="W79">
        <v>119.5</v>
      </c>
      <c r="X79">
        <v>115.1</v>
      </c>
      <c r="Y79">
        <v>109.8</v>
      </c>
      <c r="Z79">
        <v>115.7</v>
      </c>
      <c r="AA79">
        <v>113.9</v>
      </c>
      <c r="AB79">
        <v>123</v>
      </c>
      <c r="AC79">
        <v>113.8</v>
      </c>
      <c r="AD79">
        <v>119.4</v>
      </c>
    </row>
    <row r="80" spans="1:30" x14ac:dyDescent="0.25">
      <c r="A80" t="s">
        <v>30</v>
      </c>
      <c r="B80">
        <v>2015</v>
      </c>
      <c r="C80" t="s">
        <v>31</v>
      </c>
      <c r="D80">
        <v>123.1</v>
      </c>
      <c r="E80">
        <v>123.1</v>
      </c>
      <c r="F80">
        <v>122.1</v>
      </c>
      <c r="G80">
        <v>124.9</v>
      </c>
      <c r="H80">
        <v>111</v>
      </c>
      <c r="I80">
        <v>130.4</v>
      </c>
      <c r="J80">
        <v>132.30000000000001</v>
      </c>
      <c r="K80">
        <v>117.2</v>
      </c>
      <c r="L80">
        <v>100.5</v>
      </c>
      <c r="M80">
        <v>117.2</v>
      </c>
      <c r="N80">
        <v>117.9</v>
      </c>
      <c r="O80">
        <v>125.6</v>
      </c>
      <c r="P80">
        <v>122.8</v>
      </c>
      <c r="Q80">
        <v>121.6</v>
      </c>
      <c r="R80">
        <v>124</v>
      </c>
      <c r="S80">
        <v>124.4</v>
      </c>
      <c r="T80">
        <v>139.5</v>
      </c>
      <c r="U80">
        <v>118.9</v>
      </c>
      <c r="V80">
        <v>111</v>
      </c>
      <c r="W80">
        <v>118.2</v>
      </c>
      <c r="X80">
        <v>116.6</v>
      </c>
      <c r="Y80">
        <v>110.2</v>
      </c>
      <c r="Z80">
        <v>118.4</v>
      </c>
      <c r="AA80">
        <v>114</v>
      </c>
      <c r="AB80">
        <v>122.7</v>
      </c>
      <c r="AC80">
        <v>114.5</v>
      </c>
      <c r="AD80">
        <v>120.3</v>
      </c>
    </row>
    <row r="81" spans="1:30" x14ac:dyDescent="0.25">
      <c r="A81" t="s">
        <v>33</v>
      </c>
      <c r="B81">
        <v>2015</v>
      </c>
      <c r="C81" t="s">
        <v>31</v>
      </c>
      <c r="D81">
        <v>124</v>
      </c>
      <c r="E81">
        <v>125.5</v>
      </c>
      <c r="F81">
        <v>126.6</v>
      </c>
      <c r="G81">
        <v>125.2</v>
      </c>
      <c r="H81">
        <v>104.3</v>
      </c>
      <c r="I81">
        <v>121.3</v>
      </c>
      <c r="J81">
        <v>134.4</v>
      </c>
      <c r="K81">
        <v>122.9</v>
      </c>
      <c r="L81">
        <v>96.1</v>
      </c>
      <c r="M81">
        <v>126.6</v>
      </c>
      <c r="N81">
        <v>116.5</v>
      </c>
      <c r="O81">
        <v>128</v>
      </c>
      <c r="P81">
        <v>123.5</v>
      </c>
      <c r="Q81">
        <v>116.1</v>
      </c>
      <c r="R81">
        <v>120.2</v>
      </c>
      <c r="S81">
        <v>121</v>
      </c>
      <c r="T81">
        <v>117.3</v>
      </c>
      <c r="U81">
        <v>117.2</v>
      </c>
      <c r="V81">
        <v>107.9</v>
      </c>
      <c r="W81">
        <v>120.8</v>
      </c>
      <c r="X81">
        <v>113.7</v>
      </c>
      <c r="Y81">
        <v>111.4</v>
      </c>
      <c r="Z81">
        <v>113.4</v>
      </c>
      <c r="AA81">
        <v>114.6</v>
      </c>
      <c r="AB81">
        <v>127.4</v>
      </c>
      <c r="AC81">
        <v>113.4</v>
      </c>
      <c r="AD81">
        <v>118.5</v>
      </c>
    </row>
    <row r="82" spans="1:30" x14ac:dyDescent="0.25">
      <c r="A82" t="s">
        <v>34</v>
      </c>
      <c r="B82">
        <v>2015</v>
      </c>
      <c r="C82" t="s">
        <v>31</v>
      </c>
      <c r="D82">
        <v>123.4</v>
      </c>
      <c r="E82">
        <v>123.9</v>
      </c>
      <c r="F82">
        <v>123.8</v>
      </c>
      <c r="G82">
        <v>125</v>
      </c>
      <c r="H82">
        <v>108.5</v>
      </c>
      <c r="I82">
        <v>126.2</v>
      </c>
      <c r="J82">
        <v>133</v>
      </c>
      <c r="K82">
        <v>119.1</v>
      </c>
      <c r="L82">
        <v>99</v>
      </c>
      <c r="M82">
        <v>120.3</v>
      </c>
      <c r="N82">
        <v>117.3</v>
      </c>
      <c r="O82">
        <v>126.7</v>
      </c>
      <c r="P82">
        <v>123.1</v>
      </c>
      <c r="Q82">
        <v>119.3</v>
      </c>
      <c r="R82">
        <v>122.5</v>
      </c>
      <c r="S82">
        <v>123.1</v>
      </c>
      <c r="T82">
        <v>117.3</v>
      </c>
      <c r="U82">
        <v>118.1</v>
      </c>
      <c r="V82">
        <v>109.4</v>
      </c>
      <c r="W82">
        <v>119.7</v>
      </c>
      <c r="X82">
        <v>115.5</v>
      </c>
      <c r="Y82">
        <v>110.7</v>
      </c>
      <c r="Z82">
        <v>116.5</v>
      </c>
      <c r="AA82">
        <v>114.3</v>
      </c>
      <c r="AB82">
        <v>124</v>
      </c>
      <c r="AC82">
        <v>114</v>
      </c>
      <c r="AD82">
        <v>119.5</v>
      </c>
    </row>
    <row r="83" spans="1:30" x14ac:dyDescent="0.25">
      <c r="A83" t="s">
        <v>30</v>
      </c>
      <c r="B83">
        <v>2015</v>
      </c>
      <c r="C83" t="s">
        <v>35</v>
      </c>
      <c r="D83">
        <v>123.4</v>
      </c>
      <c r="E83">
        <v>124.4</v>
      </c>
      <c r="F83">
        <v>122.1</v>
      </c>
      <c r="G83">
        <v>125.8</v>
      </c>
      <c r="H83">
        <v>111.5</v>
      </c>
      <c r="I83">
        <v>129.4</v>
      </c>
      <c r="J83">
        <v>128.19999999999999</v>
      </c>
      <c r="K83">
        <v>118.8</v>
      </c>
      <c r="L83">
        <v>100</v>
      </c>
      <c r="M83">
        <v>118.6</v>
      </c>
      <c r="N83">
        <v>118.8</v>
      </c>
      <c r="O83">
        <v>126.8</v>
      </c>
      <c r="P83">
        <v>122.8</v>
      </c>
      <c r="Q83">
        <v>122.7</v>
      </c>
      <c r="R83">
        <v>125</v>
      </c>
      <c r="S83">
        <v>125.4</v>
      </c>
      <c r="T83">
        <v>139.5</v>
      </c>
      <c r="U83">
        <v>119.6</v>
      </c>
      <c r="V83">
        <v>110.9</v>
      </c>
      <c r="W83">
        <v>118.7</v>
      </c>
      <c r="X83">
        <v>117.7</v>
      </c>
      <c r="Y83">
        <v>110.8</v>
      </c>
      <c r="Z83">
        <v>120</v>
      </c>
      <c r="AA83">
        <v>114.8</v>
      </c>
      <c r="AB83">
        <v>124.2</v>
      </c>
      <c r="AC83">
        <v>115</v>
      </c>
      <c r="AD83">
        <v>120.6</v>
      </c>
    </row>
    <row r="84" spans="1:30" x14ac:dyDescent="0.25">
      <c r="A84" t="s">
        <v>33</v>
      </c>
      <c r="B84">
        <v>2015</v>
      </c>
      <c r="C84" t="s">
        <v>35</v>
      </c>
      <c r="D84">
        <v>124.3</v>
      </c>
      <c r="E84">
        <v>126.5</v>
      </c>
      <c r="F84">
        <v>119.5</v>
      </c>
      <c r="G84">
        <v>125.6</v>
      </c>
      <c r="H84">
        <v>104.9</v>
      </c>
      <c r="I84">
        <v>121.6</v>
      </c>
      <c r="J84">
        <v>131.80000000000001</v>
      </c>
      <c r="K84">
        <v>125.1</v>
      </c>
      <c r="L84">
        <v>95</v>
      </c>
      <c r="M84">
        <v>127.7</v>
      </c>
      <c r="N84">
        <v>116.8</v>
      </c>
      <c r="O84">
        <v>128.6</v>
      </c>
      <c r="P84">
        <v>123.7</v>
      </c>
      <c r="Q84">
        <v>116.5</v>
      </c>
      <c r="R84">
        <v>120.6</v>
      </c>
      <c r="S84">
        <v>121.3</v>
      </c>
      <c r="T84">
        <v>118.1</v>
      </c>
      <c r="U84">
        <v>117.7</v>
      </c>
      <c r="V84">
        <v>106.8</v>
      </c>
      <c r="W84">
        <v>120.4</v>
      </c>
      <c r="X84">
        <v>114.1</v>
      </c>
      <c r="Y84">
        <v>111.7</v>
      </c>
      <c r="Z84">
        <v>114</v>
      </c>
      <c r="AA84">
        <v>114.9</v>
      </c>
      <c r="AB84">
        <v>128.1</v>
      </c>
      <c r="AC84">
        <v>113.2</v>
      </c>
      <c r="AD84">
        <v>118.7</v>
      </c>
    </row>
    <row r="85" spans="1:30" x14ac:dyDescent="0.25">
      <c r="A85" t="s">
        <v>34</v>
      </c>
      <c r="B85">
        <v>2015</v>
      </c>
      <c r="C85" t="s">
        <v>35</v>
      </c>
      <c r="D85">
        <v>123.7</v>
      </c>
      <c r="E85">
        <v>125.1</v>
      </c>
      <c r="F85">
        <v>121.1</v>
      </c>
      <c r="G85">
        <v>125.7</v>
      </c>
      <c r="H85">
        <v>109.1</v>
      </c>
      <c r="I85">
        <v>125.8</v>
      </c>
      <c r="J85">
        <v>129.4</v>
      </c>
      <c r="K85">
        <v>120.9</v>
      </c>
      <c r="L85">
        <v>98.3</v>
      </c>
      <c r="M85">
        <v>121.6</v>
      </c>
      <c r="N85">
        <v>118</v>
      </c>
      <c r="O85">
        <v>127.6</v>
      </c>
      <c r="P85">
        <v>123.1</v>
      </c>
      <c r="Q85">
        <v>120.1</v>
      </c>
      <c r="R85">
        <v>123.3</v>
      </c>
      <c r="S85">
        <v>123.8</v>
      </c>
      <c r="T85">
        <v>118.1</v>
      </c>
      <c r="U85">
        <v>118.7</v>
      </c>
      <c r="V85">
        <v>108.7</v>
      </c>
      <c r="W85">
        <v>119.7</v>
      </c>
      <c r="X85">
        <v>116.3</v>
      </c>
      <c r="Y85">
        <v>111.2</v>
      </c>
      <c r="Z85">
        <v>117.7</v>
      </c>
      <c r="AA85">
        <v>114.9</v>
      </c>
      <c r="AB85">
        <v>125.2</v>
      </c>
      <c r="AC85">
        <v>114.1</v>
      </c>
      <c r="AD85">
        <v>119.7</v>
      </c>
    </row>
    <row r="86" spans="1:30" x14ac:dyDescent="0.25">
      <c r="A86" t="s">
        <v>30</v>
      </c>
      <c r="B86">
        <v>2015</v>
      </c>
      <c r="C86" t="s">
        <v>36</v>
      </c>
      <c r="D86">
        <v>123.3</v>
      </c>
      <c r="E86">
        <v>124.7</v>
      </c>
      <c r="F86">
        <v>118.9</v>
      </c>
      <c r="G86">
        <v>126</v>
      </c>
      <c r="H86">
        <v>111.8</v>
      </c>
      <c r="I86">
        <v>130.9</v>
      </c>
      <c r="J86">
        <v>128</v>
      </c>
      <c r="K86">
        <v>119.9</v>
      </c>
      <c r="L86">
        <v>98.9</v>
      </c>
      <c r="M86">
        <v>119.4</v>
      </c>
      <c r="N86">
        <v>118.9</v>
      </c>
      <c r="O86">
        <v>127.7</v>
      </c>
      <c r="P86">
        <v>123.1</v>
      </c>
      <c r="Q86">
        <v>122.9</v>
      </c>
      <c r="R86">
        <v>125.5</v>
      </c>
      <c r="S86">
        <v>126</v>
      </c>
      <c r="T86">
        <v>139.5</v>
      </c>
      <c r="U86">
        <v>120.2</v>
      </c>
      <c r="V86">
        <v>111.6</v>
      </c>
      <c r="W86">
        <v>119.4</v>
      </c>
      <c r="X86">
        <v>118.2</v>
      </c>
      <c r="Y86">
        <v>110.8</v>
      </c>
      <c r="Z86">
        <v>120.6</v>
      </c>
      <c r="AA86">
        <v>115.5</v>
      </c>
      <c r="AB86">
        <v>124.7</v>
      </c>
      <c r="AC86">
        <v>115.5</v>
      </c>
      <c r="AD86">
        <v>121.1</v>
      </c>
    </row>
    <row r="87" spans="1:30" x14ac:dyDescent="0.25">
      <c r="A87" t="s">
        <v>33</v>
      </c>
      <c r="B87">
        <v>2015</v>
      </c>
      <c r="C87" t="s">
        <v>36</v>
      </c>
      <c r="D87">
        <v>124</v>
      </c>
      <c r="E87">
        <v>126.7</v>
      </c>
      <c r="F87">
        <v>113.5</v>
      </c>
      <c r="G87">
        <v>125.9</v>
      </c>
      <c r="H87">
        <v>104.8</v>
      </c>
      <c r="I87">
        <v>123.8</v>
      </c>
      <c r="J87">
        <v>131.4</v>
      </c>
      <c r="K87">
        <v>127.2</v>
      </c>
      <c r="L87">
        <v>93.2</v>
      </c>
      <c r="M87">
        <v>127.4</v>
      </c>
      <c r="N87">
        <v>117</v>
      </c>
      <c r="O87">
        <v>129.19999999999999</v>
      </c>
      <c r="P87">
        <v>123.9</v>
      </c>
      <c r="Q87">
        <v>116.9</v>
      </c>
      <c r="R87">
        <v>120.9</v>
      </c>
      <c r="S87">
        <v>121.7</v>
      </c>
      <c r="T87">
        <v>118.6</v>
      </c>
      <c r="U87">
        <v>118</v>
      </c>
      <c r="V87">
        <v>108.4</v>
      </c>
      <c r="W87">
        <v>120.6</v>
      </c>
      <c r="X87">
        <v>114.3</v>
      </c>
      <c r="Y87">
        <v>111.3</v>
      </c>
      <c r="Z87">
        <v>114.4</v>
      </c>
      <c r="AA87">
        <v>115.4</v>
      </c>
      <c r="AB87">
        <v>128.80000000000001</v>
      </c>
      <c r="AC87">
        <v>113.8</v>
      </c>
      <c r="AD87">
        <v>119.1</v>
      </c>
    </row>
    <row r="88" spans="1:30" x14ac:dyDescent="0.25">
      <c r="A88" t="s">
        <v>34</v>
      </c>
      <c r="B88">
        <v>2015</v>
      </c>
      <c r="C88" t="s">
        <v>36</v>
      </c>
      <c r="D88">
        <v>123.5</v>
      </c>
      <c r="E88">
        <v>125.4</v>
      </c>
      <c r="F88">
        <v>116.8</v>
      </c>
      <c r="G88">
        <v>126</v>
      </c>
      <c r="H88">
        <v>109.2</v>
      </c>
      <c r="I88">
        <v>127.6</v>
      </c>
      <c r="J88">
        <v>129.19999999999999</v>
      </c>
      <c r="K88">
        <v>122.4</v>
      </c>
      <c r="L88">
        <v>97</v>
      </c>
      <c r="M88">
        <v>122.1</v>
      </c>
      <c r="N88">
        <v>118.1</v>
      </c>
      <c r="O88">
        <v>128.4</v>
      </c>
      <c r="P88">
        <v>123.4</v>
      </c>
      <c r="Q88">
        <v>120.4</v>
      </c>
      <c r="R88">
        <v>123.7</v>
      </c>
      <c r="S88">
        <v>124.3</v>
      </c>
      <c r="T88">
        <v>118.6</v>
      </c>
      <c r="U88">
        <v>119.2</v>
      </c>
      <c r="V88">
        <v>109.9</v>
      </c>
      <c r="W88">
        <v>120.1</v>
      </c>
      <c r="X88">
        <v>116.7</v>
      </c>
      <c r="Y88">
        <v>111</v>
      </c>
      <c r="Z88">
        <v>118.3</v>
      </c>
      <c r="AA88">
        <v>115.4</v>
      </c>
      <c r="AB88">
        <v>125.8</v>
      </c>
      <c r="AC88">
        <v>114.7</v>
      </c>
      <c r="AD88">
        <v>120.2</v>
      </c>
    </row>
    <row r="89" spans="1:30" x14ac:dyDescent="0.25">
      <c r="A89" t="s">
        <v>30</v>
      </c>
      <c r="B89">
        <v>2015</v>
      </c>
      <c r="C89" t="s">
        <v>37</v>
      </c>
      <c r="D89">
        <v>123.3</v>
      </c>
      <c r="E89">
        <v>125.5</v>
      </c>
      <c r="F89">
        <v>117.2</v>
      </c>
      <c r="G89">
        <v>126.8</v>
      </c>
      <c r="H89">
        <v>111.9</v>
      </c>
      <c r="I89">
        <v>134.19999999999999</v>
      </c>
      <c r="J89">
        <v>127.5</v>
      </c>
      <c r="K89">
        <v>121.5</v>
      </c>
      <c r="L89">
        <v>97.8</v>
      </c>
      <c r="M89">
        <v>119.8</v>
      </c>
      <c r="N89">
        <v>119.4</v>
      </c>
      <c r="O89">
        <v>128.69999999999999</v>
      </c>
      <c r="P89">
        <v>123.6</v>
      </c>
      <c r="Q89">
        <v>123.3</v>
      </c>
      <c r="R89">
        <v>126</v>
      </c>
      <c r="S89">
        <v>126.4</v>
      </c>
      <c r="T89">
        <v>139.5</v>
      </c>
      <c r="U89">
        <v>120.9</v>
      </c>
      <c r="V89">
        <v>111.9</v>
      </c>
      <c r="W89">
        <v>119.9</v>
      </c>
      <c r="X89">
        <v>118.6</v>
      </c>
      <c r="Y89">
        <v>111.6</v>
      </c>
      <c r="Z89">
        <v>121.2</v>
      </c>
      <c r="AA89">
        <v>116.2</v>
      </c>
      <c r="AB89">
        <v>125.7</v>
      </c>
      <c r="AC89">
        <v>116</v>
      </c>
      <c r="AD89">
        <v>121.5</v>
      </c>
    </row>
    <row r="90" spans="1:30" x14ac:dyDescent="0.25">
      <c r="A90" t="s">
        <v>33</v>
      </c>
      <c r="B90">
        <v>2015</v>
      </c>
      <c r="C90" t="s">
        <v>37</v>
      </c>
      <c r="D90">
        <v>123.8</v>
      </c>
      <c r="E90">
        <v>128.19999999999999</v>
      </c>
      <c r="F90">
        <v>110</v>
      </c>
      <c r="G90">
        <v>126.3</v>
      </c>
      <c r="H90">
        <v>104.5</v>
      </c>
      <c r="I90">
        <v>130.6</v>
      </c>
      <c r="J90">
        <v>130.80000000000001</v>
      </c>
      <c r="K90">
        <v>131.30000000000001</v>
      </c>
      <c r="L90">
        <v>91.6</v>
      </c>
      <c r="M90">
        <v>127.7</v>
      </c>
      <c r="N90">
        <v>117.2</v>
      </c>
      <c r="O90">
        <v>129.5</v>
      </c>
      <c r="P90">
        <v>124.6</v>
      </c>
      <c r="Q90">
        <v>117.2</v>
      </c>
      <c r="R90">
        <v>121.3</v>
      </c>
      <c r="S90">
        <v>122.1</v>
      </c>
      <c r="T90">
        <v>119.2</v>
      </c>
      <c r="U90">
        <v>118.4</v>
      </c>
      <c r="V90">
        <v>108.4</v>
      </c>
      <c r="W90">
        <v>121.7</v>
      </c>
      <c r="X90">
        <v>114.6</v>
      </c>
      <c r="Y90">
        <v>111.8</v>
      </c>
      <c r="Z90">
        <v>114.7</v>
      </c>
      <c r="AA90">
        <v>115.6</v>
      </c>
      <c r="AB90">
        <v>130.1</v>
      </c>
      <c r="AC90">
        <v>114.2</v>
      </c>
      <c r="AD90">
        <v>119.7</v>
      </c>
    </row>
    <row r="91" spans="1:30" x14ac:dyDescent="0.25">
      <c r="A91" t="s">
        <v>34</v>
      </c>
      <c r="B91">
        <v>2015</v>
      </c>
      <c r="C91" t="s">
        <v>37</v>
      </c>
      <c r="D91">
        <v>123.5</v>
      </c>
      <c r="E91">
        <v>126.4</v>
      </c>
      <c r="F91">
        <v>114.4</v>
      </c>
      <c r="G91">
        <v>126.6</v>
      </c>
      <c r="H91">
        <v>109.2</v>
      </c>
      <c r="I91">
        <v>132.5</v>
      </c>
      <c r="J91">
        <v>128.6</v>
      </c>
      <c r="K91">
        <v>124.8</v>
      </c>
      <c r="L91">
        <v>95.7</v>
      </c>
      <c r="M91">
        <v>122.4</v>
      </c>
      <c r="N91">
        <v>118.5</v>
      </c>
      <c r="O91">
        <v>129.1</v>
      </c>
      <c r="P91">
        <v>124</v>
      </c>
      <c r="Q91">
        <v>120.8</v>
      </c>
      <c r="R91">
        <v>124.1</v>
      </c>
      <c r="S91">
        <v>124.7</v>
      </c>
      <c r="T91">
        <v>119.2</v>
      </c>
      <c r="U91">
        <v>119.7</v>
      </c>
      <c r="V91">
        <v>110.1</v>
      </c>
      <c r="W91">
        <v>121</v>
      </c>
      <c r="X91">
        <v>117.1</v>
      </c>
      <c r="Y91">
        <v>111.7</v>
      </c>
      <c r="Z91">
        <v>118.7</v>
      </c>
      <c r="AA91">
        <v>115.9</v>
      </c>
      <c r="AB91">
        <v>126.9</v>
      </c>
      <c r="AC91">
        <v>115.1</v>
      </c>
      <c r="AD91">
        <v>120.7</v>
      </c>
    </row>
    <row r="92" spans="1:30" x14ac:dyDescent="0.25">
      <c r="A92" t="s">
        <v>30</v>
      </c>
      <c r="B92">
        <v>2015</v>
      </c>
      <c r="C92" t="s">
        <v>38</v>
      </c>
      <c r="D92">
        <v>123.5</v>
      </c>
      <c r="E92">
        <v>127.1</v>
      </c>
      <c r="F92">
        <v>117.3</v>
      </c>
      <c r="G92">
        <v>127.7</v>
      </c>
      <c r="H92">
        <v>112.5</v>
      </c>
      <c r="I92">
        <v>134.1</v>
      </c>
      <c r="J92">
        <v>128.5</v>
      </c>
      <c r="K92">
        <v>124.3</v>
      </c>
      <c r="L92">
        <v>97.6</v>
      </c>
      <c r="M92">
        <v>120.7</v>
      </c>
      <c r="N92">
        <v>120.2</v>
      </c>
      <c r="O92">
        <v>129.80000000000001</v>
      </c>
      <c r="P92">
        <v>124.4</v>
      </c>
      <c r="Q92">
        <v>124.1</v>
      </c>
      <c r="R92">
        <v>126.8</v>
      </c>
      <c r="S92">
        <v>127.3</v>
      </c>
      <c r="T92">
        <v>139.5</v>
      </c>
      <c r="U92">
        <v>121.5</v>
      </c>
      <c r="V92">
        <v>113.3</v>
      </c>
      <c r="W92">
        <v>120.5</v>
      </c>
      <c r="X92">
        <v>119.4</v>
      </c>
      <c r="Y92">
        <v>112.3</v>
      </c>
      <c r="Z92">
        <v>121.9</v>
      </c>
      <c r="AA92">
        <v>116.7</v>
      </c>
      <c r="AB92">
        <v>126.7</v>
      </c>
      <c r="AC92">
        <v>116.9</v>
      </c>
      <c r="AD92">
        <v>122.4</v>
      </c>
    </row>
    <row r="93" spans="1:30" x14ac:dyDescent="0.25">
      <c r="A93" t="s">
        <v>33</v>
      </c>
      <c r="B93">
        <v>2015</v>
      </c>
      <c r="C93" t="s">
        <v>38</v>
      </c>
      <c r="D93">
        <v>123.8</v>
      </c>
      <c r="E93">
        <v>129.69999999999999</v>
      </c>
      <c r="F93">
        <v>111.3</v>
      </c>
      <c r="G93">
        <v>126.6</v>
      </c>
      <c r="H93">
        <v>105.2</v>
      </c>
      <c r="I93">
        <v>130.80000000000001</v>
      </c>
      <c r="J93">
        <v>135.6</v>
      </c>
      <c r="K93">
        <v>142.6</v>
      </c>
      <c r="L93">
        <v>90.8</v>
      </c>
      <c r="M93">
        <v>128.80000000000001</v>
      </c>
      <c r="N93">
        <v>117.7</v>
      </c>
      <c r="O93">
        <v>129.9</v>
      </c>
      <c r="P93">
        <v>126.1</v>
      </c>
      <c r="Q93">
        <v>117.4</v>
      </c>
      <c r="R93">
        <v>121.6</v>
      </c>
      <c r="S93">
        <v>122.4</v>
      </c>
      <c r="T93">
        <v>119.6</v>
      </c>
      <c r="U93">
        <v>118.7</v>
      </c>
      <c r="V93">
        <v>110.8</v>
      </c>
      <c r="W93">
        <v>122</v>
      </c>
      <c r="X93">
        <v>114.9</v>
      </c>
      <c r="Y93">
        <v>112.4</v>
      </c>
      <c r="Z93">
        <v>114.9</v>
      </c>
      <c r="AA93">
        <v>116</v>
      </c>
      <c r="AB93">
        <v>131.30000000000001</v>
      </c>
      <c r="AC93">
        <v>115.2</v>
      </c>
      <c r="AD93">
        <v>120.7</v>
      </c>
    </row>
    <row r="94" spans="1:30" x14ac:dyDescent="0.25">
      <c r="A94" t="s">
        <v>34</v>
      </c>
      <c r="B94">
        <v>2015</v>
      </c>
      <c r="C94" t="s">
        <v>38</v>
      </c>
      <c r="D94">
        <v>123.6</v>
      </c>
      <c r="E94">
        <v>128</v>
      </c>
      <c r="F94">
        <v>115</v>
      </c>
      <c r="G94">
        <v>127.3</v>
      </c>
      <c r="H94">
        <v>109.8</v>
      </c>
      <c r="I94">
        <v>132.6</v>
      </c>
      <c r="J94">
        <v>130.9</v>
      </c>
      <c r="K94">
        <v>130.5</v>
      </c>
      <c r="L94">
        <v>95.3</v>
      </c>
      <c r="M94">
        <v>123.4</v>
      </c>
      <c r="N94">
        <v>119.2</v>
      </c>
      <c r="O94">
        <v>129.80000000000001</v>
      </c>
      <c r="P94">
        <v>125</v>
      </c>
      <c r="Q94">
        <v>121.3</v>
      </c>
      <c r="R94">
        <v>124.7</v>
      </c>
      <c r="S94">
        <v>125.4</v>
      </c>
      <c r="T94">
        <v>119.6</v>
      </c>
      <c r="U94">
        <v>120.2</v>
      </c>
      <c r="V94">
        <v>112</v>
      </c>
      <c r="W94">
        <v>121.4</v>
      </c>
      <c r="X94">
        <v>117.7</v>
      </c>
      <c r="Y94">
        <v>112.3</v>
      </c>
      <c r="Z94">
        <v>119.2</v>
      </c>
      <c r="AA94">
        <v>116.3</v>
      </c>
      <c r="AB94">
        <v>127.9</v>
      </c>
      <c r="AC94">
        <v>116.1</v>
      </c>
      <c r="AD94">
        <v>121.6</v>
      </c>
    </row>
    <row r="95" spans="1:30" x14ac:dyDescent="0.25">
      <c r="A95" t="s">
        <v>30</v>
      </c>
      <c r="B95">
        <v>2015</v>
      </c>
      <c r="C95" t="s">
        <v>39</v>
      </c>
      <c r="D95">
        <v>124.1</v>
      </c>
      <c r="E95">
        <v>130.4</v>
      </c>
      <c r="F95">
        <v>122.1</v>
      </c>
      <c r="G95">
        <v>128.69999999999999</v>
      </c>
      <c r="H95">
        <v>114.1</v>
      </c>
      <c r="I95">
        <v>133.19999999999999</v>
      </c>
      <c r="J95">
        <v>135.19999999999999</v>
      </c>
      <c r="K95">
        <v>131.9</v>
      </c>
      <c r="L95">
        <v>96.3</v>
      </c>
      <c r="M95">
        <v>123</v>
      </c>
      <c r="N95">
        <v>121.1</v>
      </c>
      <c r="O95">
        <v>131.19999999999999</v>
      </c>
      <c r="P95">
        <v>126.6</v>
      </c>
      <c r="Q95">
        <v>125.1</v>
      </c>
      <c r="R95">
        <v>128</v>
      </c>
      <c r="S95">
        <v>128.4</v>
      </c>
      <c r="T95">
        <v>139.5</v>
      </c>
      <c r="U95">
        <v>122.8</v>
      </c>
      <c r="V95">
        <v>114.2</v>
      </c>
      <c r="W95">
        <v>122</v>
      </c>
      <c r="X95">
        <v>120.4</v>
      </c>
      <c r="Y95">
        <v>113</v>
      </c>
      <c r="Z95">
        <v>122.6</v>
      </c>
      <c r="AA95">
        <v>117.9</v>
      </c>
      <c r="AB95">
        <v>128.19999999999999</v>
      </c>
      <c r="AC95">
        <v>117.9</v>
      </c>
      <c r="AD95">
        <v>124.1</v>
      </c>
    </row>
    <row r="96" spans="1:30" x14ac:dyDescent="0.25">
      <c r="A96" t="s">
        <v>33</v>
      </c>
      <c r="B96">
        <v>2015</v>
      </c>
      <c r="C96" t="s">
        <v>39</v>
      </c>
      <c r="D96">
        <v>123.6</v>
      </c>
      <c r="E96">
        <v>134.4</v>
      </c>
      <c r="F96">
        <v>120.9</v>
      </c>
      <c r="G96">
        <v>127.3</v>
      </c>
      <c r="H96">
        <v>106</v>
      </c>
      <c r="I96">
        <v>132.30000000000001</v>
      </c>
      <c r="J96">
        <v>146.69999999999999</v>
      </c>
      <c r="K96">
        <v>148.1</v>
      </c>
      <c r="L96">
        <v>89.8</v>
      </c>
      <c r="M96">
        <v>130.5</v>
      </c>
      <c r="N96">
        <v>118</v>
      </c>
      <c r="O96">
        <v>130.5</v>
      </c>
      <c r="P96">
        <v>128.5</v>
      </c>
      <c r="Q96">
        <v>117.6</v>
      </c>
      <c r="R96">
        <v>122.3</v>
      </c>
      <c r="S96">
        <v>123.2</v>
      </c>
      <c r="T96">
        <v>119</v>
      </c>
      <c r="U96">
        <v>119.2</v>
      </c>
      <c r="V96">
        <v>111.7</v>
      </c>
      <c r="W96">
        <v>123.8</v>
      </c>
      <c r="X96">
        <v>115.4</v>
      </c>
      <c r="Y96">
        <v>112.5</v>
      </c>
      <c r="Z96">
        <v>115.1</v>
      </c>
      <c r="AA96">
        <v>116.2</v>
      </c>
      <c r="AB96">
        <v>132.1</v>
      </c>
      <c r="AC96">
        <v>116</v>
      </c>
      <c r="AD96">
        <v>121.7</v>
      </c>
    </row>
    <row r="97" spans="1:30" x14ac:dyDescent="0.25">
      <c r="A97" t="s">
        <v>34</v>
      </c>
      <c r="B97">
        <v>2015</v>
      </c>
      <c r="C97" t="s">
        <v>39</v>
      </c>
      <c r="D97">
        <v>123.9</v>
      </c>
      <c r="E97">
        <v>131.80000000000001</v>
      </c>
      <c r="F97">
        <v>121.6</v>
      </c>
      <c r="G97">
        <v>128.19999999999999</v>
      </c>
      <c r="H97">
        <v>111.1</v>
      </c>
      <c r="I97">
        <v>132.80000000000001</v>
      </c>
      <c r="J97">
        <v>139.1</v>
      </c>
      <c r="K97">
        <v>137.4</v>
      </c>
      <c r="L97">
        <v>94.1</v>
      </c>
      <c r="M97">
        <v>125.5</v>
      </c>
      <c r="N97">
        <v>119.8</v>
      </c>
      <c r="O97">
        <v>130.9</v>
      </c>
      <c r="P97">
        <v>127.3</v>
      </c>
      <c r="Q97">
        <v>122</v>
      </c>
      <c r="R97">
        <v>125.7</v>
      </c>
      <c r="S97">
        <v>126.4</v>
      </c>
      <c r="T97">
        <v>119</v>
      </c>
      <c r="U97">
        <v>121.1</v>
      </c>
      <c r="V97">
        <v>112.9</v>
      </c>
      <c r="W97">
        <v>123.1</v>
      </c>
      <c r="X97">
        <v>118.5</v>
      </c>
      <c r="Y97">
        <v>112.8</v>
      </c>
      <c r="Z97">
        <v>119.8</v>
      </c>
      <c r="AA97">
        <v>116.9</v>
      </c>
      <c r="AB97">
        <v>129.19999999999999</v>
      </c>
      <c r="AC97">
        <v>117</v>
      </c>
      <c r="AD97">
        <v>123</v>
      </c>
    </row>
    <row r="98" spans="1:30" x14ac:dyDescent="0.25">
      <c r="A98" t="s">
        <v>30</v>
      </c>
      <c r="B98">
        <v>2015</v>
      </c>
      <c r="C98" t="s">
        <v>40</v>
      </c>
      <c r="D98">
        <v>124</v>
      </c>
      <c r="E98">
        <v>131.5</v>
      </c>
      <c r="F98">
        <v>122</v>
      </c>
      <c r="G98">
        <v>128.69999999999999</v>
      </c>
      <c r="H98">
        <v>113.5</v>
      </c>
      <c r="I98">
        <v>133.30000000000001</v>
      </c>
      <c r="J98">
        <v>140.80000000000001</v>
      </c>
      <c r="K98">
        <v>133.80000000000001</v>
      </c>
      <c r="L98">
        <v>94.1</v>
      </c>
      <c r="M98">
        <v>123.4</v>
      </c>
      <c r="N98">
        <v>121</v>
      </c>
      <c r="O98">
        <v>131.69999999999999</v>
      </c>
      <c r="P98">
        <v>127.5</v>
      </c>
      <c r="Q98">
        <v>125.5</v>
      </c>
      <c r="R98">
        <v>128.30000000000001</v>
      </c>
      <c r="S98">
        <v>128.80000000000001</v>
      </c>
      <c r="T98">
        <v>139.5</v>
      </c>
      <c r="U98">
        <v>123</v>
      </c>
      <c r="V98">
        <v>114.1</v>
      </c>
      <c r="W98">
        <v>122.9</v>
      </c>
      <c r="X98">
        <v>120.8</v>
      </c>
      <c r="Y98">
        <v>112.7</v>
      </c>
      <c r="Z98">
        <v>123</v>
      </c>
      <c r="AA98">
        <v>118</v>
      </c>
      <c r="AB98">
        <v>129.4</v>
      </c>
      <c r="AC98">
        <v>118.1</v>
      </c>
      <c r="AD98">
        <v>124.7</v>
      </c>
    </row>
    <row r="99" spans="1:30" x14ac:dyDescent="0.25">
      <c r="A99" t="s">
        <v>33</v>
      </c>
      <c r="B99">
        <v>2015</v>
      </c>
      <c r="C99" t="s">
        <v>40</v>
      </c>
      <c r="D99">
        <v>123.2</v>
      </c>
      <c r="E99">
        <v>134.30000000000001</v>
      </c>
      <c r="F99">
        <v>119.5</v>
      </c>
      <c r="G99">
        <v>127.7</v>
      </c>
      <c r="H99">
        <v>106.3</v>
      </c>
      <c r="I99">
        <v>132.80000000000001</v>
      </c>
      <c r="J99">
        <v>153.5</v>
      </c>
      <c r="K99">
        <v>149.5</v>
      </c>
      <c r="L99">
        <v>85.7</v>
      </c>
      <c r="M99">
        <v>131.5</v>
      </c>
      <c r="N99">
        <v>118.3</v>
      </c>
      <c r="O99">
        <v>131.1</v>
      </c>
      <c r="P99">
        <v>129.5</v>
      </c>
      <c r="Q99">
        <v>117.9</v>
      </c>
      <c r="R99">
        <v>122.7</v>
      </c>
      <c r="S99">
        <v>123.5</v>
      </c>
      <c r="T99">
        <v>119.9</v>
      </c>
      <c r="U99">
        <v>119.5</v>
      </c>
      <c r="V99">
        <v>111.5</v>
      </c>
      <c r="W99">
        <v>125.4</v>
      </c>
      <c r="X99">
        <v>116</v>
      </c>
      <c r="Y99">
        <v>111.7</v>
      </c>
      <c r="Z99">
        <v>115.3</v>
      </c>
      <c r="AA99">
        <v>116.6</v>
      </c>
      <c r="AB99">
        <v>133.1</v>
      </c>
      <c r="AC99">
        <v>116.3</v>
      </c>
      <c r="AD99">
        <v>122.4</v>
      </c>
    </row>
    <row r="100" spans="1:30" x14ac:dyDescent="0.25">
      <c r="A100" t="s">
        <v>34</v>
      </c>
      <c r="B100">
        <v>2015</v>
      </c>
      <c r="C100" t="s">
        <v>40</v>
      </c>
      <c r="D100">
        <v>123.7</v>
      </c>
      <c r="E100">
        <v>132.5</v>
      </c>
      <c r="F100">
        <v>121</v>
      </c>
      <c r="G100">
        <v>128.30000000000001</v>
      </c>
      <c r="H100">
        <v>110.9</v>
      </c>
      <c r="I100">
        <v>133.1</v>
      </c>
      <c r="J100">
        <v>145.1</v>
      </c>
      <c r="K100">
        <v>139.1</v>
      </c>
      <c r="L100">
        <v>91.3</v>
      </c>
      <c r="M100">
        <v>126.1</v>
      </c>
      <c r="N100">
        <v>119.9</v>
      </c>
      <c r="O100">
        <v>131.4</v>
      </c>
      <c r="P100">
        <v>128.19999999999999</v>
      </c>
      <c r="Q100">
        <v>122.3</v>
      </c>
      <c r="R100">
        <v>126.1</v>
      </c>
      <c r="S100">
        <v>126.7</v>
      </c>
      <c r="T100">
        <v>119.9</v>
      </c>
      <c r="U100">
        <v>121.3</v>
      </c>
      <c r="V100">
        <v>112.7</v>
      </c>
      <c r="W100">
        <v>124.4</v>
      </c>
      <c r="X100">
        <v>119</v>
      </c>
      <c r="Y100">
        <v>112.3</v>
      </c>
      <c r="Z100">
        <v>120.1</v>
      </c>
      <c r="AA100">
        <v>117.2</v>
      </c>
      <c r="AB100">
        <v>130.4</v>
      </c>
      <c r="AC100">
        <v>117.2</v>
      </c>
      <c r="AD100">
        <v>123.6</v>
      </c>
    </row>
    <row r="101" spans="1:30" x14ac:dyDescent="0.25">
      <c r="A101" t="s">
        <v>30</v>
      </c>
      <c r="B101">
        <v>2015</v>
      </c>
      <c r="C101" t="s">
        <v>41</v>
      </c>
      <c r="D101">
        <v>124.7</v>
      </c>
      <c r="E101">
        <v>131.30000000000001</v>
      </c>
      <c r="F101">
        <v>121.3</v>
      </c>
      <c r="G101">
        <v>128.80000000000001</v>
      </c>
      <c r="H101">
        <v>114</v>
      </c>
      <c r="I101">
        <v>134.19999999999999</v>
      </c>
      <c r="J101">
        <v>153.6</v>
      </c>
      <c r="K101">
        <v>137.9</v>
      </c>
      <c r="L101">
        <v>93.1</v>
      </c>
      <c r="M101">
        <v>123.9</v>
      </c>
      <c r="N101">
        <v>121.5</v>
      </c>
      <c r="O101">
        <v>132.5</v>
      </c>
      <c r="P101">
        <v>129.80000000000001</v>
      </c>
      <c r="Q101">
        <v>126.3</v>
      </c>
      <c r="R101">
        <v>129</v>
      </c>
      <c r="S101">
        <v>129.5</v>
      </c>
      <c r="T101">
        <v>139.5</v>
      </c>
      <c r="U101">
        <v>123.7</v>
      </c>
      <c r="V101">
        <v>113.6</v>
      </c>
      <c r="W101">
        <v>123.6</v>
      </c>
      <c r="X101">
        <v>121.1</v>
      </c>
      <c r="Y101">
        <v>112.5</v>
      </c>
      <c r="Z101">
        <v>123.8</v>
      </c>
      <c r="AA101">
        <v>118.5</v>
      </c>
      <c r="AB101">
        <v>130.1</v>
      </c>
      <c r="AC101">
        <v>118.2</v>
      </c>
      <c r="AD101">
        <v>126.1</v>
      </c>
    </row>
    <row r="102" spans="1:30" x14ac:dyDescent="0.25">
      <c r="A102" t="s">
        <v>33</v>
      </c>
      <c r="B102">
        <v>2015</v>
      </c>
      <c r="C102" t="s">
        <v>41</v>
      </c>
      <c r="D102">
        <v>123.1</v>
      </c>
      <c r="E102">
        <v>131.69999999999999</v>
      </c>
      <c r="F102">
        <v>118.1</v>
      </c>
      <c r="G102">
        <v>128</v>
      </c>
      <c r="H102">
        <v>106.8</v>
      </c>
      <c r="I102">
        <v>130.1</v>
      </c>
      <c r="J102">
        <v>165.5</v>
      </c>
      <c r="K102">
        <v>156</v>
      </c>
      <c r="L102">
        <v>85.3</v>
      </c>
      <c r="M102">
        <v>132.69999999999999</v>
      </c>
      <c r="N102">
        <v>118.8</v>
      </c>
      <c r="O102">
        <v>131.69999999999999</v>
      </c>
      <c r="P102">
        <v>131.1</v>
      </c>
      <c r="Q102">
        <v>118.2</v>
      </c>
      <c r="R102">
        <v>122.9</v>
      </c>
      <c r="S102">
        <v>123.7</v>
      </c>
      <c r="T102">
        <v>120.9</v>
      </c>
      <c r="U102">
        <v>120</v>
      </c>
      <c r="V102">
        <v>109.9</v>
      </c>
      <c r="W102">
        <v>126.2</v>
      </c>
      <c r="X102">
        <v>116.6</v>
      </c>
      <c r="Y102">
        <v>112</v>
      </c>
      <c r="Z102">
        <v>115.3</v>
      </c>
      <c r="AA102">
        <v>117.2</v>
      </c>
      <c r="AB102">
        <v>134.19999999999999</v>
      </c>
      <c r="AC102">
        <v>116.2</v>
      </c>
      <c r="AD102">
        <v>123.2</v>
      </c>
    </row>
    <row r="103" spans="1:30" x14ac:dyDescent="0.25">
      <c r="A103" t="s">
        <v>34</v>
      </c>
      <c r="B103">
        <v>2015</v>
      </c>
      <c r="C103" t="s">
        <v>41</v>
      </c>
      <c r="D103">
        <v>124.2</v>
      </c>
      <c r="E103">
        <v>131.4</v>
      </c>
      <c r="F103">
        <v>120.1</v>
      </c>
      <c r="G103">
        <v>128.5</v>
      </c>
      <c r="H103">
        <v>111.4</v>
      </c>
      <c r="I103">
        <v>132.30000000000001</v>
      </c>
      <c r="J103">
        <v>157.6</v>
      </c>
      <c r="K103">
        <v>144</v>
      </c>
      <c r="L103">
        <v>90.5</v>
      </c>
      <c r="M103">
        <v>126.8</v>
      </c>
      <c r="N103">
        <v>120.4</v>
      </c>
      <c r="O103">
        <v>132.1</v>
      </c>
      <c r="P103">
        <v>130.30000000000001</v>
      </c>
      <c r="Q103">
        <v>122.9</v>
      </c>
      <c r="R103">
        <v>126.6</v>
      </c>
      <c r="S103">
        <v>127.2</v>
      </c>
      <c r="T103">
        <v>120.9</v>
      </c>
      <c r="U103">
        <v>122</v>
      </c>
      <c r="V103">
        <v>111.7</v>
      </c>
      <c r="W103">
        <v>125.1</v>
      </c>
      <c r="X103">
        <v>119.4</v>
      </c>
      <c r="Y103">
        <v>112.3</v>
      </c>
      <c r="Z103">
        <v>120.6</v>
      </c>
      <c r="AA103">
        <v>117.8</v>
      </c>
      <c r="AB103">
        <v>131.19999999999999</v>
      </c>
      <c r="AC103">
        <v>117.2</v>
      </c>
      <c r="AD103">
        <v>124.8</v>
      </c>
    </row>
    <row r="104" spans="1:30" x14ac:dyDescent="0.25">
      <c r="A104" t="s">
        <v>30</v>
      </c>
      <c r="B104">
        <v>2015</v>
      </c>
      <c r="C104" t="s">
        <v>42</v>
      </c>
      <c r="D104">
        <v>125.1</v>
      </c>
      <c r="E104">
        <v>131.1</v>
      </c>
      <c r="F104">
        <v>120.7</v>
      </c>
      <c r="G104">
        <v>129.19999999999999</v>
      </c>
      <c r="H104">
        <v>114.7</v>
      </c>
      <c r="I104">
        <v>132.30000000000001</v>
      </c>
      <c r="J104">
        <v>158.9</v>
      </c>
      <c r="K104">
        <v>142.1</v>
      </c>
      <c r="L104">
        <v>92.5</v>
      </c>
      <c r="M104">
        <v>125.4</v>
      </c>
      <c r="N104">
        <v>121.9</v>
      </c>
      <c r="O104">
        <v>132.69999999999999</v>
      </c>
      <c r="P104">
        <v>131</v>
      </c>
      <c r="Q104">
        <v>126.8</v>
      </c>
      <c r="R104">
        <v>129.9</v>
      </c>
      <c r="S104">
        <v>130.4</v>
      </c>
      <c r="T104">
        <v>139.5</v>
      </c>
      <c r="U104">
        <v>124.5</v>
      </c>
      <c r="V104">
        <v>113.8</v>
      </c>
      <c r="W104">
        <v>124.5</v>
      </c>
      <c r="X104">
        <v>121.4</v>
      </c>
      <c r="Y104">
        <v>113.7</v>
      </c>
      <c r="Z104">
        <v>123.7</v>
      </c>
      <c r="AA104">
        <v>119.6</v>
      </c>
      <c r="AB104">
        <v>131</v>
      </c>
      <c r="AC104">
        <v>118.8</v>
      </c>
      <c r="AD104">
        <v>127</v>
      </c>
    </row>
    <row r="105" spans="1:30" x14ac:dyDescent="0.25">
      <c r="A105" t="s">
        <v>33</v>
      </c>
      <c r="B105">
        <v>2015</v>
      </c>
      <c r="C105" t="s">
        <v>42</v>
      </c>
      <c r="D105">
        <v>123.4</v>
      </c>
      <c r="E105">
        <v>129</v>
      </c>
      <c r="F105">
        <v>115.6</v>
      </c>
      <c r="G105">
        <v>128.30000000000001</v>
      </c>
      <c r="H105">
        <v>107</v>
      </c>
      <c r="I105">
        <v>124</v>
      </c>
      <c r="J105">
        <v>168.5</v>
      </c>
      <c r="K105">
        <v>165.4</v>
      </c>
      <c r="L105">
        <v>86.3</v>
      </c>
      <c r="M105">
        <v>134.4</v>
      </c>
      <c r="N105">
        <v>119.1</v>
      </c>
      <c r="O105">
        <v>132.30000000000001</v>
      </c>
      <c r="P105">
        <v>131.5</v>
      </c>
      <c r="Q105">
        <v>118.6</v>
      </c>
      <c r="R105">
        <v>123.2</v>
      </c>
      <c r="S105">
        <v>124</v>
      </c>
      <c r="T105">
        <v>121.6</v>
      </c>
      <c r="U105">
        <v>120.4</v>
      </c>
      <c r="V105">
        <v>109.1</v>
      </c>
      <c r="W105">
        <v>126.5</v>
      </c>
      <c r="X105">
        <v>117.1</v>
      </c>
      <c r="Y105">
        <v>112.9</v>
      </c>
      <c r="Z105">
        <v>115.1</v>
      </c>
      <c r="AA105">
        <v>117.3</v>
      </c>
      <c r="AB105">
        <v>134.69999999999999</v>
      </c>
      <c r="AC105">
        <v>116.2</v>
      </c>
      <c r="AD105">
        <v>123.5</v>
      </c>
    </row>
    <row r="106" spans="1:30" x14ac:dyDescent="0.25">
      <c r="A106" t="s">
        <v>34</v>
      </c>
      <c r="B106">
        <v>2015</v>
      </c>
      <c r="C106" t="s">
        <v>42</v>
      </c>
      <c r="D106">
        <v>124.6</v>
      </c>
      <c r="E106">
        <v>130.4</v>
      </c>
      <c r="F106">
        <v>118.7</v>
      </c>
      <c r="G106">
        <v>128.9</v>
      </c>
      <c r="H106">
        <v>111.9</v>
      </c>
      <c r="I106">
        <v>128.4</v>
      </c>
      <c r="J106">
        <v>162.19999999999999</v>
      </c>
      <c r="K106">
        <v>150</v>
      </c>
      <c r="L106">
        <v>90.4</v>
      </c>
      <c r="M106">
        <v>128.4</v>
      </c>
      <c r="N106">
        <v>120.7</v>
      </c>
      <c r="O106">
        <v>132.5</v>
      </c>
      <c r="P106">
        <v>131.19999999999999</v>
      </c>
      <c r="Q106">
        <v>123.4</v>
      </c>
      <c r="R106">
        <v>127.2</v>
      </c>
      <c r="S106">
        <v>127.9</v>
      </c>
      <c r="T106">
        <v>121.6</v>
      </c>
      <c r="U106">
        <v>122.6</v>
      </c>
      <c r="V106">
        <v>111.3</v>
      </c>
      <c r="W106">
        <v>125.7</v>
      </c>
      <c r="X106">
        <v>119.8</v>
      </c>
      <c r="Y106">
        <v>113.4</v>
      </c>
      <c r="Z106">
        <v>120.4</v>
      </c>
      <c r="AA106">
        <v>118.3</v>
      </c>
      <c r="AB106">
        <v>132</v>
      </c>
      <c r="AC106">
        <v>117.5</v>
      </c>
      <c r="AD106">
        <v>125.4</v>
      </c>
    </row>
    <row r="107" spans="1:30" x14ac:dyDescent="0.25">
      <c r="A107" t="s">
        <v>30</v>
      </c>
      <c r="B107">
        <v>2015</v>
      </c>
      <c r="C107" t="s">
        <v>43</v>
      </c>
      <c r="D107">
        <v>125.6</v>
      </c>
      <c r="E107">
        <v>130.4</v>
      </c>
      <c r="F107">
        <v>120.8</v>
      </c>
      <c r="G107">
        <v>129.4</v>
      </c>
      <c r="H107">
        <v>115.8</v>
      </c>
      <c r="I107">
        <v>133.19999999999999</v>
      </c>
      <c r="J107">
        <v>157.69999999999999</v>
      </c>
      <c r="K107">
        <v>154.19999999999999</v>
      </c>
      <c r="L107">
        <v>93.7</v>
      </c>
      <c r="M107">
        <v>126.6</v>
      </c>
      <c r="N107">
        <v>122.3</v>
      </c>
      <c r="O107">
        <v>133.1</v>
      </c>
      <c r="P107">
        <v>131.80000000000001</v>
      </c>
      <c r="Q107">
        <v>127.3</v>
      </c>
      <c r="R107">
        <v>130.6</v>
      </c>
      <c r="S107">
        <v>131.1</v>
      </c>
      <c r="T107">
        <v>139.5</v>
      </c>
      <c r="U107">
        <v>125.1</v>
      </c>
      <c r="V107">
        <v>113.8</v>
      </c>
      <c r="W107">
        <v>125.1</v>
      </c>
      <c r="X107">
        <v>122</v>
      </c>
      <c r="Y107">
        <v>114.2</v>
      </c>
      <c r="Z107">
        <v>124.4</v>
      </c>
      <c r="AA107">
        <v>120.1</v>
      </c>
      <c r="AB107">
        <v>131.5</v>
      </c>
      <c r="AC107">
        <v>119.2</v>
      </c>
      <c r="AD107">
        <v>127.7</v>
      </c>
    </row>
    <row r="108" spans="1:30" x14ac:dyDescent="0.25">
      <c r="A108" t="s">
        <v>33</v>
      </c>
      <c r="B108">
        <v>2015</v>
      </c>
      <c r="C108" t="s">
        <v>43</v>
      </c>
      <c r="D108">
        <v>123.6</v>
      </c>
      <c r="E108">
        <v>128.6</v>
      </c>
      <c r="F108">
        <v>115.9</v>
      </c>
      <c r="G108">
        <v>128.5</v>
      </c>
      <c r="H108">
        <v>109</v>
      </c>
      <c r="I108">
        <v>124.1</v>
      </c>
      <c r="J108">
        <v>165.8</v>
      </c>
      <c r="K108">
        <v>187.2</v>
      </c>
      <c r="L108">
        <v>89.4</v>
      </c>
      <c r="M108">
        <v>135.80000000000001</v>
      </c>
      <c r="N108">
        <v>119.4</v>
      </c>
      <c r="O108">
        <v>132.9</v>
      </c>
      <c r="P108">
        <v>132.6</v>
      </c>
      <c r="Q108">
        <v>118.8</v>
      </c>
      <c r="R108">
        <v>123.6</v>
      </c>
      <c r="S108">
        <v>124.4</v>
      </c>
      <c r="T108">
        <v>122.4</v>
      </c>
      <c r="U108">
        <v>120.7</v>
      </c>
      <c r="V108">
        <v>109.3</v>
      </c>
      <c r="W108">
        <v>126.5</v>
      </c>
      <c r="X108">
        <v>117.7</v>
      </c>
      <c r="Y108">
        <v>113.5</v>
      </c>
      <c r="Z108">
        <v>114.9</v>
      </c>
      <c r="AA108">
        <v>117.7</v>
      </c>
      <c r="AB108">
        <v>135.30000000000001</v>
      </c>
      <c r="AC108">
        <v>116.5</v>
      </c>
      <c r="AD108">
        <v>124.2</v>
      </c>
    </row>
    <row r="109" spans="1:30" x14ac:dyDescent="0.25">
      <c r="A109" t="s">
        <v>34</v>
      </c>
      <c r="B109">
        <v>2015</v>
      </c>
      <c r="C109" t="s">
        <v>43</v>
      </c>
      <c r="D109">
        <v>125</v>
      </c>
      <c r="E109">
        <v>129.80000000000001</v>
      </c>
      <c r="F109">
        <v>118.9</v>
      </c>
      <c r="G109">
        <v>129.1</v>
      </c>
      <c r="H109">
        <v>113.3</v>
      </c>
      <c r="I109">
        <v>129</v>
      </c>
      <c r="J109">
        <v>160.4</v>
      </c>
      <c r="K109">
        <v>165.3</v>
      </c>
      <c r="L109">
        <v>92.3</v>
      </c>
      <c r="M109">
        <v>129.69999999999999</v>
      </c>
      <c r="N109">
        <v>121.1</v>
      </c>
      <c r="O109">
        <v>133</v>
      </c>
      <c r="P109">
        <v>132.1</v>
      </c>
      <c r="Q109">
        <v>123.8</v>
      </c>
      <c r="R109">
        <v>127.8</v>
      </c>
      <c r="S109">
        <v>128.5</v>
      </c>
      <c r="T109">
        <v>122.4</v>
      </c>
      <c r="U109">
        <v>123</v>
      </c>
      <c r="V109">
        <v>111.4</v>
      </c>
      <c r="W109">
        <v>125.9</v>
      </c>
      <c r="X109">
        <v>120.4</v>
      </c>
      <c r="Y109">
        <v>113.9</v>
      </c>
      <c r="Z109">
        <v>120.8</v>
      </c>
      <c r="AA109">
        <v>118.7</v>
      </c>
      <c r="AB109">
        <v>132.5</v>
      </c>
      <c r="AC109">
        <v>117.9</v>
      </c>
      <c r="AD109">
        <v>126.1</v>
      </c>
    </row>
    <row r="110" spans="1:30" x14ac:dyDescent="0.25">
      <c r="A110" t="s">
        <v>30</v>
      </c>
      <c r="B110">
        <v>2015</v>
      </c>
      <c r="C110" t="s">
        <v>45</v>
      </c>
      <c r="D110">
        <v>126.1</v>
      </c>
      <c r="E110">
        <v>130.6</v>
      </c>
      <c r="F110">
        <v>121.7</v>
      </c>
      <c r="G110">
        <v>129.5</v>
      </c>
      <c r="H110">
        <v>117.8</v>
      </c>
      <c r="I110">
        <v>132.1</v>
      </c>
      <c r="J110">
        <v>155.19999999999999</v>
      </c>
      <c r="K110">
        <v>160.80000000000001</v>
      </c>
      <c r="L110">
        <v>94.5</v>
      </c>
      <c r="M110">
        <v>128.30000000000001</v>
      </c>
      <c r="N110">
        <v>123.1</v>
      </c>
      <c r="O110">
        <v>134.19999999999999</v>
      </c>
      <c r="P110">
        <v>132.4</v>
      </c>
      <c r="Q110">
        <v>128.19999999999999</v>
      </c>
      <c r="R110">
        <v>131.5</v>
      </c>
      <c r="S110">
        <v>132.1</v>
      </c>
      <c r="T110">
        <v>139.5</v>
      </c>
      <c r="U110">
        <v>125.6</v>
      </c>
      <c r="V110">
        <v>114</v>
      </c>
      <c r="W110">
        <v>125.8</v>
      </c>
      <c r="X110">
        <v>122.6</v>
      </c>
      <c r="Y110">
        <v>114.2</v>
      </c>
      <c r="Z110">
        <v>125.6</v>
      </c>
      <c r="AA110">
        <v>120.9</v>
      </c>
      <c r="AB110">
        <v>132.19999999999999</v>
      </c>
      <c r="AC110">
        <v>119.6</v>
      </c>
      <c r="AD110">
        <v>128.30000000000001</v>
      </c>
    </row>
    <row r="111" spans="1:30" x14ac:dyDescent="0.25">
      <c r="A111" t="s">
        <v>33</v>
      </c>
      <c r="B111">
        <v>2015</v>
      </c>
      <c r="C111" t="s">
        <v>45</v>
      </c>
      <c r="D111">
        <v>124</v>
      </c>
      <c r="E111">
        <v>129.80000000000001</v>
      </c>
      <c r="F111">
        <v>121.5</v>
      </c>
      <c r="G111">
        <v>128.6</v>
      </c>
      <c r="H111">
        <v>110</v>
      </c>
      <c r="I111">
        <v>123.7</v>
      </c>
      <c r="J111">
        <v>164.6</v>
      </c>
      <c r="K111">
        <v>191.6</v>
      </c>
      <c r="L111">
        <v>90.8</v>
      </c>
      <c r="M111">
        <v>137.1</v>
      </c>
      <c r="N111">
        <v>119.8</v>
      </c>
      <c r="O111">
        <v>133.69999999999999</v>
      </c>
      <c r="P111">
        <v>133.30000000000001</v>
      </c>
      <c r="Q111">
        <v>119.3</v>
      </c>
      <c r="R111">
        <v>124.2</v>
      </c>
      <c r="S111">
        <v>125</v>
      </c>
      <c r="T111">
        <v>122.9</v>
      </c>
      <c r="U111">
        <v>121</v>
      </c>
      <c r="V111">
        <v>109.3</v>
      </c>
      <c r="W111">
        <v>126.6</v>
      </c>
      <c r="X111">
        <v>118.1</v>
      </c>
      <c r="Y111">
        <v>113.3</v>
      </c>
      <c r="Z111">
        <v>115.1</v>
      </c>
      <c r="AA111">
        <v>117.9</v>
      </c>
      <c r="AB111">
        <v>137.6</v>
      </c>
      <c r="AC111">
        <v>116.6</v>
      </c>
      <c r="AD111">
        <v>124.6</v>
      </c>
    </row>
    <row r="112" spans="1:30" x14ac:dyDescent="0.25">
      <c r="A112" t="s">
        <v>34</v>
      </c>
      <c r="B112">
        <v>2015</v>
      </c>
      <c r="C112" t="s">
        <v>45</v>
      </c>
      <c r="D112">
        <v>125.4</v>
      </c>
      <c r="E112">
        <v>130.30000000000001</v>
      </c>
      <c r="F112">
        <v>121.6</v>
      </c>
      <c r="G112">
        <v>129.19999999999999</v>
      </c>
      <c r="H112">
        <v>114.9</v>
      </c>
      <c r="I112">
        <v>128.19999999999999</v>
      </c>
      <c r="J112">
        <v>158.4</v>
      </c>
      <c r="K112">
        <v>171.2</v>
      </c>
      <c r="L112">
        <v>93.3</v>
      </c>
      <c r="M112">
        <v>131.19999999999999</v>
      </c>
      <c r="N112">
        <v>121.7</v>
      </c>
      <c r="O112">
        <v>134</v>
      </c>
      <c r="P112">
        <v>132.69999999999999</v>
      </c>
      <c r="Q112">
        <v>124.5</v>
      </c>
      <c r="R112">
        <v>128.6</v>
      </c>
      <c r="S112">
        <v>129.30000000000001</v>
      </c>
      <c r="T112">
        <v>122.9</v>
      </c>
      <c r="U112">
        <v>123.4</v>
      </c>
      <c r="V112">
        <v>111.5</v>
      </c>
      <c r="W112">
        <v>126.3</v>
      </c>
      <c r="X112">
        <v>120.9</v>
      </c>
      <c r="Y112">
        <v>113.8</v>
      </c>
      <c r="Z112">
        <v>121.6</v>
      </c>
      <c r="AA112">
        <v>119.2</v>
      </c>
      <c r="AB112">
        <v>133.6</v>
      </c>
      <c r="AC112">
        <v>118.1</v>
      </c>
      <c r="AD112">
        <v>126.6</v>
      </c>
    </row>
    <row r="113" spans="1:30" x14ac:dyDescent="0.25">
      <c r="A113" t="s">
        <v>30</v>
      </c>
      <c r="B113">
        <v>2015</v>
      </c>
      <c r="C113" t="s">
        <v>46</v>
      </c>
      <c r="D113">
        <v>126.3</v>
      </c>
      <c r="E113">
        <v>131.30000000000001</v>
      </c>
      <c r="F113">
        <v>123.3</v>
      </c>
      <c r="G113">
        <v>129.80000000000001</v>
      </c>
      <c r="H113">
        <v>118.3</v>
      </c>
      <c r="I113">
        <v>131.6</v>
      </c>
      <c r="J113">
        <v>145.5</v>
      </c>
      <c r="K113">
        <v>162.1</v>
      </c>
      <c r="L113">
        <v>95.4</v>
      </c>
      <c r="M113">
        <v>128.9</v>
      </c>
      <c r="N113">
        <v>123.3</v>
      </c>
      <c r="O113">
        <v>135.1</v>
      </c>
      <c r="P113">
        <v>131.4</v>
      </c>
      <c r="Q113">
        <v>128.5</v>
      </c>
      <c r="R113">
        <v>131.9</v>
      </c>
      <c r="S113">
        <v>132.5</v>
      </c>
      <c r="T113">
        <v>139.5</v>
      </c>
      <c r="U113">
        <v>126</v>
      </c>
      <c r="V113">
        <v>114</v>
      </c>
      <c r="W113">
        <v>125.6</v>
      </c>
      <c r="X113">
        <v>123.1</v>
      </c>
      <c r="Y113">
        <v>114.1</v>
      </c>
      <c r="Z113">
        <v>125.7</v>
      </c>
      <c r="AA113">
        <v>121.6</v>
      </c>
      <c r="AB113">
        <v>133.1</v>
      </c>
      <c r="AC113">
        <v>119.8</v>
      </c>
      <c r="AD113">
        <v>127.9</v>
      </c>
    </row>
    <row r="114" spans="1:30" x14ac:dyDescent="0.25">
      <c r="A114" t="s">
        <v>33</v>
      </c>
      <c r="B114">
        <v>2015</v>
      </c>
      <c r="C114" t="s">
        <v>46</v>
      </c>
      <c r="D114">
        <v>124.3</v>
      </c>
      <c r="E114">
        <v>131.69999999999999</v>
      </c>
      <c r="F114">
        <v>127.1</v>
      </c>
      <c r="G114">
        <v>128.6</v>
      </c>
      <c r="H114">
        <v>110</v>
      </c>
      <c r="I114">
        <v>120.8</v>
      </c>
      <c r="J114">
        <v>149</v>
      </c>
      <c r="K114">
        <v>190.1</v>
      </c>
      <c r="L114">
        <v>92.7</v>
      </c>
      <c r="M114">
        <v>138.6</v>
      </c>
      <c r="N114">
        <v>120.2</v>
      </c>
      <c r="O114">
        <v>134.19999999999999</v>
      </c>
      <c r="P114">
        <v>131.5</v>
      </c>
      <c r="Q114">
        <v>119.5</v>
      </c>
      <c r="R114">
        <v>124.5</v>
      </c>
      <c r="S114">
        <v>125.4</v>
      </c>
      <c r="T114">
        <v>122.4</v>
      </c>
      <c r="U114">
        <v>121</v>
      </c>
      <c r="V114">
        <v>109.3</v>
      </c>
      <c r="W114">
        <v>126.6</v>
      </c>
      <c r="X114">
        <v>118.6</v>
      </c>
      <c r="Y114">
        <v>113.2</v>
      </c>
      <c r="Z114">
        <v>116</v>
      </c>
      <c r="AA114">
        <v>118.1</v>
      </c>
      <c r="AB114">
        <v>138.19999999999999</v>
      </c>
      <c r="AC114">
        <v>116.7</v>
      </c>
      <c r="AD114">
        <v>124</v>
      </c>
    </row>
    <row r="115" spans="1:30" x14ac:dyDescent="0.25">
      <c r="A115" t="s">
        <v>34</v>
      </c>
      <c r="B115">
        <v>2015</v>
      </c>
      <c r="C115" t="s">
        <v>46</v>
      </c>
      <c r="D115">
        <v>125.7</v>
      </c>
      <c r="E115">
        <v>131.4</v>
      </c>
      <c r="F115">
        <v>124.8</v>
      </c>
      <c r="G115">
        <v>129.4</v>
      </c>
      <c r="H115">
        <v>115.3</v>
      </c>
      <c r="I115">
        <v>126.6</v>
      </c>
      <c r="J115">
        <v>146.69999999999999</v>
      </c>
      <c r="K115">
        <v>171.5</v>
      </c>
      <c r="L115">
        <v>94.5</v>
      </c>
      <c r="M115">
        <v>132.1</v>
      </c>
      <c r="N115">
        <v>122</v>
      </c>
      <c r="O115">
        <v>134.69999999999999</v>
      </c>
      <c r="P115">
        <v>131.4</v>
      </c>
      <c r="Q115">
        <v>124.8</v>
      </c>
      <c r="R115">
        <v>129</v>
      </c>
      <c r="S115">
        <v>129.69999999999999</v>
      </c>
      <c r="T115">
        <v>122.4</v>
      </c>
      <c r="U115">
        <v>123.6</v>
      </c>
      <c r="V115">
        <v>111.5</v>
      </c>
      <c r="W115">
        <v>126.2</v>
      </c>
      <c r="X115">
        <v>121.4</v>
      </c>
      <c r="Y115">
        <v>113.7</v>
      </c>
      <c r="Z115">
        <v>122</v>
      </c>
      <c r="AA115">
        <v>119.6</v>
      </c>
      <c r="AB115">
        <v>134.5</v>
      </c>
      <c r="AC115">
        <v>118.3</v>
      </c>
      <c r="AD115">
        <v>126.1</v>
      </c>
    </row>
    <row r="116" spans="1:30" x14ac:dyDescent="0.25">
      <c r="A116" t="s">
        <v>30</v>
      </c>
      <c r="B116">
        <v>2016</v>
      </c>
      <c r="C116" t="s">
        <v>31</v>
      </c>
      <c r="D116">
        <v>126.8</v>
      </c>
      <c r="E116">
        <v>133.19999999999999</v>
      </c>
      <c r="F116">
        <v>126.5</v>
      </c>
      <c r="G116">
        <v>130.30000000000001</v>
      </c>
      <c r="H116">
        <v>118.9</v>
      </c>
      <c r="I116">
        <v>131.6</v>
      </c>
      <c r="J116">
        <v>140.1</v>
      </c>
      <c r="K116">
        <v>163.80000000000001</v>
      </c>
      <c r="L116">
        <v>97.7</v>
      </c>
      <c r="M116">
        <v>129.6</v>
      </c>
      <c r="N116">
        <v>124.3</v>
      </c>
      <c r="O116">
        <v>135.9</v>
      </c>
      <c r="P116">
        <v>131.4</v>
      </c>
      <c r="Q116">
        <v>128.9</v>
      </c>
      <c r="R116">
        <v>132.6</v>
      </c>
      <c r="S116">
        <v>133.19999999999999</v>
      </c>
      <c r="T116">
        <v>139.5</v>
      </c>
      <c r="U116">
        <v>126.6</v>
      </c>
      <c r="V116">
        <v>113.6</v>
      </c>
      <c r="W116">
        <v>126.2</v>
      </c>
      <c r="X116">
        <v>123.7</v>
      </c>
      <c r="Y116">
        <v>114.9</v>
      </c>
      <c r="Z116">
        <v>126.2</v>
      </c>
      <c r="AA116">
        <v>121.4</v>
      </c>
      <c r="AB116">
        <v>133.6</v>
      </c>
      <c r="AC116">
        <v>120.1</v>
      </c>
      <c r="AD116">
        <v>128.1</v>
      </c>
    </row>
    <row r="117" spans="1:30" x14ac:dyDescent="0.25">
      <c r="A117" t="s">
        <v>33</v>
      </c>
      <c r="B117">
        <v>2016</v>
      </c>
      <c r="C117" t="s">
        <v>31</v>
      </c>
      <c r="D117">
        <v>124.7</v>
      </c>
      <c r="E117">
        <v>135.9</v>
      </c>
      <c r="F117">
        <v>132</v>
      </c>
      <c r="G117">
        <v>129.19999999999999</v>
      </c>
      <c r="H117">
        <v>109.7</v>
      </c>
      <c r="I117">
        <v>119</v>
      </c>
      <c r="J117">
        <v>144.1</v>
      </c>
      <c r="K117">
        <v>184.2</v>
      </c>
      <c r="L117">
        <v>96.7</v>
      </c>
      <c r="M117">
        <v>139.5</v>
      </c>
      <c r="N117">
        <v>120.5</v>
      </c>
      <c r="O117">
        <v>134.69999999999999</v>
      </c>
      <c r="P117">
        <v>131.19999999999999</v>
      </c>
      <c r="Q117">
        <v>119.8</v>
      </c>
      <c r="R117">
        <v>124.9</v>
      </c>
      <c r="S117">
        <v>125.8</v>
      </c>
      <c r="T117">
        <v>123.4</v>
      </c>
      <c r="U117">
        <v>121.6</v>
      </c>
      <c r="V117">
        <v>108.9</v>
      </c>
      <c r="W117">
        <v>126.4</v>
      </c>
      <c r="X117">
        <v>119.1</v>
      </c>
      <c r="Y117">
        <v>114</v>
      </c>
      <c r="Z117">
        <v>116.9</v>
      </c>
      <c r="AA117">
        <v>118.5</v>
      </c>
      <c r="AB117">
        <v>139.5</v>
      </c>
      <c r="AC117">
        <v>116.8</v>
      </c>
      <c r="AD117">
        <v>124.2</v>
      </c>
    </row>
    <row r="118" spans="1:30" x14ac:dyDescent="0.25">
      <c r="A118" t="s">
        <v>34</v>
      </c>
      <c r="B118">
        <v>2016</v>
      </c>
      <c r="C118" t="s">
        <v>31</v>
      </c>
      <c r="D118">
        <v>126.1</v>
      </c>
      <c r="E118">
        <v>134.1</v>
      </c>
      <c r="F118">
        <v>128.6</v>
      </c>
      <c r="G118">
        <v>129.9</v>
      </c>
      <c r="H118">
        <v>115.5</v>
      </c>
      <c r="I118">
        <v>125.7</v>
      </c>
      <c r="J118">
        <v>141.5</v>
      </c>
      <c r="K118">
        <v>170.7</v>
      </c>
      <c r="L118">
        <v>97.4</v>
      </c>
      <c r="M118">
        <v>132.9</v>
      </c>
      <c r="N118">
        <v>122.7</v>
      </c>
      <c r="O118">
        <v>135.30000000000001</v>
      </c>
      <c r="P118">
        <v>131.30000000000001</v>
      </c>
      <c r="Q118">
        <v>125.1</v>
      </c>
      <c r="R118">
        <v>129.5</v>
      </c>
      <c r="S118">
        <v>130.30000000000001</v>
      </c>
      <c r="T118">
        <v>123.4</v>
      </c>
      <c r="U118">
        <v>124.2</v>
      </c>
      <c r="V118">
        <v>111.1</v>
      </c>
      <c r="W118">
        <v>126.3</v>
      </c>
      <c r="X118">
        <v>122</v>
      </c>
      <c r="Y118">
        <v>114.5</v>
      </c>
      <c r="Z118">
        <v>122.7</v>
      </c>
      <c r="AA118">
        <v>119.8</v>
      </c>
      <c r="AB118">
        <v>135.19999999999999</v>
      </c>
      <c r="AC118">
        <v>118.5</v>
      </c>
      <c r="AD118">
        <v>126.3</v>
      </c>
    </row>
    <row r="119" spans="1:30" x14ac:dyDescent="0.25">
      <c r="A119" t="s">
        <v>30</v>
      </c>
      <c r="B119">
        <v>2016</v>
      </c>
      <c r="C119" t="s">
        <v>35</v>
      </c>
      <c r="D119">
        <v>127.1</v>
      </c>
      <c r="E119">
        <v>133.69999999999999</v>
      </c>
      <c r="F119">
        <v>127.7</v>
      </c>
      <c r="G119">
        <v>130.69999999999999</v>
      </c>
      <c r="H119">
        <v>118.5</v>
      </c>
      <c r="I119">
        <v>130.4</v>
      </c>
      <c r="J119">
        <v>130.9</v>
      </c>
      <c r="K119">
        <v>162.80000000000001</v>
      </c>
      <c r="L119">
        <v>98.7</v>
      </c>
      <c r="M119">
        <v>130.6</v>
      </c>
      <c r="N119">
        <v>124.8</v>
      </c>
      <c r="O119">
        <v>136.4</v>
      </c>
      <c r="P119">
        <v>130.30000000000001</v>
      </c>
      <c r="Q119">
        <v>129.80000000000001</v>
      </c>
      <c r="R119">
        <v>133.4</v>
      </c>
      <c r="S119">
        <v>133.9</v>
      </c>
      <c r="T119">
        <v>139.5</v>
      </c>
      <c r="U119">
        <v>127.1</v>
      </c>
      <c r="V119">
        <v>113.9</v>
      </c>
      <c r="W119">
        <v>127.1</v>
      </c>
      <c r="X119">
        <v>124.3</v>
      </c>
      <c r="Y119">
        <v>116.8</v>
      </c>
      <c r="Z119">
        <v>127.5</v>
      </c>
      <c r="AA119">
        <v>122.3</v>
      </c>
      <c r="AB119">
        <v>134.4</v>
      </c>
      <c r="AC119">
        <v>120.9</v>
      </c>
      <c r="AD119">
        <v>127.9</v>
      </c>
    </row>
    <row r="120" spans="1:30" x14ac:dyDescent="0.25">
      <c r="A120" t="s">
        <v>33</v>
      </c>
      <c r="B120">
        <v>2016</v>
      </c>
      <c r="C120" t="s">
        <v>35</v>
      </c>
      <c r="D120">
        <v>124.8</v>
      </c>
      <c r="E120">
        <v>135.1</v>
      </c>
      <c r="F120">
        <v>130.30000000000001</v>
      </c>
      <c r="G120">
        <v>129.6</v>
      </c>
      <c r="H120">
        <v>108.4</v>
      </c>
      <c r="I120">
        <v>118.6</v>
      </c>
      <c r="J120">
        <v>129.19999999999999</v>
      </c>
      <c r="K120">
        <v>176.4</v>
      </c>
      <c r="L120">
        <v>99.1</v>
      </c>
      <c r="M120">
        <v>139.69999999999999</v>
      </c>
      <c r="N120">
        <v>120.6</v>
      </c>
      <c r="O120">
        <v>135.19999999999999</v>
      </c>
      <c r="P120">
        <v>129.1</v>
      </c>
      <c r="Q120">
        <v>120.1</v>
      </c>
      <c r="R120">
        <v>125.3</v>
      </c>
      <c r="S120">
        <v>126.2</v>
      </c>
      <c r="T120">
        <v>124.4</v>
      </c>
      <c r="U120">
        <v>121.8</v>
      </c>
      <c r="V120">
        <v>109.1</v>
      </c>
      <c r="W120">
        <v>126.3</v>
      </c>
      <c r="X120">
        <v>119.5</v>
      </c>
      <c r="Y120">
        <v>116.2</v>
      </c>
      <c r="Z120">
        <v>116</v>
      </c>
      <c r="AA120">
        <v>118.8</v>
      </c>
      <c r="AB120">
        <v>140</v>
      </c>
      <c r="AC120">
        <v>117.2</v>
      </c>
      <c r="AD120">
        <v>123.8</v>
      </c>
    </row>
    <row r="121" spans="1:30" x14ac:dyDescent="0.25">
      <c r="A121" t="s">
        <v>34</v>
      </c>
      <c r="B121">
        <v>2016</v>
      </c>
      <c r="C121" t="s">
        <v>35</v>
      </c>
      <c r="D121">
        <v>126.4</v>
      </c>
      <c r="E121">
        <v>134.19999999999999</v>
      </c>
      <c r="F121">
        <v>128.69999999999999</v>
      </c>
      <c r="G121">
        <v>130.30000000000001</v>
      </c>
      <c r="H121">
        <v>114.8</v>
      </c>
      <c r="I121">
        <v>124.9</v>
      </c>
      <c r="J121">
        <v>130.30000000000001</v>
      </c>
      <c r="K121">
        <v>167.4</v>
      </c>
      <c r="L121">
        <v>98.8</v>
      </c>
      <c r="M121">
        <v>133.6</v>
      </c>
      <c r="N121">
        <v>123</v>
      </c>
      <c r="O121">
        <v>135.80000000000001</v>
      </c>
      <c r="P121">
        <v>129.9</v>
      </c>
      <c r="Q121">
        <v>125.8</v>
      </c>
      <c r="R121">
        <v>130.19999999999999</v>
      </c>
      <c r="S121">
        <v>130.9</v>
      </c>
      <c r="T121">
        <v>124.4</v>
      </c>
      <c r="U121">
        <v>124.6</v>
      </c>
      <c r="V121">
        <v>111.4</v>
      </c>
      <c r="W121">
        <v>126.6</v>
      </c>
      <c r="X121">
        <v>122.5</v>
      </c>
      <c r="Y121">
        <v>116.6</v>
      </c>
      <c r="Z121">
        <v>123.1</v>
      </c>
      <c r="AA121">
        <v>120.3</v>
      </c>
      <c r="AB121">
        <v>135.9</v>
      </c>
      <c r="AC121">
        <v>119.1</v>
      </c>
      <c r="AD121">
        <v>126</v>
      </c>
    </row>
    <row r="122" spans="1:30" x14ac:dyDescent="0.25">
      <c r="A122" t="s">
        <v>30</v>
      </c>
      <c r="B122">
        <v>2016</v>
      </c>
      <c r="C122" t="s">
        <v>36</v>
      </c>
      <c r="D122">
        <v>127.3</v>
      </c>
      <c r="E122">
        <v>134.4</v>
      </c>
      <c r="F122">
        <v>125.1</v>
      </c>
      <c r="G122">
        <v>130.5</v>
      </c>
      <c r="H122">
        <v>118.3</v>
      </c>
      <c r="I122">
        <v>131.69999999999999</v>
      </c>
      <c r="J122">
        <v>130.69999999999999</v>
      </c>
      <c r="K122">
        <v>161.19999999999999</v>
      </c>
      <c r="L122">
        <v>100.4</v>
      </c>
      <c r="M122">
        <v>130.80000000000001</v>
      </c>
      <c r="N122">
        <v>124.9</v>
      </c>
      <c r="O122">
        <v>137</v>
      </c>
      <c r="P122">
        <v>130.4</v>
      </c>
      <c r="Q122">
        <v>130.19999999999999</v>
      </c>
      <c r="R122">
        <v>133.80000000000001</v>
      </c>
      <c r="S122">
        <v>134.4</v>
      </c>
      <c r="T122">
        <v>139.5</v>
      </c>
      <c r="U122">
        <v>127.7</v>
      </c>
      <c r="V122">
        <v>113.6</v>
      </c>
      <c r="W122">
        <v>127.5</v>
      </c>
      <c r="X122">
        <v>124.8</v>
      </c>
      <c r="Y122">
        <v>117.4</v>
      </c>
      <c r="Z122">
        <v>127</v>
      </c>
      <c r="AA122">
        <v>122.5</v>
      </c>
      <c r="AB122">
        <v>135</v>
      </c>
      <c r="AC122">
        <v>121.1</v>
      </c>
      <c r="AD122">
        <v>128</v>
      </c>
    </row>
    <row r="123" spans="1:30" x14ac:dyDescent="0.25">
      <c r="A123" t="s">
        <v>33</v>
      </c>
      <c r="B123">
        <v>2016</v>
      </c>
      <c r="C123" t="s">
        <v>36</v>
      </c>
      <c r="D123">
        <v>124.8</v>
      </c>
      <c r="E123">
        <v>136.30000000000001</v>
      </c>
      <c r="F123">
        <v>123.7</v>
      </c>
      <c r="G123">
        <v>129.69999999999999</v>
      </c>
      <c r="H123">
        <v>107.9</v>
      </c>
      <c r="I123">
        <v>119.9</v>
      </c>
      <c r="J123">
        <v>128.1</v>
      </c>
      <c r="K123">
        <v>170.3</v>
      </c>
      <c r="L123">
        <v>101.8</v>
      </c>
      <c r="M123">
        <v>140.1</v>
      </c>
      <c r="N123">
        <v>120.7</v>
      </c>
      <c r="O123">
        <v>135.4</v>
      </c>
      <c r="P123">
        <v>128.9</v>
      </c>
      <c r="Q123">
        <v>120.3</v>
      </c>
      <c r="R123">
        <v>125.5</v>
      </c>
      <c r="S123">
        <v>126.4</v>
      </c>
      <c r="T123">
        <v>124.9</v>
      </c>
      <c r="U123">
        <v>122.3</v>
      </c>
      <c r="V123">
        <v>108.5</v>
      </c>
      <c r="W123">
        <v>126.4</v>
      </c>
      <c r="X123">
        <v>119.7</v>
      </c>
      <c r="Y123">
        <v>117.1</v>
      </c>
      <c r="Z123">
        <v>114.8</v>
      </c>
      <c r="AA123">
        <v>119.1</v>
      </c>
      <c r="AB123">
        <v>140.6</v>
      </c>
      <c r="AC123">
        <v>117.3</v>
      </c>
      <c r="AD123">
        <v>123.8</v>
      </c>
    </row>
    <row r="124" spans="1:30" x14ac:dyDescent="0.25">
      <c r="A124" t="s">
        <v>34</v>
      </c>
      <c r="B124">
        <v>2016</v>
      </c>
      <c r="C124" t="s">
        <v>36</v>
      </c>
      <c r="D124">
        <v>126.5</v>
      </c>
      <c r="E124">
        <v>135.1</v>
      </c>
      <c r="F124">
        <v>124.6</v>
      </c>
      <c r="G124">
        <v>130.19999999999999</v>
      </c>
      <c r="H124">
        <v>114.5</v>
      </c>
      <c r="I124">
        <v>126.2</v>
      </c>
      <c r="J124">
        <v>129.80000000000001</v>
      </c>
      <c r="K124">
        <v>164.3</v>
      </c>
      <c r="L124">
        <v>100.9</v>
      </c>
      <c r="M124">
        <v>133.9</v>
      </c>
      <c r="N124">
        <v>123.1</v>
      </c>
      <c r="O124">
        <v>136.30000000000001</v>
      </c>
      <c r="P124">
        <v>129.80000000000001</v>
      </c>
      <c r="Q124">
        <v>126.1</v>
      </c>
      <c r="R124">
        <v>130.5</v>
      </c>
      <c r="S124">
        <v>131.30000000000001</v>
      </c>
      <c r="T124">
        <v>124.9</v>
      </c>
      <c r="U124">
        <v>125.1</v>
      </c>
      <c r="V124">
        <v>110.9</v>
      </c>
      <c r="W124">
        <v>126.9</v>
      </c>
      <c r="X124">
        <v>122.9</v>
      </c>
      <c r="Y124">
        <v>117.3</v>
      </c>
      <c r="Z124">
        <v>122.4</v>
      </c>
      <c r="AA124">
        <v>120.6</v>
      </c>
      <c r="AB124">
        <v>136.5</v>
      </c>
      <c r="AC124">
        <v>119.3</v>
      </c>
      <c r="AD124">
        <v>126</v>
      </c>
    </row>
    <row r="125" spans="1:30" x14ac:dyDescent="0.25">
      <c r="A125" t="s">
        <v>30</v>
      </c>
      <c r="B125">
        <v>2016</v>
      </c>
      <c r="C125" t="s">
        <v>37</v>
      </c>
      <c r="D125">
        <v>127.4</v>
      </c>
      <c r="E125">
        <v>135.4</v>
      </c>
      <c r="F125">
        <v>123.4</v>
      </c>
      <c r="G125">
        <v>131.30000000000001</v>
      </c>
      <c r="H125">
        <v>118.2</v>
      </c>
      <c r="I125">
        <v>138.1</v>
      </c>
      <c r="J125">
        <v>134.1</v>
      </c>
      <c r="K125">
        <v>162.69999999999999</v>
      </c>
      <c r="L125">
        <v>105</v>
      </c>
      <c r="M125">
        <v>131.4</v>
      </c>
      <c r="N125">
        <v>125.4</v>
      </c>
      <c r="O125">
        <v>137.4</v>
      </c>
      <c r="P125">
        <v>131.80000000000001</v>
      </c>
      <c r="Q125">
        <v>130.6</v>
      </c>
      <c r="R125">
        <v>134.4</v>
      </c>
      <c r="S125">
        <v>135</v>
      </c>
      <c r="T125">
        <v>139.5</v>
      </c>
      <c r="U125">
        <v>128</v>
      </c>
      <c r="V125">
        <v>114.4</v>
      </c>
      <c r="W125">
        <v>127.9</v>
      </c>
      <c r="X125">
        <v>125.2</v>
      </c>
      <c r="Y125">
        <v>118.4</v>
      </c>
      <c r="Z125">
        <v>127</v>
      </c>
      <c r="AA125">
        <v>123.2</v>
      </c>
      <c r="AB125">
        <v>135.5</v>
      </c>
      <c r="AC125">
        <v>121.7</v>
      </c>
      <c r="AD125">
        <v>129</v>
      </c>
    </row>
    <row r="126" spans="1:30" x14ac:dyDescent="0.25">
      <c r="A126" t="s">
        <v>33</v>
      </c>
      <c r="B126">
        <v>2016</v>
      </c>
      <c r="C126" t="s">
        <v>37</v>
      </c>
      <c r="D126">
        <v>124.9</v>
      </c>
      <c r="E126">
        <v>139.30000000000001</v>
      </c>
      <c r="F126">
        <v>119.9</v>
      </c>
      <c r="G126">
        <v>130.19999999999999</v>
      </c>
      <c r="H126">
        <v>108.9</v>
      </c>
      <c r="I126">
        <v>131.1</v>
      </c>
      <c r="J126">
        <v>136.80000000000001</v>
      </c>
      <c r="K126">
        <v>176.9</v>
      </c>
      <c r="L126">
        <v>109.1</v>
      </c>
      <c r="M126">
        <v>140.4</v>
      </c>
      <c r="N126">
        <v>121.1</v>
      </c>
      <c r="O126">
        <v>135.9</v>
      </c>
      <c r="P126">
        <v>131.80000000000001</v>
      </c>
      <c r="Q126">
        <v>120.5</v>
      </c>
      <c r="R126">
        <v>125.8</v>
      </c>
      <c r="S126">
        <v>126.8</v>
      </c>
      <c r="T126">
        <v>125.6</v>
      </c>
      <c r="U126">
        <v>122.8</v>
      </c>
      <c r="V126">
        <v>110</v>
      </c>
      <c r="W126">
        <v>127.6</v>
      </c>
      <c r="X126">
        <v>120</v>
      </c>
      <c r="Y126">
        <v>117.6</v>
      </c>
      <c r="Z126">
        <v>114.6</v>
      </c>
      <c r="AA126">
        <v>119.5</v>
      </c>
      <c r="AB126">
        <v>141.5</v>
      </c>
      <c r="AC126">
        <v>118.2</v>
      </c>
      <c r="AD126">
        <v>125.3</v>
      </c>
    </row>
    <row r="127" spans="1:30" x14ac:dyDescent="0.25">
      <c r="A127" t="s">
        <v>34</v>
      </c>
      <c r="B127">
        <v>2016</v>
      </c>
      <c r="C127" t="s">
        <v>37</v>
      </c>
      <c r="D127">
        <v>126.6</v>
      </c>
      <c r="E127">
        <v>136.80000000000001</v>
      </c>
      <c r="F127">
        <v>122</v>
      </c>
      <c r="G127">
        <v>130.9</v>
      </c>
      <c r="H127">
        <v>114.8</v>
      </c>
      <c r="I127">
        <v>134.80000000000001</v>
      </c>
      <c r="J127">
        <v>135</v>
      </c>
      <c r="K127">
        <v>167.5</v>
      </c>
      <c r="L127">
        <v>106.4</v>
      </c>
      <c r="M127">
        <v>134.4</v>
      </c>
      <c r="N127">
        <v>123.6</v>
      </c>
      <c r="O127">
        <v>136.69999999999999</v>
      </c>
      <c r="P127">
        <v>131.80000000000001</v>
      </c>
      <c r="Q127">
        <v>126.4</v>
      </c>
      <c r="R127">
        <v>131</v>
      </c>
      <c r="S127">
        <v>131.80000000000001</v>
      </c>
      <c r="T127">
        <v>125.6</v>
      </c>
      <c r="U127">
        <v>125.5</v>
      </c>
      <c r="V127">
        <v>112.1</v>
      </c>
      <c r="W127">
        <v>127.7</v>
      </c>
      <c r="X127">
        <v>123.2</v>
      </c>
      <c r="Y127">
        <v>118.1</v>
      </c>
      <c r="Z127">
        <v>122.3</v>
      </c>
      <c r="AA127">
        <v>121.1</v>
      </c>
      <c r="AB127">
        <v>137.1</v>
      </c>
      <c r="AC127">
        <v>120</v>
      </c>
      <c r="AD127">
        <v>127.3</v>
      </c>
    </row>
    <row r="128" spans="1:30" x14ac:dyDescent="0.25">
      <c r="A128" t="s">
        <v>30</v>
      </c>
      <c r="B128">
        <v>2016</v>
      </c>
      <c r="C128" t="s">
        <v>38</v>
      </c>
      <c r="D128">
        <v>127.6</v>
      </c>
      <c r="E128">
        <v>137.5</v>
      </c>
      <c r="F128">
        <v>124.4</v>
      </c>
      <c r="G128">
        <v>132.4</v>
      </c>
      <c r="H128">
        <v>118.2</v>
      </c>
      <c r="I128">
        <v>138.1</v>
      </c>
      <c r="J128">
        <v>141.80000000000001</v>
      </c>
      <c r="K128">
        <v>166</v>
      </c>
      <c r="L128">
        <v>107.5</v>
      </c>
      <c r="M128">
        <v>132.19999999999999</v>
      </c>
      <c r="N128">
        <v>126.1</v>
      </c>
      <c r="O128">
        <v>138.30000000000001</v>
      </c>
      <c r="P128">
        <v>133.6</v>
      </c>
      <c r="Q128">
        <v>131.1</v>
      </c>
      <c r="R128">
        <v>134.80000000000001</v>
      </c>
      <c r="S128">
        <v>135.4</v>
      </c>
      <c r="T128">
        <v>139.5</v>
      </c>
      <c r="U128">
        <v>128.5</v>
      </c>
      <c r="V128">
        <v>115.1</v>
      </c>
      <c r="W128">
        <v>129.1</v>
      </c>
      <c r="X128">
        <v>125.8</v>
      </c>
      <c r="Y128">
        <v>119.7</v>
      </c>
      <c r="Z128">
        <v>127.4</v>
      </c>
      <c r="AA128">
        <v>123.6</v>
      </c>
      <c r="AB128">
        <v>136</v>
      </c>
      <c r="AC128">
        <v>122.5</v>
      </c>
      <c r="AD128">
        <v>130.30000000000001</v>
      </c>
    </row>
    <row r="129" spans="1:30" x14ac:dyDescent="0.25">
      <c r="A129" t="s">
        <v>33</v>
      </c>
      <c r="B129">
        <v>2016</v>
      </c>
      <c r="C129" t="s">
        <v>38</v>
      </c>
      <c r="D129">
        <v>125</v>
      </c>
      <c r="E129">
        <v>142.1</v>
      </c>
      <c r="F129">
        <v>127</v>
      </c>
      <c r="G129">
        <v>130.4</v>
      </c>
      <c r="H129">
        <v>109.6</v>
      </c>
      <c r="I129">
        <v>133.5</v>
      </c>
      <c r="J129">
        <v>151.4</v>
      </c>
      <c r="K129">
        <v>182.8</v>
      </c>
      <c r="L129">
        <v>111.1</v>
      </c>
      <c r="M129">
        <v>141.5</v>
      </c>
      <c r="N129">
        <v>121.5</v>
      </c>
      <c r="O129">
        <v>136.30000000000001</v>
      </c>
      <c r="P129">
        <v>134.6</v>
      </c>
      <c r="Q129">
        <v>120.7</v>
      </c>
      <c r="R129">
        <v>126.2</v>
      </c>
      <c r="S129">
        <v>127.2</v>
      </c>
      <c r="T129">
        <v>126</v>
      </c>
      <c r="U129">
        <v>123.2</v>
      </c>
      <c r="V129">
        <v>110.7</v>
      </c>
      <c r="W129">
        <v>128</v>
      </c>
      <c r="X129">
        <v>120.3</v>
      </c>
      <c r="Y129">
        <v>118.5</v>
      </c>
      <c r="Z129">
        <v>115</v>
      </c>
      <c r="AA129">
        <v>119.8</v>
      </c>
      <c r="AB129">
        <v>142.19999999999999</v>
      </c>
      <c r="AC129">
        <v>118.7</v>
      </c>
      <c r="AD129">
        <v>126.6</v>
      </c>
    </row>
    <row r="130" spans="1:30" x14ac:dyDescent="0.25">
      <c r="A130" t="s">
        <v>34</v>
      </c>
      <c r="B130">
        <v>2016</v>
      </c>
      <c r="C130" t="s">
        <v>38</v>
      </c>
      <c r="D130">
        <v>126.8</v>
      </c>
      <c r="E130">
        <v>139.1</v>
      </c>
      <c r="F130">
        <v>125.4</v>
      </c>
      <c r="G130">
        <v>131.69999999999999</v>
      </c>
      <c r="H130">
        <v>115</v>
      </c>
      <c r="I130">
        <v>136</v>
      </c>
      <c r="J130">
        <v>145.1</v>
      </c>
      <c r="K130">
        <v>171.7</v>
      </c>
      <c r="L130">
        <v>108.7</v>
      </c>
      <c r="M130">
        <v>135.30000000000001</v>
      </c>
      <c r="N130">
        <v>124.2</v>
      </c>
      <c r="O130">
        <v>137.4</v>
      </c>
      <c r="P130">
        <v>134</v>
      </c>
      <c r="Q130">
        <v>126.8</v>
      </c>
      <c r="R130">
        <v>131.4</v>
      </c>
      <c r="S130">
        <v>132.19999999999999</v>
      </c>
      <c r="T130">
        <v>126</v>
      </c>
      <c r="U130">
        <v>126</v>
      </c>
      <c r="V130">
        <v>112.8</v>
      </c>
      <c r="W130">
        <v>128.5</v>
      </c>
      <c r="X130">
        <v>123.7</v>
      </c>
      <c r="Y130">
        <v>119.2</v>
      </c>
      <c r="Z130">
        <v>122.7</v>
      </c>
      <c r="AA130">
        <v>121.5</v>
      </c>
      <c r="AB130">
        <v>137.69999999999999</v>
      </c>
      <c r="AC130">
        <v>120.7</v>
      </c>
      <c r="AD130">
        <v>128.6</v>
      </c>
    </row>
    <row r="131" spans="1:30" x14ac:dyDescent="0.25">
      <c r="A131" t="s">
        <v>30</v>
      </c>
      <c r="B131">
        <v>2016</v>
      </c>
      <c r="C131" t="s">
        <v>39</v>
      </c>
      <c r="D131">
        <v>128.6</v>
      </c>
      <c r="E131">
        <v>138.6</v>
      </c>
      <c r="F131">
        <v>126.6</v>
      </c>
      <c r="G131">
        <v>133.6</v>
      </c>
      <c r="H131">
        <v>118.6</v>
      </c>
      <c r="I131">
        <v>137.4</v>
      </c>
      <c r="J131">
        <v>152.5</v>
      </c>
      <c r="K131">
        <v>169.2</v>
      </c>
      <c r="L131">
        <v>108.8</v>
      </c>
      <c r="M131">
        <v>133.1</v>
      </c>
      <c r="N131">
        <v>126.4</v>
      </c>
      <c r="O131">
        <v>139.19999999999999</v>
      </c>
      <c r="P131">
        <v>136</v>
      </c>
      <c r="Q131">
        <v>131.6</v>
      </c>
      <c r="R131">
        <v>135.6</v>
      </c>
      <c r="S131">
        <v>136.30000000000001</v>
      </c>
      <c r="T131">
        <v>139.5</v>
      </c>
      <c r="U131">
        <v>129.30000000000001</v>
      </c>
      <c r="V131">
        <v>116.3</v>
      </c>
      <c r="W131">
        <v>130.19999999999999</v>
      </c>
      <c r="X131">
        <v>126.2</v>
      </c>
      <c r="Y131">
        <v>119.9</v>
      </c>
      <c r="Z131">
        <v>128</v>
      </c>
      <c r="AA131">
        <v>124.1</v>
      </c>
      <c r="AB131">
        <v>137.19999999999999</v>
      </c>
      <c r="AC131">
        <v>123.3</v>
      </c>
      <c r="AD131">
        <v>131.9</v>
      </c>
    </row>
    <row r="132" spans="1:30" x14ac:dyDescent="0.25">
      <c r="A132" t="s">
        <v>33</v>
      </c>
      <c r="B132">
        <v>2016</v>
      </c>
      <c r="C132" t="s">
        <v>39</v>
      </c>
      <c r="D132">
        <v>125.9</v>
      </c>
      <c r="E132">
        <v>143.9</v>
      </c>
      <c r="F132">
        <v>130.9</v>
      </c>
      <c r="G132">
        <v>131</v>
      </c>
      <c r="H132">
        <v>110.2</v>
      </c>
      <c r="I132">
        <v>135.5</v>
      </c>
      <c r="J132">
        <v>173.7</v>
      </c>
      <c r="K132">
        <v>184.4</v>
      </c>
      <c r="L132">
        <v>112</v>
      </c>
      <c r="M132">
        <v>142.80000000000001</v>
      </c>
      <c r="N132">
        <v>121.6</v>
      </c>
      <c r="O132">
        <v>136.9</v>
      </c>
      <c r="P132">
        <v>138.19999999999999</v>
      </c>
      <c r="Q132">
        <v>121.1</v>
      </c>
      <c r="R132">
        <v>126.6</v>
      </c>
      <c r="S132">
        <v>127.6</v>
      </c>
      <c r="T132">
        <v>125.5</v>
      </c>
      <c r="U132">
        <v>123.2</v>
      </c>
      <c r="V132">
        <v>112.3</v>
      </c>
      <c r="W132">
        <v>129.30000000000001</v>
      </c>
      <c r="X132">
        <v>120.6</v>
      </c>
      <c r="Y132">
        <v>118.8</v>
      </c>
      <c r="Z132">
        <v>115.5</v>
      </c>
      <c r="AA132">
        <v>119.9</v>
      </c>
      <c r="AB132">
        <v>142.69999999999999</v>
      </c>
      <c r="AC132">
        <v>119.6</v>
      </c>
      <c r="AD132">
        <v>128.1</v>
      </c>
    </row>
    <row r="133" spans="1:30" x14ac:dyDescent="0.25">
      <c r="A133" t="s">
        <v>34</v>
      </c>
      <c r="B133">
        <v>2016</v>
      </c>
      <c r="C133" t="s">
        <v>39</v>
      </c>
      <c r="D133">
        <v>127.7</v>
      </c>
      <c r="E133">
        <v>140.5</v>
      </c>
      <c r="F133">
        <v>128.30000000000001</v>
      </c>
      <c r="G133">
        <v>132.6</v>
      </c>
      <c r="H133">
        <v>115.5</v>
      </c>
      <c r="I133">
        <v>136.5</v>
      </c>
      <c r="J133">
        <v>159.69999999999999</v>
      </c>
      <c r="K133">
        <v>174.3</v>
      </c>
      <c r="L133">
        <v>109.9</v>
      </c>
      <c r="M133">
        <v>136.30000000000001</v>
      </c>
      <c r="N133">
        <v>124.4</v>
      </c>
      <c r="O133">
        <v>138.1</v>
      </c>
      <c r="P133">
        <v>136.80000000000001</v>
      </c>
      <c r="Q133">
        <v>127.2</v>
      </c>
      <c r="R133">
        <v>132</v>
      </c>
      <c r="S133">
        <v>132.9</v>
      </c>
      <c r="T133">
        <v>125.5</v>
      </c>
      <c r="U133">
        <v>126.4</v>
      </c>
      <c r="V133">
        <v>114.2</v>
      </c>
      <c r="W133">
        <v>129.69999999999999</v>
      </c>
      <c r="X133">
        <v>124.1</v>
      </c>
      <c r="Y133">
        <v>119.4</v>
      </c>
      <c r="Z133">
        <v>123.3</v>
      </c>
      <c r="AA133">
        <v>121.7</v>
      </c>
      <c r="AB133">
        <v>138.69999999999999</v>
      </c>
      <c r="AC133">
        <v>121.5</v>
      </c>
      <c r="AD133">
        <v>130.1</v>
      </c>
    </row>
    <row r="134" spans="1:30" x14ac:dyDescent="0.25">
      <c r="A134" t="s">
        <v>30</v>
      </c>
      <c r="B134">
        <v>2016</v>
      </c>
      <c r="C134" t="s">
        <v>40</v>
      </c>
      <c r="D134">
        <v>129.30000000000001</v>
      </c>
      <c r="E134">
        <v>139.5</v>
      </c>
      <c r="F134">
        <v>129.6</v>
      </c>
      <c r="G134">
        <v>134.5</v>
      </c>
      <c r="H134">
        <v>119.5</v>
      </c>
      <c r="I134">
        <v>138.5</v>
      </c>
      <c r="J134">
        <v>158.19999999999999</v>
      </c>
      <c r="K134">
        <v>171.8</v>
      </c>
      <c r="L134">
        <v>110.3</v>
      </c>
      <c r="M134">
        <v>134.30000000000001</v>
      </c>
      <c r="N134">
        <v>127.3</v>
      </c>
      <c r="O134">
        <v>139.9</v>
      </c>
      <c r="P134">
        <v>137.6</v>
      </c>
      <c r="Q134">
        <v>132.19999999999999</v>
      </c>
      <c r="R134">
        <v>136.5</v>
      </c>
      <c r="S134">
        <v>137.19999999999999</v>
      </c>
      <c r="T134">
        <v>139.5</v>
      </c>
      <c r="U134">
        <v>130</v>
      </c>
      <c r="V134">
        <v>116.4</v>
      </c>
      <c r="W134">
        <v>130.80000000000001</v>
      </c>
      <c r="X134">
        <v>126.7</v>
      </c>
      <c r="Y134">
        <v>120.9</v>
      </c>
      <c r="Z134">
        <v>128.19999999999999</v>
      </c>
      <c r="AA134">
        <v>125.2</v>
      </c>
      <c r="AB134">
        <v>138</v>
      </c>
      <c r="AC134">
        <v>123.8</v>
      </c>
      <c r="AD134">
        <v>133</v>
      </c>
    </row>
    <row r="135" spans="1:30" x14ac:dyDescent="0.25">
      <c r="A135" t="s">
        <v>33</v>
      </c>
      <c r="B135">
        <v>2016</v>
      </c>
      <c r="C135" t="s">
        <v>40</v>
      </c>
      <c r="D135">
        <v>126.8</v>
      </c>
      <c r="E135">
        <v>144.19999999999999</v>
      </c>
      <c r="F135">
        <v>136.6</v>
      </c>
      <c r="G135">
        <v>131.80000000000001</v>
      </c>
      <c r="H135">
        <v>111</v>
      </c>
      <c r="I135">
        <v>137</v>
      </c>
      <c r="J135">
        <v>179.5</v>
      </c>
      <c r="K135">
        <v>188.4</v>
      </c>
      <c r="L135">
        <v>113.3</v>
      </c>
      <c r="M135">
        <v>143.9</v>
      </c>
      <c r="N135">
        <v>121.7</v>
      </c>
      <c r="O135">
        <v>137.5</v>
      </c>
      <c r="P135">
        <v>139.80000000000001</v>
      </c>
      <c r="Q135">
        <v>121.1</v>
      </c>
      <c r="R135">
        <v>126.9</v>
      </c>
      <c r="S135">
        <v>127.9</v>
      </c>
      <c r="T135">
        <v>126.4</v>
      </c>
      <c r="U135">
        <v>123.5</v>
      </c>
      <c r="V135">
        <v>111.7</v>
      </c>
      <c r="W135">
        <v>130.80000000000001</v>
      </c>
      <c r="X135">
        <v>120.9</v>
      </c>
      <c r="Y135">
        <v>120</v>
      </c>
      <c r="Z135">
        <v>115.5</v>
      </c>
      <c r="AA135">
        <v>120.3</v>
      </c>
      <c r="AB135">
        <v>142.9</v>
      </c>
      <c r="AC135">
        <v>119.9</v>
      </c>
      <c r="AD135">
        <v>129</v>
      </c>
    </row>
    <row r="136" spans="1:30" x14ac:dyDescent="0.25">
      <c r="A136" t="s">
        <v>34</v>
      </c>
      <c r="B136">
        <v>2016</v>
      </c>
      <c r="C136" t="s">
        <v>40</v>
      </c>
      <c r="D136">
        <v>128.5</v>
      </c>
      <c r="E136">
        <v>141.19999999999999</v>
      </c>
      <c r="F136">
        <v>132.30000000000001</v>
      </c>
      <c r="G136">
        <v>133.5</v>
      </c>
      <c r="H136">
        <v>116.4</v>
      </c>
      <c r="I136">
        <v>137.80000000000001</v>
      </c>
      <c r="J136">
        <v>165.4</v>
      </c>
      <c r="K136">
        <v>177.4</v>
      </c>
      <c r="L136">
        <v>111.3</v>
      </c>
      <c r="M136">
        <v>137.5</v>
      </c>
      <c r="N136">
        <v>125</v>
      </c>
      <c r="O136">
        <v>138.80000000000001</v>
      </c>
      <c r="P136">
        <v>138.4</v>
      </c>
      <c r="Q136">
        <v>127.6</v>
      </c>
      <c r="R136">
        <v>132.69999999999999</v>
      </c>
      <c r="S136">
        <v>133.5</v>
      </c>
      <c r="T136">
        <v>126.4</v>
      </c>
      <c r="U136">
        <v>126.9</v>
      </c>
      <c r="V136">
        <v>113.9</v>
      </c>
      <c r="W136">
        <v>130.80000000000001</v>
      </c>
      <c r="X136">
        <v>124.5</v>
      </c>
      <c r="Y136">
        <v>120.5</v>
      </c>
      <c r="Z136">
        <v>123.4</v>
      </c>
      <c r="AA136">
        <v>122.4</v>
      </c>
      <c r="AB136">
        <v>139.30000000000001</v>
      </c>
      <c r="AC136">
        <v>121.9</v>
      </c>
      <c r="AD136">
        <v>131.1</v>
      </c>
    </row>
    <row r="137" spans="1:30" x14ac:dyDescent="0.25">
      <c r="A137" t="s">
        <v>30</v>
      </c>
      <c r="B137">
        <v>2016</v>
      </c>
      <c r="C137" t="s">
        <v>41</v>
      </c>
      <c r="D137">
        <v>130.1</v>
      </c>
      <c r="E137">
        <v>138.80000000000001</v>
      </c>
      <c r="F137">
        <v>130.30000000000001</v>
      </c>
      <c r="G137">
        <v>135.30000000000001</v>
      </c>
      <c r="H137">
        <v>119.9</v>
      </c>
      <c r="I137">
        <v>140.19999999999999</v>
      </c>
      <c r="J137">
        <v>156.9</v>
      </c>
      <c r="K137">
        <v>172.2</v>
      </c>
      <c r="L137">
        <v>112.1</v>
      </c>
      <c r="M137">
        <v>134.9</v>
      </c>
      <c r="N137">
        <v>128.1</v>
      </c>
      <c r="O137">
        <v>140.69999999999999</v>
      </c>
      <c r="P137">
        <v>138</v>
      </c>
      <c r="Q137">
        <v>133</v>
      </c>
      <c r="R137">
        <v>137.1</v>
      </c>
      <c r="S137">
        <v>137.80000000000001</v>
      </c>
      <c r="T137">
        <v>139.5</v>
      </c>
      <c r="U137">
        <v>130.6</v>
      </c>
      <c r="V137">
        <v>116</v>
      </c>
      <c r="W137">
        <v>131.9</v>
      </c>
      <c r="X137">
        <v>127</v>
      </c>
      <c r="Y137">
        <v>122</v>
      </c>
      <c r="Z137">
        <v>129.1</v>
      </c>
      <c r="AA137">
        <v>125.5</v>
      </c>
      <c r="AB137">
        <v>138.9</v>
      </c>
      <c r="AC137">
        <v>124.2</v>
      </c>
      <c r="AD137">
        <v>133.5</v>
      </c>
    </row>
    <row r="138" spans="1:30" x14ac:dyDescent="0.25">
      <c r="A138" t="s">
        <v>33</v>
      </c>
      <c r="B138">
        <v>2016</v>
      </c>
      <c r="C138" t="s">
        <v>41</v>
      </c>
      <c r="D138">
        <v>127.6</v>
      </c>
      <c r="E138">
        <v>140.30000000000001</v>
      </c>
      <c r="F138">
        <v>133.69999999999999</v>
      </c>
      <c r="G138">
        <v>132.19999999999999</v>
      </c>
      <c r="H138">
        <v>111.8</v>
      </c>
      <c r="I138">
        <v>135.80000000000001</v>
      </c>
      <c r="J138">
        <v>163.5</v>
      </c>
      <c r="K138">
        <v>182.3</v>
      </c>
      <c r="L138">
        <v>114.6</v>
      </c>
      <c r="M138">
        <v>144.6</v>
      </c>
      <c r="N138">
        <v>121.9</v>
      </c>
      <c r="O138">
        <v>138.1</v>
      </c>
      <c r="P138">
        <v>137.6</v>
      </c>
      <c r="Q138">
        <v>121.4</v>
      </c>
      <c r="R138">
        <v>127.3</v>
      </c>
      <c r="S138">
        <v>128.30000000000001</v>
      </c>
      <c r="T138">
        <v>127.3</v>
      </c>
      <c r="U138">
        <v>123.9</v>
      </c>
      <c r="V138">
        <v>110.4</v>
      </c>
      <c r="W138">
        <v>131.5</v>
      </c>
      <c r="X138">
        <v>121.2</v>
      </c>
      <c r="Y138">
        <v>120.9</v>
      </c>
      <c r="Z138">
        <v>114.7</v>
      </c>
      <c r="AA138">
        <v>120.6</v>
      </c>
      <c r="AB138">
        <v>143.6</v>
      </c>
      <c r="AC138">
        <v>119.9</v>
      </c>
      <c r="AD138">
        <v>128.4</v>
      </c>
    </row>
    <row r="139" spans="1:30" x14ac:dyDescent="0.25">
      <c r="A139" t="s">
        <v>34</v>
      </c>
      <c r="B139">
        <v>2016</v>
      </c>
      <c r="C139" t="s">
        <v>41</v>
      </c>
      <c r="D139">
        <v>129.30000000000001</v>
      </c>
      <c r="E139">
        <v>139.30000000000001</v>
      </c>
      <c r="F139">
        <v>131.6</v>
      </c>
      <c r="G139">
        <v>134.1</v>
      </c>
      <c r="H139">
        <v>116.9</v>
      </c>
      <c r="I139">
        <v>138.1</v>
      </c>
      <c r="J139">
        <v>159.1</v>
      </c>
      <c r="K139">
        <v>175.6</v>
      </c>
      <c r="L139">
        <v>112.9</v>
      </c>
      <c r="M139">
        <v>138.1</v>
      </c>
      <c r="N139">
        <v>125.5</v>
      </c>
      <c r="O139">
        <v>139.5</v>
      </c>
      <c r="P139">
        <v>137.9</v>
      </c>
      <c r="Q139">
        <v>128.19999999999999</v>
      </c>
      <c r="R139">
        <v>133.19999999999999</v>
      </c>
      <c r="S139">
        <v>134.1</v>
      </c>
      <c r="T139">
        <v>127.3</v>
      </c>
      <c r="U139">
        <v>127.4</v>
      </c>
      <c r="V139">
        <v>113.1</v>
      </c>
      <c r="W139">
        <v>131.69999999999999</v>
      </c>
      <c r="X139">
        <v>124.8</v>
      </c>
      <c r="Y139">
        <v>121.5</v>
      </c>
      <c r="Z139">
        <v>123.6</v>
      </c>
      <c r="AA139">
        <v>122.7</v>
      </c>
      <c r="AB139">
        <v>140.19999999999999</v>
      </c>
      <c r="AC139">
        <v>122.1</v>
      </c>
      <c r="AD139">
        <v>131.1</v>
      </c>
    </row>
    <row r="140" spans="1:30" x14ac:dyDescent="0.25">
      <c r="A140" t="s">
        <v>30</v>
      </c>
      <c r="B140">
        <v>2016</v>
      </c>
      <c r="C140" t="s">
        <v>42</v>
      </c>
      <c r="D140">
        <v>130.80000000000001</v>
      </c>
      <c r="E140">
        <v>138.19999999999999</v>
      </c>
      <c r="F140">
        <v>130.5</v>
      </c>
      <c r="G140">
        <v>135.5</v>
      </c>
      <c r="H140">
        <v>120.2</v>
      </c>
      <c r="I140">
        <v>139.19999999999999</v>
      </c>
      <c r="J140">
        <v>149.5</v>
      </c>
      <c r="K140">
        <v>170.4</v>
      </c>
      <c r="L140">
        <v>113.1</v>
      </c>
      <c r="M140">
        <v>135.80000000000001</v>
      </c>
      <c r="N140">
        <v>128.80000000000001</v>
      </c>
      <c r="O140">
        <v>141.5</v>
      </c>
      <c r="P140">
        <v>137.19999999999999</v>
      </c>
      <c r="Q140">
        <v>133.5</v>
      </c>
      <c r="R140">
        <v>137.80000000000001</v>
      </c>
      <c r="S140">
        <v>138.5</v>
      </c>
      <c r="T140">
        <v>139.5</v>
      </c>
      <c r="U140">
        <v>131.1</v>
      </c>
      <c r="V140">
        <v>117</v>
      </c>
      <c r="W140">
        <v>132.19999999999999</v>
      </c>
      <c r="X140">
        <v>127.8</v>
      </c>
      <c r="Y140">
        <v>122.8</v>
      </c>
      <c r="Z140">
        <v>129.69999999999999</v>
      </c>
      <c r="AA140">
        <v>125.7</v>
      </c>
      <c r="AB140">
        <v>139.9</v>
      </c>
      <c r="AC140">
        <v>124.9</v>
      </c>
      <c r="AD140">
        <v>133.4</v>
      </c>
    </row>
    <row r="141" spans="1:30" x14ac:dyDescent="0.25">
      <c r="A141" t="s">
        <v>33</v>
      </c>
      <c r="B141">
        <v>2016</v>
      </c>
      <c r="C141" t="s">
        <v>42</v>
      </c>
      <c r="D141">
        <v>128.1</v>
      </c>
      <c r="E141">
        <v>137.69999999999999</v>
      </c>
      <c r="F141">
        <v>130.6</v>
      </c>
      <c r="G141">
        <v>132.6</v>
      </c>
      <c r="H141">
        <v>111.9</v>
      </c>
      <c r="I141">
        <v>132.5</v>
      </c>
      <c r="J141">
        <v>152.9</v>
      </c>
      <c r="K141">
        <v>173.6</v>
      </c>
      <c r="L141">
        <v>115.1</v>
      </c>
      <c r="M141">
        <v>144.80000000000001</v>
      </c>
      <c r="N141">
        <v>122.1</v>
      </c>
      <c r="O141">
        <v>138.80000000000001</v>
      </c>
      <c r="P141">
        <v>135.69999999999999</v>
      </c>
      <c r="Q141">
        <v>121.6</v>
      </c>
      <c r="R141">
        <v>127.7</v>
      </c>
      <c r="S141">
        <v>128.69999999999999</v>
      </c>
      <c r="T141">
        <v>127.9</v>
      </c>
      <c r="U141">
        <v>124.3</v>
      </c>
      <c r="V141">
        <v>111.8</v>
      </c>
      <c r="W141">
        <v>131.6</v>
      </c>
      <c r="X141">
        <v>121.4</v>
      </c>
      <c r="Y141">
        <v>121.2</v>
      </c>
      <c r="Z141">
        <v>114.8</v>
      </c>
      <c r="AA141">
        <v>120.8</v>
      </c>
      <c r="AB141">
        <v>143.9</v>
      </c>
      <c r="AC141">
        <v>120.5</v>
      </c>
      <c r="AD141">
        <v>128</v>
      </c>
    </row>
    <row r="142" spans="1:30" x14ac:dyDescent="0.25">
      <c r="A142" t="s">
        <v>34</v>
      </c>
      <c r="B142">
        <v>2016</v>
      </c>
      <c r="C142" t="s">
        <v>42</v>
      </c>
      <c r="D142">
        <v>129.9</v>
      </c>
      <c r="E142">
        <v>138</v>
      </c>
      <c r="F142">
        <v>130.5</v>
      </c>
      <c r="G142">
        <v>134.4</v>
      </c>
      <c r="H142">
        <v>117.2</v>
      </c>
      <c r="I142">
        <v>136.1</v>
      </c>
      <c r="J142">
        <v>150.69999999999999</v>
      </c>
      <c r="K142">
        <v>171.5</v>
      </c>
      <c r="L142">
        <v>113.8</v>
      </c>
      <c r="M142">
        <v>138.80000000000001</v>
      </c>
      <c r="N142">
        <v>126</v>
      </c>
      <c r="O142">
        <v>140.19999999999999</v>
      </c>
      <c r="P142">
        <v>136.6</v>
      </c>
      <c r="Q142">
        <v>128.6</v>
      </c>
      <c r="R142">
        <v>133.80000000000001</v>
      </c>
      <c r="S142">
        <v>134.6</v>
      </c>
      <c r="T142">
        <v>127.9</v>
      </c>
      <c r="U142">
        <v>127.9</v>
      </c>
      <c r="V142">
        <v>114.3</v>
      </c>
      <c r="W142">
        <v>131.80000000000001</v>
      </c>
      <c r="X142">
        <v>125.4</v>
      </c>
      <c r="Y142">
        <v>122.1</v>
      </c>
      <c r="Z142">
        <v>124.1</v>
      </c>
      <c r="AA142">
        <v>122.9</v>
      </c>
      <c r="AB142">
        <v>141</v>
      </c>
      <c r="AC142">
        <v>122.8</v>
      </c>
      <c r="AD142">
        <v>130.9</v>
      </c>
    </row>
    <row r="143" spans="1:30" x14ac:dyDescent="0.25">
      <c r="A143" t="s">
        <v>30</v>
      </c>
      <c r="B143">
        <v>2016</v>
      </c>
      <c r="C143" t="s">
        <v>43</v>
      </c>
      <c r="D143">
        <v>131.30000000000001</v>
      </c>
      <c r="E143">
        <v>137.6</v>
      </c>
      <c r="F143">
        <v>130.1</v>
      </c>
      <c r="G143">
        <v>136</v>
      </c>
      <c r="H143">
        <v>120.8</v>
      </c>
      <c r="I143">
        <v>138.4</v>
      </c>
      <c r="J143">
        <v>149.19999999999999</v>
      </c>
      <c r="K143">
        <v>170.2</v>
      </c>
      <c r="L143">
        <v>113.4</v>
      </c>
      <c r="M143">
        <v>136.30000000000001</v>
      </c>
      <c r="N143">
        <v>128.69999999999999</v>
      </c>
      <c r="O143">
        <v>142.4</v>
      </c>
      <c r="P143">
        <v>137.4</v>
      </c>
      <c r="Q143">
        <v>134.30000000000001</v>
      </c>
      <c r="R143">
        <v>138.80000000000001</v>
      </c>
      <c r="S143">
        <v>139.6</v>
      </c>
      <c r="T143">
        <v>139.5</v>
      </c>
      <c r="U143">
        <v>131.80000000000001</v>
      </c>
      <c r="V143">
        <v>117.8</v>
      </c>
      <c r="W143">
        <v>133</v>
      </c>
      <c r="X143">
        <v>128.69999999999999</v>
      </c>
      <c r="Y143">
        <v>123</v>
      </c>
      <c r="Z143">
        <v>129.80000000000001</v>
      </c>
      <c r="AA143">
        <v>126.5</v>
      </c>
      <c r="AB143">
        <v>140.9</v>
      </c>
      <c r="AC143">
        <v>125.7</v>
      </c>
      <c r="AD143">
        <v>133.80000000000001</v>
      </c>
    </row>
    <row r="144" spans="1:30" x14ac:dyDescent="0.25">
      <c r="A144" t="s">
        <v>33</v>
      </c>
      <c r="B144">
        <v>2016</v>
      </c>
      <c r="C144" t="s">
        <v>43</v>
      </c>
      <c r="D144">
        <v>128.69999999999999</v>
      </c>
      <c r="E144">
        <v>138.4</v>
      </c>
      <c r="F144">
        <v>130.30000000000001</v>
      </c>
      <c r="G144">
        <v>132.69999999999999</v>
      </c>
      <c r="H144">
        <v>112.5</v>
      </c>
      <c r="I144">
        <v>130.4</v>
      </c>
      <c r="J144">
        <v>155.1</v>
      </c>
      <c r="K144">
        <v>175.7</v>
      </c>
      <c r="L144">
        <v>115.4</v>
      </c>
      <c r="M144">
        <v>145.30000000000001</v>
      </c>
      <c r="N144">
        <v>122.5</v>
      </c>
      <c r="O144">
        <v>139.6</v>
      </c>
      <c r="P144">
        <v>136.30000000000001</v>
      </c>
      <c r="Q144">
        <v>121.9</v>
      </c>
      <c r="R144">
        <v>128</v>
      </c>
      <c r="S144">
        <v>129.1</v>
      </c>
      <c r="T144">
        <v>128.69999999999999</v>
      </c>
      <c r="U144">
        <v>124.5</v>
      </c>
      <c r="V144">
        <v>112.8</v>
      </c>
      <c r="W144">
        <v>131.9</v>
      </c>
      <c r="X144">
        <v>121.8</v>
      </c>
      <c r="Y144">
        <v>120.8</v>
      </c>
      <c r="Z144">
        <v>115.2</v>
      </c>
      <c r="AA144">
        <v>121.2</v>
      </c>
      <c r="AB144">
        <v>144.30000000000001</v>
      </c>
      <c r="AC144">
        <v>120.9</v>
      </c>
      <c r="AD144">
        <v>128.6</v>
      </c>
    </row>
    <row r="145" spans="1:30" x14ac:dyDescent="0.25">
      <c r="A145" t="s">
        <v>34</v>
      </c>
      <c r="B145">
        <v>2016</v>
      </c>
      <c r="C145" t="s">
        <v>43</v>
      </c>
      <c r="D145">
        <v>130.5</v>
      </c>
      <c r="E145">
        <v>137.9</v>
      </c>
      <c r="F145">
        <v>130.19999999999999</v>
      </c>
      <c r="G145">
        <v>134.80000000000001</v>
      </c>
      <c r="H145">
        <v>117.8</v>
      </c>
      <c r="I145">
        <v>134.69999999999999</v>
      </c>
      <c r="J145">
        <v>151.19999999999999</v>
      </c>
      <c r="K145">
        <v>172.1</v>
      </c>
      <c r="L145">
        <v>114.1</v>
      </c>
      <c r="M145">
        <v>139.30000000000001</v>
      </c>
      <c r="N145">
        <v>126.1</v>
      </c>
      <c r="O145">
        <v>141.1</v>
      </c>
      <c r="P145">
        <v>137</v>
      </c>
      <c r="Q145">
        <v>129.1</v>
      </c>
      <c r="R145">
        <v>134.5</v>
      </c>
      <c r="S145">
        <v>135.5</v>
      </c>
      <c r="T145">
        <v>128.69999999999999</v>
      </c>
      <c r="U145">
        <v>128.4</v>
      </c>
      <c r="V145">
        <v>115.2</v>
      </c>
      <c r="W145">
        <v>132.4</v>
      </c>
      <c r="X145">
        <v>126.1</v>
      </c>
      <c r="Y145">
        <v>122.1</v>
      </c>
      <c r="Z145">
        <v>124.3</v>
      </c>
      <c r="AA145">
        <v>123.5</v>
      </c>
      <c r="AB145">
        <v>141.80000000000001</v>
      </c>
      <c r="AC145">
        <v>123.4</v>
      </c>
      <c r="AD145">
        <v>131.4</v>
      </c>
    </row>
    <row r="146" spans="1:30" x14ac:dyDescent="0.25">
      <c r="A146" t="s">
        <v>30</v>
      </c>
      <c r="B146">
        <v>2016</v>
      </c>
      <c r="C146" t="s">
        <v>45</v>
      </c>
      <c r="D146">
        <v>132</v>
      </c>
      <c r="E146">
        <v>137.4</v>
      </c>
      <c r="F146">
        <v>130.6</v>
      </c>
      <c r="G146">
        <v>136.19999999999999</v>
      </c>
      <c r="H146">
        <v>121.1</v>
      </c>
      <c r="I146">
        <v>136.9</v>
      </c>
      <c r="J146">
        <v>141.80000000000001</v>
      </c>
      <c r="K146">
        <v>170</v>
      </c>
      <c r="L146">
        <v>113.4</v>
      </c>
      <c r="M146">
        <v>136.80000000000001</v>
      </c>
      <c r="N146">
        <v>128.69999999999999</v>
      </c>
      <c r="O146">
        <v>143.1</v>
      </c>
      <c r="P146">
        <v>136.6</v>
      </c>
      <c r="Q146">
        <v>134.5</v>
      </c>
      <c r="R146">
        <v>139.19999999999999</v>
      </c>
      <c r="S146">
        <v>139.9</v>
      </c>
      <c r="T146">
        <v>139.5</v>
      </c>
      <c r="U146">
        <v>132.1</v>
      </c>
      <c r="V146">
        <v>118.2</v>
      </c>
      <c r="W146">
        <v>133.69999999999999</v>
      </c>
      <c r="X146">
        <v>129.1</v>
      </c>
      <c r="Y146">
        <v>123.5</v>
      </c>
      <c r="Z146">
        <v>130.30000000000001</v>
      </c>
      <c r="AA146">
        <v>126.9</v>
      </c>
      <c r="AB146">
        <v>141.19999999999999</v>
      </c>
      <c r="AC146">
        <v>126.1</v>
      </c>
      <c r="AD146">
        <v>133.6</v>
      </c>
    </row>
    <row r="147" spans="1:30" x14ac:dyDescent="0.25">
      <c r="A147" t="s">
        <v>33</v>
      </c>
      <c r="B147">
        <v>2016</v>
      </c>
      <c r="C147" t="s">
        <v>45</v>
      </c>
      <c r="D147">
        <v>130.19999999999999</v>
      </c>
      <c r="E147">
        <v>138.5</v>
      </c>
      <c r="F147">
        <v>134.1</v>
      </c>
      <c r="G147">
        <v>132.9</v>
      </c>
      <c r="H147">
        <v>112.6</v>
      </c>
      <c r="I147">
        <v>130.80000000000001</v>
      </c>
      <c r="J147">
        <v>142</v>
      </c>
      <c r="K147">
        <v>174.9</v>
      </c>
      <c r="L147">
        <v>115.6</v>
      </c>
      <c r="M147">
        <v>145.4</v>
      </c>
      <c r="N147">
        <v>122.7</v>
      </c>
      <c r="O147">
        <v>140.30000000000001</v>
      </c>
      <c r="P147">
        <v>135.19999999999999</v>
      </c>
      <c r="Q147">
        <v>122.1</v>
      </c>
      <c r="R147">
        <v>128.5</v>
      </c>
      <c r="S147">
        <v>129.6</v>
      </c>
      <c r="T147">
        <v>129.1</v>
      </c>
      <c r="U147">
        <v>124.7</v>
      </c>
      <c r="V147">
        <v>113.4</v>
      </c>
      <c r="W147">
        <v>132.1</v>
      </c>
      <c r="X147">
        <v>122.1</v>
      </c>
      <c r="Y147">
        <v>121.3</v>
      </c>
      <c r="Z147">
        <v>116.2</v>
      </c>
      <c r="AA147">
        <v>121.7</v>
      </c>
      <c r="AB147">
        <v>144.30000000000001</v>
      </c>
      <c r="AC147">
        <v>121.3</v>
      </c>
      <c r="AD147">
        <v>128.5</v>
      </c>
    </row>
    <row r="148" spans="1:30" x14ac:dyDescent="0.25">
      <c r="A148" t="s">
        <v>34</v>
      </c>
      <c r="B148">
        <v>2016</v>
      </c>
      <c r="C148" t="s">
        <v>45</v>
      </c>
      <c r="D148">
        <v>131.4</v>
      </c>
      <c r="E148">
        <v>137.80000000000001</v>
      </c>
      <c r="F148">
        <v>132</v>
      </c>
      <c r="G148">
        <v>135</v>
      </c>
      <c r="H148">
        <v>118</v>
      </c>
      <c r="I148">
        <v>134.1</v>
      </c>
      <c r="J148">
        <v>141.9</v>
      </c>
      <c r="K148">
        <v>171.7</v>
      </c>
      <c r="L148">
        <v>114.1</v>
      </c>
      <c r="M148">
        <v>139.69999999999999</v>
      </c>
      <c r="N148">
        <v>126.2</v>
      </c>
      <c r="O148">
        <v>141.80000000000001</v>
      </c>
      <c r="P148">
        <v>136.1</v>
      </c>
      <c r="Q148">
        <v>129.30000000000001</v>
      </c>
      <c r="R148">
        <v>135</v>
      </c>
      <c r="S148">
        <v>135.80000000000001</v>
      </c>
      <c r="T148">
        <v>129.1</v>
      </c>
      <c r="U148">
        <v>128.6</v>
      </c>
      <c r="V148">
        <v>115.7</v>
      </c>
      <c r="W148">
        <v>132.80000000000001</v>
      </c>
      <c r="X148">
        <v>126.4</v>
      </c>
      <c r="Y148">
        <v>122.6</v>
      </c>
      <c r="Z148">
        <v>125</v>
      </c>
      <c r="AA148">
        <v>124</v>
      </c>
      <c r="AB148">
        <v>142</v>
      </c>
      <c r="AC148">
        <v>123.8</v>
      </c>
      <c r="AD148">
        <v>131.19999999999999</v>
      </c>
    </row>
    <row r="149" spans="1:30" x14ac:dyDescent="0.25">
      <c r="A149" t="s">
        <v>30</v>
      </c>
      <c r="B149">
        <v>2016</v>
      </c>
      <c r="C149" t="s">
        <v>46</v>
      </c>
      <c r="D149">
        <v>132.6</v>
      </c>
      <c r="E149">
        <v>137.30000000000001</v>
      </c>
      <c r="F149">
        <v>131.6</v>
      </c>
      <c r="G149">
        <v>136.30000000000001</v>
      </c>
      <c r="H149">
        <v>121.6</v>
      </c>
      <c r="I149">
        <v>135.6</v>
      </c>
      <c r="J149">
        <v>127.5</v>
      </c>
      <c r="K149">
        <v>167.9</v>
      </c>
      <c r="L149">
        <v>113.8</v>
      </c>
      <c r="M149">
        <v>137.5</v>
      </c>
      <c r="N149">
        <v>129.1</v>
      </c>
      <c r="O149">
        <v>143.6</v>
      </c>
      <c r="P149">
        <v>134.69999999999999</v>
      </c>
      <c r="Q149">
        <v>135.19999999999999</v>
      </c>
      <c r="R149">
        <v>139.69999999999999</v>
      </c>
      <c r="S149">
        <v>140.4</v>
      </c>
      <c r="T149">
        <v>139.5</v>
      </c>
      <c r="U149">
        <v>132.9</v>
      </c>
      <c r="V149">
        <v>118.6</v>
      </c>
      <c r="W149">
        <v>134.19999999999999</v>
      </c>
      <c r="X149">
        <v>129.69999999999999</v>
      </c>
      <c r="Y149">
        <v>121.9</v>
      </c>
      <c r="Z149">
        <v>132</v>
      </c>
      <c r="AA149">
        <v>127.3</v>
      </c>
      <c r="AB149">
        <v>142.4</v>
      </c>
      <c r="AC149">
        <v>126.3</v>
      </c>
      <c r="AD149">
        <v>132.80000000000001</v>
      </c>
    </row>
    <row r="150" spans="1:30" x14ac:dyDescent="0.25">
      <c r="A150" t="s">
        <v>33</v>
      </c>
      <c r="B150">
        <v>2016</v>
      </c>
      <c r="C150" t="s">
        <v>46</v>
      </c>
      <c r="D150">
        <v>131.6</v>
      </c>
      <c r="E150">
        <v>138.19999999999999</v>
      </c>
      <c r="F150">
        <v>134.9</v>
      </c>
      <c r="G150">
        <v>133.1</v>
      </c>
      <c r="H150">
        <v>113.5</v>
      </c>
      <c r="I150">
        <v>129.30000000000001</v>
      </c>
      <c r="J150">
        <v>121.1</v>
      </c>
      <c r="K150">
        <v>170.3</v>
      </c>
      <c r="L150">
        <v>115.5</v>
      </c>
      <c r="M150">
        <v>145.5</v>
      </c>
      <c r="N150">
        <v>123.1</v>
      </c>
      <c r="O150">
        <v>140.9</v>
      </c>
      <c r="P150">
        <v>132.80000000000001</v>
      </c>
      <c r="Q150">
        <v>122.2</v>
      </c>
      <c r="R150">
        <v>128.80000000000001</v>
      </c>
      <c r="S150">
        <v>130</v>
      </c>
      <c r="T150">
        <v>128.5</v>
      </c>
      <c r="U150">
        <v>125</v>
      </c>
      <c r="V150">
        <v>113.7</v>
      </c>
      <c r="W150">
        <v>132.30000000000001</v>
      </c>
      <c r="X150">
        <v>122.3</v>
      </c>
      <c r="Y150">
        <v>119.9</v>
      </c>
      <c r="Z150">
        <v>117.8</v>
      </c>
      <c r="AA150">
        <v>121.8</v>
      </c>
      <c r="AB150">
        <v>145</v>
      </c>
      <c r="AC150">
        <v>121.4</v>
      </c>
      <c r="AD150">
        <v>127.6</v>
      </c>
    </row>
    <row r="151" spans="1:30" x14ac:dyDescent="0.25">
      <c r="A151" t="s">
        <v>34</v>
      </c>
      <c r="B151">
        <v>2016</v>
      </c>
      <c r="C151" t="s">
        <v>46</v>
      </c>
      <c r="D151">
        <v>132.30000000000001</v>
      </c>
      <c r="E151">
        <v>137.6</v>
      </c>
      <c r="F151">
        <v>132.9</v>
      </c>
      <c r="G151">
        <v>135.1</v>
      </c>
      <c r="H151">
        <v>118.6</v>
      </c>
      <c r="I151">
        <v>132.69999999999999</v>
      </c>
      <c r="J151">
        <v>125.3</v>
      </c>
      <c r="K151">
        <v>168.7</v>
      </c>
      <c r="L151">
        <v>114.4</v>
      </c>
      <c r="M151">
        <v>140.19999999999999</v>
      </c>
      <c r="N151">
        <v>126.6</v>
      </c>
      <c r="O151">
        <v>142.30000000000001</v>
      </c>
      <c r="P151">
        <v>134</v>
      </c>
      <c r="Q151">
        <v>129.80000000000001</v>
      </c>
      <c r="R151">
        <v>135.4</v>
      </c>
      <c r="S151">
        <v>136.30000000000001</v>
      </c>
      <c r="T151">
        <v>128.5</v>
      </c>
      <c r="U151">
        <v>129.19999999999999</v>
      </c>
      <c r="V151">
        <v>116</v>
      </c>
      <c r="W151">
        <v>133.1</v>
      </c>
      <c r="X151">
        <v>126.9</v>
      </c>
      <c r="Y151">
        <v>121.1</v>
      </c>
      <c r="Z151">
        <v>126.6</v>
      </c>
      <c r="AA151">
        <v>124.2</v>
      </c>
      <c r="AB151">
        <v>143.1</v>
      </c>
      <c r="AC151">
        <v>123.9</v>
      </c>
      <c r="AD151">
        <v>130.4</v>
      </c>
    </row>
    <row r="152" spans="1:30" x14ac:dyDescent="0.25">
      <c r="A152" t="s">
        <v>30</v>
      </c>
      <c r="B152">
        <v>2017</v>
      </c>
      <c r="C152" t="s">
        <v>31</v>
      </c>
      <c r="D152">
        <v>133.1</v>
      </c>
      <c r="E152">
        <v>137.80000000000001</v>
      </c>
      <c r="F152">
        <v>131.9</v>
      </c>
      <c r="G152">
        <v>136.69999999999999</v>
      </c>
      <c r="H152">
        <v>122</v>
      </c>
      <c r="I152">
        <v>136</v>
      </c>
      <c r="J152">
        <v>119.8</v>
      </c>
      <c r="K152">
        <v>161.69999999999999</v>
      </c>
      <c r="L152">
        <v>114.8</v>
      </c>
      <c r="M152">
        <v>136.9</v>
      </c>
      <c r="N152">
        <v>129</v>
      </c>
      <c r="O152">
        <v>143.9</v>
      </c>
      <c r="P152">
        <v>133.69999999999999</v>
      </c>
      <c r="Q152">
        <v>135.80000000000001</v>
      </c>
      <c r="R152">
        <v>140</v>
      </c>
      <c r="S152">
        <v>140.69999999999999</v>
      </c>
      <c r="T152">
        <v>139.5</v>
      </c>
      <c r="U152">
        <v>133.19999999999999</v>
      </c>
      <c r="V152">
        <v>119.1</v>
      </c>
      <c r="W152">
        <v>134.6</v>
      </c>
      <c r="X152">
        <v>129.9</v>
      </c>
      <c r="Y152">
        <v>122.3</v>
      </c>
      <c r="Z152">
        <v>132.1</v>
      </c>
      <c r="AA152">
        <v>127</v>
      </c>
      <c r="AB152">
        <v>143.1</v>
      </c>
      <c r="AC152">
        <v>126.6</v>
      </c>
      <c r="AD152">
        <v>132.4</v>
      </c>
    </row>
    <row r="153" spans="1:30" x14ac:dyDescent="0.25">
      <c r="A153" t="s">
        <v>33</v>
      </c>
      <c r="B153">
        <v>2017</v>
      </c>
      <c r="C153" t="s">
        <v>31</v>
      </c>
      <c r="D153">
        <v>132.19999999999999</v>
      </c>
      <c r="E153">
        <v>138.9</v>
      </c>
      <c r="F153">
        <v>132.6</v>
      </c>
      <c r="G153">
        <v>133.1</v>
      </c>
      <c r="H153">
        <v>114</v>
      </c>
      <c r="I153">
        <v>129.6</v>
      </c>
      <c r="J153">
        <v>118.7</v>
      </c>
      <c r="K153">
        <v>155.1</v>
      </c>
      <c r="L153">
        <v>117.3</v>
      </c>
      <c r="M153">
        <v>144.9</v>
      </c>
      <c r="N153">
        <v>123.2</v>
      </c>
      <c r="O153">
        <v>141.6</v>
      </c>
      <c r="P153">
        <v>132</v>
      </c>
      <c r="Q153">
        <v>122.3</v>
      </c>
      <c r="R153">
        <v>129</v>
      </c>
      <c r="S153">
        <v>130.19999999999999</v>
      </c>
      <c r="T153">
        <v>129.6</v>
      </c>
      <c r="U153">
        <v>125.1</v>
      </c>
      <c r="V153">
        <v>115.2</v>
      </c>
      <c r="W153">
        <v>132.4</v>
      </c>
      <c r="X153">
        <v>122.6</v>
      </c>
      <c r="Y153">
        <v>120.9</v>
      </c>
      <c r="Z153">
        <v>118</v>
      </c>
      <c r="AA153">
        <v>122</v>
      </c>
      <c r="AB153">
        <v>145.6</v>
      </c>
      <c r="AC153">
        <v>122.1</v>
      </c>
      <c r="AD153">
        <v>127.8</v>
      </c>
    </row>
    <row r="154" spans="1:30" x14ac:dyDescent="0.25">
      <c r="A154" t="s">
        <v>34</v>
      </c>
      <c r="B154">
        <v>2017</v>
      </c>
      <c r="C154" t="s">
        <v>31</v>
      </c>
      <c r="D154">
        <v>132.80000000000001</v>
      </c>
      <c r="E154">
        <v>138.19999999999999</v>
      </c>
      <c r="F154">
        <v>132.19999999999999</v>
      </c>
      <c r="G154">
        <v>135.4</v>
      </c>
      <c r="H154">
        <v>119.1</v>
      </c>
      <c r="I154">
        <v>133</v>
      </c>
      <c r="J154">
        <v>119.4</v>
      </c>
      <c r="K154">
        <v>159.5</v>
      </c>
      <c r="L154">
        <v>115.6</v>
      </c>
      <c r="M154">
        <v>139.6</v>
      </c>
      <c r="N154">
        <v>126.6</v>
      </c>
      <c r="O154">
        <v>142.80000000000001</v>
      </c>
      <c r="P154">
        <v>133.1</v>
      </c>
      <c r="Q154">
        <v>130.19999999999999</v>
      </c>
      <c r="R154">
        <v>135.6</v>
      </c>
      <c r="S154">
        <v>136.6</v>
      </c>
      <c r="T154">
        <v>129.6</v>
      </c>
      <c r="U154">
        <v>129.4</v>
      </c>
      <c r="V154">
        <v>117</v>
      </c>
      <c r="W154">
        <v>133.30000000000001</v>
      </c>
      <c r="X154">
        <v>127.1</v>
      </c>
      <c r="Y154">
        <v>121.7</v>
      </c>
      <c r="Z154">
        <v>126.8</v>
      </c>
      <c r="AA154">
        <v>124.2</v>
      </c>
      <c r="AB154">
        <v>143.80000000000001</v>
      </c>
      <c r="AC154">
        <v>124.4</v>
      </c>
      <c r="AD154">
        <v>130.30000000000001</v>
      </c>
    </row>
    <row r="155" spans="1:30" x14ac:dyDescent="0.25">
      <c r="A155" t="s">
        <v>30</v>
      </c>
      <c r="B155">
        <v>2017</v>
      </c>
      <c r="C155" t="s">
        <v>35</v>
      </c>
      <c r="D155">
        <v>133.30000000000001</v>
      </c>
      <c r="E155">
        <v>138.30000000000001</v>
      </c>
      <c r="F155">
        <v>129.30000000000001</v>
      </c>
      <c r="G155">
        <v>137.19999999999999</v>
      </c>
      <c r="H155">
        <v>122.1</v>
      </c>
      <c r="I155">
        <v>138.69999999999999</v>
      </c>
      <c r="J155">
        <v>119.1</v>
      </c>
      <c r="K155">
        <v>156.9</v>
      </c>
      <c r="L155">
        <v>116.2</v>
      </c>
      <c r="M155">
        <v>136</v>
      </c>
      <c r="N155">
        <v>129.4</v>
      </c>
      <c r="O155">
        <v>144.4</v>
      </c>
      <c r="P155">
        <v>133.6</v>
      </c>
      <c r="Q155">
        <v>135.80000000000001</v>
      </c>
      <c r="R155">
        <v>140.19999999999999</v>
      </c>
      <c r="S155">
        <v>140.9</v>
      </c>
      <c r="T155">
        <v>139.5</v>
      </c>
      <c r="U155">
        <v>133.6</v>
      </c>
      <c r="V155">
        <v>119.5</v>
      </c>
      <c r="W155">
        <v>134.9</v>
      </c>
      <c r="X155">
        <v>130.1</v>
      </c>
      <c r="Y155">
        <v>123.2</v>
      </c>
      <c r="Z155">
        <v>133.19999999999999</v>
      </c>
      <c r="AA155">
        <v>127.7</v>
      </c>
      <c r="AB155">
        <v>143.69999999999999</v>
      </c>
      <c r="AC155">
        <v>127</v>
      </c>
      <c r="AD155">
        <v>132.6</v>
      </c>
    </row>
    <row r="156" spans="1:30" x14ac:dyDescent="0.25">
      <c r="A156" t="s">
        <v>33</v>
      </c>
      <c r="B156">
        <v>2017</v>
      </c>
      <c r="C156" t="s">
        <v>35</v>
      </c>
      <c r="D156">
        <v>132.80000000000001</v>
      </c>
      <c r="E156">
        <v>139.80000000000001</v>
      </c>
      <c r="F156">
        <v>129.30000000000001</v>
      </c>
      <c r="G156">
        <v>133.5</v>
      </c>
      <c r="H156">
        <v>114.3</v>
      </c>
      <c r="I156">
        <v>131.4</v>
      </c>
      <c r="J156">
        <v>120.2</v>
      </c>
      <c r="K156">
        <v>143.1</v>
      </c>
      <c r="L156">
        <v>119.5</v>
      </c>
      <c r="M156">
        <v>144</v>
      </c>
      <c r="N156">
        <v>123.4</v>
      </c>
      <c r="O156">
        <v>141.9</v>
      </c>
      <c r="P156">
        <v>132.1</v>
      </c>
      <c r="Q156">
        <v>122.5</v>
      </c>
      <c r="R156">
        <v>129.30000000000001</v>
      </c>
      <c r="S156">
        <v>130.5</v>
      </c>
      <c r="T156">
        <v>130.5</v>
      </c>
      <c r="U156">
        <v>125.3</v>
      </c>
      <c r="V156">
        <v>115.5</v>
      </c>
      <c r="W156">
        <v>132.4</v>
      </c>
      <c r="X156">
        <v>122.9</v>
      </c>
      <c r="Y156">
        <v>121.7</v>
      </c>
      <c r="Z156">
        <v>119.2</v>
      </c>
      <c r="AA156">
        <v>122.2</v>
      </c>
      <c r="AB156">
        <v>146.30000000000001</v>
      </c>
      <c r="AC156">
        <v>122.4</v>
      </c>
      <c r="AD156">
        <v>128.19999999999999</v>
      </c>
    </row>
    <row r="157" spans="1:30" x14ac:dyDescent="0.25">
      <c r="A157" t="s">
        <v>34</v>
      </c>
      <c r="B157">
        <v>2017</v>
      </c>
      <c r="C157" t="s">
        <v>35</v>
      </c>
      <c r="D157">
        <v>133.1</v>
      </c>
      <c r="E157">
        <v>138.80000000000001</v>
      </c>
      <c r="F157">
        <v>129.30000000000001</v>
      </c>
      <c r="G157">
        <v>135.80000000000001</v>
      </c>
      <c r="H157">
        <v>119.2</v>
      </c>
      <c r="I157">
        <v>135.30000000000001</v>
      </c>
      <c r="J157">
        <v>119.5</v>
      </c>
      <c r="K157">
        <v>152.19999999999999</v>
      </c>
      <c r="L157">
        <v>117.3</v>
      </c>
      <c r="M157">
        <v>138.69999999999999</v>
      </c>
      <c r="N157">
        <v>126.9</v>
      </c>
      <c r="O157">
        <v>143.19999999999999</v>
      </c>
      <c r="P157">
        <v>133</v>
      </c>
      <c r="Q157">
        <v>130.30000000000001</v>
      </c>
      <c r="R157">
        <v>135.9</v>
      </c>
      <c r="S157">
        <v>136.80000000000001</v>
      </c>
      <c r="T157">
        <v>130.5</v>
      </c>
      <c r="U157">
        <v>129.69999999999999</v>
      </c>
      <c r="V157">
        <v>117.4</v>
      </c>
      <c r="W157">
        <v>133.4</v>
      </c>
      <c r="X157">
        <v>127.4</v>
      </c>
      <c r="Y157">
        <v>122.6</v>
      </c>
      <c r="Z157">
        <v>127.9</v>
      </c>
      <c r="AA157">
        <v>124.6</v>
      </c>
      <c r="AB157">
        <v>144.4</v>
      </c>
      <c r="AC157">
        <v>124.8</v>
      </c>
      <c r="AD157">
        <v>130.6</v>
      </c>
    </row>
    <row r="158" spans="1:30" x14ac:dyDescent="0.25">
      <c r="A158" t="s">
        <v>30</v>
      </c>
      <c r="B158">
        <v>2017</v>
      </c>
      <c r="C158" t="s">
        <v>36</v>
      </c>
      <c r="D158">
        <v>133.6</v>
      </c>
      <c r="E158">
        <v>138.80000000000001</v>
      </c>
      <c r="F158">
        <v>128.80000000000001</v>
      </c>
      <c r="G158">
        <v>137.19999999999999</v>
      </c>
      <c r="H158">
        <v>121.6</v>
      </c>
      <c r="I158">
        <v>139.69999999999999</v>
      </c>
      <c r="J158">
        <v>119.7</v>
      </c>
      <c r="K158">
        <v>148</v>
      </c>
      <c r="L158">
        <v>116.9</v>
      </c>
      <c r="M158">
        <v>135.6</v>
      </c>
      <c r="N158">
        <v>129.80000000000001</v>
      </c>
      <c r="O158">
        <v>145.4</v>
      </c>
      <c r="P158">
        <v>133.4</v>
      </c>
      <c r="Q158">
        <v>136.19999999999999</v>
      </c>
      <c r="R158">
        <v>140.80000000000001</v>
      </c>
      <c r="S158">
        <v>141.6</v>
      </c>
      <c r="T158">
        <v>139.5</v>
      </c>
      <c r="U158">
        <v>134.1</v>
      </c>
      <c r="V158">
        <v>119.8</v>
      </c>
      <c r="W158">
        <v>135.19999999999999</v>
      </c>
      <c r="X158">
        <v>130.6</v>
      </c>
      <c r="Y158">
        <v>123.3</v>
      </c>
      <c r="Z158">
        <v>134.19999999999999</v>
      </c>
      <c r="AA158">
        <v>128.30000000000001</v>
      </c>
      <c r="AB158">
        <v>144.19999999999999</v>
      </c>
      <c r="AC158">
        <v>127.4</v>
      </c>
      <c r="AD158">
        <v>132.80000000000001</v>
      </c>
    </row>
    <row r="159" spans="1:30" x14ac:dyDescent="0.25">
      <c r="A159" t="s">
        <v>33</v>
      </c>
      <c r="B159">
        <v>2017</v>
      </c>
      <c r="C159" t="s">
        <v>36</v>
      </c>
      <c r="D159">
        <v>132.69999999999999</v>
      </c>
      <c r="E159">
        <v>139.4</v>
      </c>
      <c r="F159">
        <v>128.4</v>
      </c>
      <c r="G159">
        <v>134.9</v>
      </c>
      <c r="H159">
        <v>114</v>
      </c>
      <c r="I159">
        <v>136.80000000000001</v>
      </c>
      <c r="J159">
        <v>122.2</v>
      </c>
      <c r="K159">
        <v>135.80000000000001</v>
      </c>
      <c r="L159">
        <v>120.3</v>
      </c>
      <c r="M159">
        <v>142.6</v>
      </c>
      <c r="N159">
        <v>123.6</v>
      </c>
      <c r="O159">
        <v>142.4</v>
      </c>
      <c r="P159">
        <v>132.6</v>
      </c>
      <c r="Q159">
        <v>122.8</v>
      </c>
      <c r="R159">
        <v>129.6</v>
      </c>
      <c r="S159">
        <v>130.80000000000001</v>
      </c>
      <c r="T159">
        <v>131.1</v>
      </c>
      <c r="U159">
        <v>125.6</v>
      </c>
      <c r="V159">
        <v>115.6</v>
      </c>
      <c r="W159">
        <v>132.80000000000001</v>
      </c>
      <c r="X159">
        <v>123.1</v>
      </c>
      <c r="Y159">
        <v>121.7</v>
      </c>
      <c r="Z159">
        <v>120.8</v>
      </c>
      <c r="AA159">
        <v>122.4</v>
      </c>
      <c r="AB159">
        <v>147.5</v>
      </c>
      <c r="AC159">
        <v>122.6</v>
      </c>
      <c r="AD159">
        <v>128.69999999999999</v>
      </c>
    </row>
    <row r="160" spans="1:30" x14ac:dyDescent="0.25">
      <c r="A160" t="s">
        <v>34</v>
      </c>
      <c r="B160">
        <v>2017</v>
      </c>
      <c r="C160" t="s">
        <v>36</v>
      </c>
      <c r="D160">
        <v>133.30000000000001</v>
      </c>
      <c r="E160">
        <v>139</v>
      </c>
      <c r="F160">
        <v>128.6</v>
      </c>
      <c r="G160">
        <v>136.30000000000001</v>
      </c>
      <c r="H160">
        <v>118.8</v>
      </c>
      <c r="I160">
        <v>138.30000000000001</v>
      </c>
      <c r="J160">
        <v>120.5</v>
      </c>
      <c r="K160">
        <v>143.9</v>
      </c>
      <c r="L160">
        <v>118</v>
      </c>
      <c r="M160">
        <v>137.9</v>
      </c>
      <c r="N160">
        <v>127.2</v>
      </c>
      <c r="O160">
        <v>144</v>
      </c>
      <c r="P160">
        <v>133.1</v>
      </c>
      <c r="Q160">
        <v>130.6</v>
      </c>
      <c r="R160">
        <v>136.4</v>
      </c>
      <c r="S160">
        <v>137.30000000000001</v>
      </c>
      <c r="T160">
        <v>131.1</v>
      </c>
      <c r="U160">
        <v>130.1</v>
      </c>
      <c r="V160">
        <v>117.6</v>
      </c>
      <c r="W160">
        <v>133.80000000000001</v>
      </c>
      <c r="X160">
        <v>127.8</v>
      </c>
      <c r="Y160">
        <v>122.6</v>
      </c>
      <c r="Z160">
        <v>129.1</v>
      </c>
      <c r="AA160">
        <v>125</v>
      </c>
      <c r="AB160">
        <v>145.1</v>
      </c>
      <c r="AC160">
        <v>125.1</v>
      </c>
      <c r="AD160">
        <v>130.9</v>
      </c>
    </row>
    <row r="161" spans="1:30" x14ac:dyDescent="0.25">
      <c r="A161" t="s">
        <v>30</v>
      </c>
      <c r="B161">
        <v>2017</v>
      </c>
      <c r="C161" t="s">
        <v>37</v>
      </c>
      <c r="D161">
        <v>133.19999999999999</v>
      </c>
      <c r="E161">
        <v>138.69999999999999</v>
      </c>
      <c r="F161">
        <v>127.1</v>
      </c>
      <c r="G161">
        <v>137.69999999999999</v>
      </c>
      <c r="H161">
        <v>121.3</v>
      </c>
      <c r="I161">
        <v>141.80000000000001</v>
      </c>
      <c r="J161">
        <v>121.5</v>
      </c>
      <c r="K161">
        <v>144.5</v>
      </c>
      <c r="L161">
        <v>117.4</v>
      </c>
      <c r="M161">
        <v>134.1</v>
      </c>
      <c r="N161">
        <v>130</v>
      </c>
      <c r="O161">
        <v>145.5</v>
      </c>
      <c r="P161">
        <v>133.5</v>
      </c>
      <c r="Q161">
        <v>136.80000000000001</v>
      </c>
      <c r="R161">
        <v>141.6</v>
      </c>
      <c r="S161">
        <v>142.4</v>
      </c>
      <c r="T161">
        <v>139.5</v>
      </c>
      <c r="U161">
        <v>134.30000000000001</v>
      </c>
      <c r="V161">
        <v>119.2</v>
      </c>
      <c r="W161">
        <v>135.69999999999999</v>
      </c>
      <c r="X161">
        <v>131</v>
      </c>
      <c r="Y161">
        <v>123.7</v>
      </c>
      <c r="Z161">
        <v>135</v>
      </c>
      <c r="AA161">
        <v>128.30000000000001</v>
      </c>
      <c r="AB161">
        <v>144.4</v>
      </c>
      <c r="AC161">
        <v>127.5</v>
      </c>
      <c r="AD161">
        <v>132.9</v>
      </c>
    </row>
    <row r="162" spans="1:30" x14ac:dyDescent="0.25">
      <c r="A162" t="s">
        <v>33</v>
      </c>
      <c r="B162">
        <v>2017</v>
      </c>
      <c r="C162" t="s">
        <v>37</v>
      </c>
      <c r="D162">
        <v>132.69999999999999</v>
      </c>
      <c r="E162">
        <v>140.6</v>
      </c>
      <c r="F162">
        <v>124.5</v>
      </c>
      <c r="G162">
        <v>136.30000000000001</v>
      </c>
      <c r="H162">
        <v>113.5</v>
      </c>
      <c r="I162">
        <v>137.69999999999999</v>
      </c>
      <c r="J162">
        <v>127.1</v>
      </c>
      <c r="K162">
        <v>133.80000000000001</v>
      </c>
      <c r="L162">
        <v>120.8</v>
      </c>
      <c r="M162">
        <v>141.30000000000001</v>
      </c>
      <c r="N162">
        <v>123.8</v>
      </c>
      <c r="O162">
        <v>142.6</v>
      </c>
      <c r="P162">
        <v>133.4</v>
      </c>
      <c r="Q162">
        <v>123</v>
      </c>
      <c r="R162">
        <v>130</v>
      </c>
      <c r="S162">
        <v>131.19999999999999</v>
      </c>
      <c r="T162">
        <v>131.69999999999999</v>
      </c>
      <c r="U162">
        <v>126</v>
      </c>
      <c r="V162">
        <v>114.3</v>
      </c>
      <c r="W162">
        <v>133.6</v>
      </c>
      <c r="X162">
        <v>123.4</v>
      </c>
      <c r="Y162">
        <v>122.2</v>
      </c>
      <c r="Z162">
        <v>121.4</v>
      </c>
      <c r="AA162">
        <v>122.6</v>
      </c>
      <c r="AB162">
        <v>148</v>
      </c>
      <c r="AC162">
        <v>122.5</v>
      </c>
      <c r="AD162">
        <v>129.1</v>
      </c>
    </row>
    <row r="163" spans="1:30" x14ac:dyDescent="0.25">
      <c r="A163" t="s">
        <v>34</v>
      </c>
      <c r="B163">
        <v>2017</v>
      </c>
      <c r="C163" t="s">
        <v>37</v>
      </c>
      <c r="D163">
        <v>133</v>
      </c>
      <c r="E163">
        <v>139.4</v>
      </c>
      <c r="F163">
        <v>126.1</v>
      </c>
      <c r="G163">
        <v>137.19999999999999</v>
      </c>
      <c r="H163">
        <v>118.4</v>
      </c>
      <c r="I163">
        <v>139.9</v>
      </c>
      <c r="J163">
        <v>123.4</v>
      </c>
      <c r="K163">
        <v>140.9</v>
      </c>
      <c r="L163">
        <v>118.5</v>
      </c>
      <c r="M163">
        <v>136.5</v>
      </c>
      <c r="N163">
        <v>127.4</v>
      </c>
      <c r="O163">
        <v>144.19999999999999</v>
      </c>
      <c r="P163">
        <v>133.5</v>
      </c>
      <c r="Q163">
        <v>131.1</v>
      </c>
      <c r="R163">
        <v>137</v>
      </c>
      <c r="S163">
        <v>138</v>
      </c>
      <c r="T163">
        <v>131.69999999999999</v>
      </c>
      <c r="U163">
        <v>130.4</v>
      </c>
      <c r="V163">
        <v>116.6</v>
      </c>
      <c r="W163">
        <v>134.5</v>
      </c>
      <c r="X163">
        <v>128.1</v>
      </c>
      <c r="Y163">
        <v>123.1</v>
      </c>
      <c r="Z163">
        <v>129.80000000000001</v>
      </c>
      <c r="AA163">
        <v>125.1</v>
      </c>
      <c r="AB163">
        <v>145.4</v>
      </c>
      <c r="AC163">
        <v>125.1</v>
      </c>
      <c r="AD163">
        <v>131.1</v>
      </c>
    </row>
    <row r="164" spans="1:30" x14ac:dyDescent="0.25">
      <c r="A164" t="s">
        <v>30</v>
      </c>
      <c r="B164">
        <v>2017</v>
      </c>
      <c r="C164" t="s">
        <v>38</v>
      </c>
      <c r="D164">
        <v>133.1</v>
      </c>
      <c r="E164">
        <v>140.30000000000001</v>
      </c>
      <c r="F164">
        <v>126.8</v>
      </c>
      <c r="G164">
        <v>138.19999999999999</v>
      </c>
      <c r="H164">
        <v>120.8</v>
      </c>
      <c r="I164">
        <v>140.19999999999999</v>
      </c>
      <c r="J164">
        <v>123.8</v>
      </c>
      <c r="K164">
        <v>141.80000000000001</v>
      </c>
      <c r="L164">
        <v>118.6</v>
      </c>
      <c r="M164">
        <v>134</v>
      </c>
      <c r="N164">
        <v>130.30000000000001</v>
      </c>
      <c r="O164">
        <v>145.80000000000001</v>
      </c>
      <c r="P164">
        <v>133.80000000000001</v>
      </c>
      <c r="Q164">
        <v>137.30000000000001</v>
      </c>
      <c r="R164">
        <v>141.80000000000001</v>
      </c>
      <c r="S164">
        <v>142.5</v>
      </c>
      <c r="T164">
        <v>139.5</v>
      </c>
      <c r="U164">
        <v>134.9</v>
      </c>
      <c r="V164">
        <v>119.4</v>
      </c>
      <c r="W164">
        <v>136.30000000000001</v>
      </c>
      <c r="X164">
        <v>131.4</v>
      </c>
      <c r="Y164">
        <v>123.7</v>
      </c>
      <c r="Z164">
        <v>135</v>
      </c>
      <c r="AA164">
        <v>129.4</v>
      </c>
      <c r="AB164">
        <v>145.5</v>
      </c>
      <c r="AC164">
        <v>127.9</v>
      </c>
      <c r="AD164">
        <v>133.30000000000001</v>
      </c>
    </row>
    <row r="165" spans="1:30" x14ac:dyDescent="0.25">
      <c r="A165" t="s">
        <v>33</v>
      </c>
      <c r="B165">
        <v>2017</v>
      </c>
      <c r="C165" t="s">
        <v>38</v>
      </c>
      <c r="D165">
        <v>132.6</v>
      </c>
      <c r="E165">
        <v>144.1</v>
      </c>
      <c r="F165">
        <v>125.6</v>
      </c>
      <c r="G165">
        <v>136.80000000000001</v>
      </c>
      <c r="H165">
        <v>113.4</v>
      </c>
      <c r="I165">
        <v>135.19999999999999</v>
      </c>
      <c r="J165">
        <v>129.19999999999999</v>
      </c>
      <c r="K165">
        <v>131.5</v>
      </c>
      <c r="L165">
        <v>121</v>
      </c>
      <c r="M165">
        <v>139.9</v>
      </c>
      <c r="N165">
        <v>123.8</v>
      </c>
      <c r="O165">
        <v>142.9</v>
      </c>
      <c r="P165">
        <v>133.6</v>
      </c>
      <c r="Q165">
        <v>123.2</v>
      </c>
      <c r="R165">
        <v>130.19999999999999</v>
      </c>
      <c r="S165">
        <v>131.5</v>
      </c>
      <c r="T165">
        <v>132.1</v>
      </c>
      <c r="U165">
        <v>126.5</v>
      </c>
      <c r="V165">
        <v>114.3</v>
      </c>
      <c r="W165">
        <v>133.80000000000001</v>
      </c>
      <c r="X165">
        <v>123.6</v>
      </c>
      <c r="Y165">
        <v>122</v>
      </c>
      <c r="Z165">
        <v>120.1</v>
      </c>
      <c r="AA165">
        <v>122.8</v>
      </c>
      <c r="AB165">
        <v>148.30000000000001</v>
      </c>
      <c r="AC165">
        <v>122.6</v>
      </c>
      <c r="AD165">
        <v>129.30000000000001</v>
      </c>
    </row>
    <row r="166" spans="1:30" x14ac:dyDescent="0.25">
      <c r="A166" t="s">
        <v>34</v>
      </c>
      <c r="B166">
        <v>2017</v>
      </c>
      <c r="C166" t="s">
        <v>38</v>
      </c>
      <c r="D166">
        <v>132.9</v>
      </c>
      <c r="E166">
        <v>141.6</v>
      </c>
      <c r="F166">
        <v>126.3</v>
      </c>
      <c r="G166">
        <v>137.69999999999999</v>
      </c>
      <c r="H166">
        <v>118.1</v>
      </c>
      <c r="I166">
        <v>137.9</v>
      </c>
      <c r="J166">
        <v>125.6</v>
      </c>
      <c r="K166">
        <v>138.30000000000001</v>
      </c>
      <c r="L166">
        <v>119.4</v>
      </c>
      <c r="M166">
        <v>136</v>
      </c>
      <c r="N166">
        <v>127.6</v>
      </c>
      <c r="O166">
        <v>144.5</v>
      </c>
      <c r="P166">
        <v>133.69999999999999</v>
      </c>
      <c r="Q166">
        <v>131.4</v>
      </c>
      <c r="R166">
        <v>137.19999999999999</v>
      </c>
      <c r="S166">
        <v>138.19999999999999</v>
      </c>
      <c r="T166">
        <v>132.1</v>
      </c>
      <c r="U166">
        <v>130.9</v>
      </c>
      <c r="V166">
        <v>116.7</v>
      </c>
      <c r="W166">
        <v>134.80000000000001</v>
      </c>
      <c r="X166">
        <v>128.4</v>
      </c>
      <c r="Y166">
        <v>123</v>
      </c>
      <c r="Z166">
        <v>129.4</v>
      </c>
      <c r="AA166">
        <v>125.7</v>
      </c>
      <c r="AB166">
        <v>146.19999999999999</v>
      </c>
      <c r="AC166">
        <v>125.3</v>
      </c>
      <c r="AD166">
        <v>131.4</v>
      </c>
    </row>
    <row r="167" spans="1:30" x14ac:dyDescent="0.25">
      <c r="A167" t="s">
        <v>30</v>
      </c>
      <c r="B167">
        <v>2017</v>
      </c>
      <c r="C167" t="s">
        <v>39</v>
      </c>
      <c r="D167">
        <v>133.5</v>
      </c>
      <c r="E167">
        <v>143.69999999999999</v>
      </c>
      <c r="F167">
        <v>128</v>
      </c>
      <c r="G167">
        <v>138.6</v>
      </c>
      <c r="H167">
        <v>120.9</v>
      </c>
      <c r="I167">
        <v>140.9</v>
      </c>
      <c r="J167">
        <v>128.80000000000001</v>
      </c>
      <c r="K167">
        <v>140.19999999999999</v>
      </c>
      <c r="L167">
        <v>118.9</v>
      </c>
      <c r="M167">
        <v>133.5</v>
      </c>
      <c r="N167">
        <v>130.4</v>
      </c>
      <c r="O167">
        <v>146.5</v>
      </c>
      <c r="P167">
        <v>134.9</v>
      </c>
      <c r="Q167">
        <v>137.69999999999999</v>
      </c>
      <c r="R167">
        <v>142.30000000000001</v>
      </c>
      <c r="S167">
        <v>143.1</v>
      </c>
      <c r="T167">
        <v>139.5</v>
      </c>
      <c r="U167">
        <v>135.19999999999999</v>
      </c>
      <c r="V167">
        <v>119.4</v>
      </c>
      <c r="W167">
        <v>136.9</v>
      </c>
      <c r="X167">
        <v>131.30000000000001</v>
      </c>
      <c r="Y167">
        <v>124.1</v>
      </c>
      <c r="Z167">
        <v>134.80000000000001</v>
      </c>
      <c r="AA167">
        <v>129.80000000000001</v>
      </c>
      <c r="AB167">
        <v>145.80000000000001</v>
      </c>
      <c r="AC167">
        <v>128.1</v>
      </c>
      <c r="AD167">
        <v>133.9</v>
      </c>
    </row>
    <row r="168" spans="1:30" x14ac:dyDescent="0.25">
      <c r="A168" t="s">
        <v>33</v>
      </c>
      <c r="B168">
        <v>2017</v>
      </c>
      <c r="C168" t="s">
        <v>39</v>
      </c>
      <c r="D168">
        <v>132.9</v>
      </c>
      <c r="E168">
        <v>148.69999999999999</v>
      </c>
      <c r="F168">
        <v>128.30000000000001</v>
      </c>
      <c r="G168">
        <v>137.30000000000001</v>
      </c>
      <c r="H168">
        <v>113.5</v>
      </c>
      <c r="I168">
        <v>137.19999999999999</v>
      </c>
      <c r="J168">
        <v>142.19999999999999</v>
      </c>
      <c r="K168">
        <v>128.19999999999999</v>
      </c>
      <c r="L168">
        <v>120.9</v>
      </c>
      <c r="M168">
        <v>138.80000000000001</v>
      </c>
      <c r="N168">
        <v>124.2</v>
      </c>
      <c r="O168">
        <v>143.1</v>
      </c>
      <c r="P168">
        <v>135.69999999999999</v>
      </c>
      <c r="Q168">
        <v>123.2</v>
      </c>
      <c r="R168">
        <v>130.19999999999999</v>
      </c>
      <c r="S168">
        <v>131.5</v>
      </c>
      <c r="T168">
        <v>131.4</v>
      </c>
      <c r="U168">
        <v>126.8</v>
      </c>
      <c r="V168">
        <v>113.9</v>
      </c>
      <c r="W168">
        <v>134.30000000000001</v>
      </c>
      <c r="X168">
        <v>123.8</v>
      </c>
      <c r="Y168">
        <v>122.5</v>
      </c>
      <c r="Z168">
        <v>119</v>
      </c>
      <c r="AA168">
        <v>122.9</v>
      </c>
      <c r="AB168">
        <v>148.6</v>
      </c>
      <c r="AC168">
        <v>122.7</v>
      </c>
      <c r="AD168">
        <v>129.9</v>
      </c>
    </row>
    <row r="169" spans="1:30" x14ac:dyDescent="0.25">
      <c r="A169" t="s">
        <v>34</v>
      </c>
      <c r="B169">
        <v>2017</v>
      </c>
      <c r="C169" t="s">
        <v>39</v>
      </c>
      <c r="D169">
        <v>133.30000000000001</v>
      </c>
      <c r="E169">
        <v>145.5</v>
      </c>
      <c r="F169">
        <v>128.1</v>
      </c>
      <c r="G169">
        <v>138.1</v>
      </c>
      <c r="H169">
        <v>118.2</v>
      </c>
      <c r="I169">
        <v>139.19999999999999</v>
      </c>
      <c r="J169">
        <v>133.30000000000001</v>
      </c>
      <c r="K169">
        <v>136.19999999999999</v>
      </c>
      <c r="L169">
        <v>119.6</v>
      </c>
      <c r="M169">
        <v>135.30000000000001</v>
      </c>
      <c r="N169">
        <v>127.8</v>
      </c>
      <c r="O169">
        <v>144.9</v>
      </c>
      <c r="P169">
        <v>135.19999999999999</v>
      </c>
      <c r="Q169">
        <v>131.69999999999999</v>
      </c>
      <c r="R169">
        <v>137.5</v>
      </c>
      <c r="S169">
        <v>138.5</v>
      </c>
      <c r="T169">
        <v>131.4</v>
      </c>
      <c r="U169">
        <v>131.19999999999999</v>
      </c>
      <c r="V169">
        <v>116.5</v>
      </c>
      <c r="W169">
        <v>135.4</v>
      </c>
      <c r="X169">
        <v>128.5</v>
      </c>
      <c r="Y169">
        <v>123.4</v>
      </c>
      <c r="Z169">
        <v>128.80000000000001</v>
      </c>
      <c r="AA169">
        <v>125.9</v>
      </c>
      <c r="AB169">
        <v>146.5</v>
      </c>
      <c r="AC169">
        <v>125.5</v>
      </c>
      <c r="AD169">
        <v>132</v>
      </c>
    </row>
    <row r="170" spans="1:30" x14ac:dyDescent="0.25">
      <c r="A170" t="s">
        <v>30</v>
      </c>
      <c r="B170">
        <v>2017</v>
      </c>
      <c r="C170" t="s">
        <v>40</v>
      </c>
      <c r="D170">
        <v>134</v>
      </c>
      <c r="E170">
        <v>144.19999999999999</v>
      </c>
      <c r="F170">
        <v>129.80000000000001</v>
      </c>
      <c r="G170">
        <v>139</v>
      </c>
      <c r="H170">
        <v>120.9</v>
      </c>
      <c r="I170">
        <v>143.9</v>
      </c>
      <c r="J170">
        <v>151.5</v>
      </c>
      <c r="K170">
        <v>138.1</v>
      </c>
      <c r="L170">
        <v>120</v>
      </c>
      <c r="M170">
        <v>133.9</v>
      </c>
      <c r="N170">
        <v>131.4</v>
      </c>
      <c r="O170">
        <v>147.69999999999999</v>
      </c>
      <c r="P170">
        <v>138.5</v>
      </c>
      <c r="Q170">
        <v>138.1</v>
      </c>
      <c r="R170">
        <v>143.5</v>
      </c>
      <c r="S170">
        <v>144.30000000000001</v>
      </c>
      <c r="T170">
        <v>139.5</v>
      </c>
      <c r="U170">
        <v>136.1</v>
      </c>
      <c r="V170">
        <v>119.1</v>
      </c>
      <c r="W170">
        <v>138.6</v>
      </c>
      <c r="X170">
        <v>132.1</v>
      </c>
      <c r="Y170">
        <v>124.4</v>
      </c>
      <c r="Z170">
        <v>135.30000000000001</v>
      </c>
      <c r="AA170">
        <v>130.6</v>
      </c>
      <c r="AB170">
        <v>147.4</v>
      </c>
      <c r="AC170">
        <v>128.6</v>
      </c>
      <c r="AD170">
        <v>136.19999999999999</v>
      </c>
    </row>
    <row r="171" spans="1:30" x14ac:dyDescent="0.25">
      <c r="A171" t="s">
        <v>33</v>
      </c>
      <c r="B171">
        <v>2017</v>
      </c>
      <c r="C171" t="s">
        <v>40</v>
      </c>
      <c r="D171">
        <v>132.80000000000001</v>
      </c>
      <c r="E171">
        <v>148.4</v>
      </c>
      <c r="F171">
        <v>129.4</v>
      </c>
      <c r="G171">
        <v>137.69999999999999</v>
      </c>
      <c r="H171">
        <v>113.4</v>
      </c>
      <c r="I171">
        <v>139.4</v>
      </c>
      <c r="J171">
        <v>175.1</v>
      </c>
      <c r="K171">
        <v>124.7</v>
      </c>
      <c r="L171">
        <v>121.5</v>
      </c>
      <c r="M171">
        <v>137.80000000000001</v>
      </c>
      <c r="N171">
        <v>124.4</v>
      </c>
      <c r="O171">
        <v>143.69999999999999</v>
      </c>
      <c r="P171">
        <v>139.80000000000001</v>
      </c>
      <c r="Q171">
        <v>123.7</v>
      </c>
      <c r="R171">
        <v>130.4</v>
      </c>
      <c r="S171">
        <v>131.6</v>
      </c>
      <c r="T171">
        <v>132.6</v>
      </c>
      <c r="U171">
        <v>127.2</v>
      </c>
      <c r="V171">
        <v>113.2</v>
      </c>
      <c r="W171">
        <v>135.5</v>
      </c>
      <c r="X171">
        <v>125</v>
      </c>
      <c r="Y171">
        <v>122.4</v>
      </c>
      <c r="Z171">
        <v>119.7</v>
      </c>
      <c r="AA171">
        <v>123.5</v>
      </c>
      <c r="AB171">
        <v>150.5</v>
      </c>
      <c r="AC171">
        <v>123</v>
      </c>
      <c r="AD171">
        <v>131.80000000000001</v>
      </c>
    </row>
    <row r="172" spans="1:30" x14ac:dyDescent="0.25">
      <c r="A172" t="s">
        <v>34</v>
      </c>
      <c r="B172">
        <v>2017</v>
      </c>
      <c r="C172" t="s">
        <v>40</v>
      </c>
      <c r="D172">
        <v>133.6</v>
      </c>
      <c r="E172">
        <v>145.69999999999999</v>
      </c>
      <c r="F172">
        <v>129.6</v>
      </c>
      <c r="G172">
        <v>138.5</v>
      </c>
      <c r="H172">
        <v>118.1</v>
      </c>
      <c r="I172">
        <v>141.80000000000001</v>
      </c>
      <c r="J172">
        <v>159.5</v>
      </c>
      <c r="K172">
        <v>133.6</v>
      </c>
      <c r="L172">
        <v>120.5</v>
      </c>
      <c r="M172">
        <v>135.19999999999999</v>
      </c>
      <c r="N172">
        <v>128.5</v>
      </c>
      <c r="O172">
        <v>145.80000000000001</v>
      </c>
      <c r="P172">
        <v>139</v>
      </c>
      <c r="Q172">
        <v>132.1</v>
      </c>
      <c r="R172">
        <v>138.30000000000001</v>
      </c>
      <c r="S172">
        <v>139.30000000000001</v>
      </c>
      <c r="T172">
        <v>132.6</v>
      </c>
      <c r="U172">
        <v>131.9</v>
      </c>
      <c r="V172">
        <v>116</v>
      </c>
      <c r="W172">
        <v>136.80000000000001</v>
      </c>
      <c r="X172">
        <v>129.4</v>
      </c>
      <c r="Y172">
        <v>123.6</v>
      </c>
      <c r="Z172">
        <v>129.4</v>
      </c>
      <c r="AA172">
        <v>126.6</v>
      </c>
      <c r="AB172">
        <v>148.19999999999999</v>
      </c>
      <c r="AC172">
        <v>125.9</v>
      </c>
      <c r="AD172">
        <v>134.19999999999999</v>
      </c>
    </row>
    <row r="173" spans="1:30" x14ac:dyDescent="0.25">
      <c r="A173" t="s">
        <v>30</v>
      </c>
      <c r="B173">
        <v>2017</v>
      </c>
      <c r="C173" t="s">
        <v>41</v>
      </c>
      <c r="D173">
        <v>134.80000000000001</v>
      </c>
      <c r="E173">
        <v>143.1</v>
      </c>
      <c r="F173">
        <v>130</v>
      </c>
      <c r="G173">
        <v>139.4</v>
      </c>
      <c r="H173">
        <v>120.5</v>
      </c>
      <c r="I173">
        <v>148</v>
      </c>
      <c r="J173">
        <v>162.9</v>
      </c>
      <c r="K173">
        <v>137.4</v>
      </c>
      <c r="L173">
        <v>120.8</v>
      </c>
      <c r="M173">
        <v>134.69999999999999</v>
      </c>
      <c r="N173">
        <v>131.6</v>
      </c>
      <c r="O173">
        <v>148.69999999999999</v>
      </c>
      <c r="P173">
        <v>140.6</v>
      </c>
      <c r="Q173">
        <v>139.19999999999999</v>
      </c>
      <c r="R173">
        <v>144.5</v>
      </c>
      <c r="S173">
        <v>145.30000000000001</v>
      </c>
      <c r="T173">
        <v>139.5</v>
      </c>
      <c r="U173">
        <v>137.30000000000001</v>
      </c>
      <c r="V173">
        <v>120.3</v>
      </c>
      <c r="W173">
        <v>140.19999999999999</v>
      </c>
      <c r="X173">
        <v>133</v>
      </c>
      <c r="Y173">
        <v>125.4</v>
      </c>
      <c r="Z173">
        <v>136.4</v>
      </c>
      <c r="AA173">
        <v>131.5</v>
      </c>
      <c r="AB173">
        <v>149</v>
      </c>
      <c r="AC173">
        <v>129.69999999999999</v>
      </c>
      <c r="AD173">
        <v>137.80000000000001</v>
      </c>
    </row>
    <row r="174" spans="1:30" x14ac:dyDescent="0.25">
      <c r="A174" t="s">
        <v>33</v>
      </c>
      <c r="B174">
        <v>2017</v>
      </c>
      <c r="C174" t="s">
        <v>41</v>
      </c>
      <c r="D174">
        <v>133.19999999999999</v>
      </c>
      <c r="E174">
        <v>143.9</v>
      </c>
      <c r="F174">
        <v>128.30000000000001</v>
      </c>
      <c r="G174">
        <v>138.30000000000001</v>
      </c>
      <c r="H174">
        <v>114.1</v>
      </c>
      <c r="I174">
        <v>142.69999999999999</v>
      </c>
      <c r="J174">
        <v>179.8</v>
      </c>
      <c r="K174">
        <v>123.5</v>
      </c>
      <c r="L174">
        <v>122.1</v>
      </c>
      <c r="M174">
        <v>137.5</v>
      </c>
      <c r="N174">
        <v>124.6</v>
      </c>
      <c r="O174">
        <v>144.5</v>
      </c>
      <c r="P174">
        <v>140.5</v>
      </c>
      <c r="Q174">
        <v>124.3</v>
      </c>
      <c r="R174">
        <v>131.4</v>
      </c>
      <c r="S174">
        <v>132.69999999999999</v>
      </c>
      <c r="T174">
        <v>134.4</v>
      </c>
      <c r="U174">
        <v>127.7</v>
      </c>
      <c r="V174">
        <v>114.6</v>
      </c>
      <c r="W174">
        <v>135.69999999999999</v>
      </c>
      <c r="X174">
        <v>125.7</v>
      </c>
      <c r="Y174">
        <v>123.3</v>
      </c>
      <c r="Z174">
        <v>118.9</v>
      </c>
      <c r="AA174">
        <v>124.1</v>
      </c>
      <c r="AB174">
        <v>152.1</v>
      </c>
      <c r="AC174">
        <v>123.8</v>
      </c>
      <c r="AD174">
        <v>132.69999999999999</v>
      </c>
    </row>
    <row r="175" spans="1:30" x14ac:dyDescent="0.25">
      <c r="A175" t="s">
        <v>34</v>
      </c>
      <c r="B175">
        <v>2017</v>
      </c>
      <c r="C175" t="s">
        <v>41</v>
      </c>
      <c r="D175">
        <v>134.30000000000001</v>
      </c>
      <c r="E175">
        <v>143.4</v>
      </c>
      <c r="F175">
        <v>129.30000000000001</v>
      </c>
      <c r="G175">
        <v>139</v>
      </c>
      <c r="H175">
        <v>118.1</v>
      </c>
      <c r="I175">
        <v>145.5</v>
      </c>
      <c r="J175">
        <v>168.6</v>
      </c>
      <c r="K175">
        <v>132.69999999999999</v>
      </c>
      <c r="L175">
        <v>121.2</v>
      </c>
      <c r="M175">
        <v>135.6</v>
      </c>
      <c r="N175">
        <v>128.69999999999999</v>
      </c>
      <c r="O175">
        <v>146.80000000000001</v>
      </c>
      <c r="P175">
        <v>140.6</v>
      </c>
      <c r="Q175">
        <v>133</v>
      </c>
      <c r="R175">
        <v>139.30000000000001</v>
      </c>
      <c r="S175">
        <v>140.30000000000001</v>
      </c>
      <c r="T175">
        <v>134.4</v>
      </c>
      <c r="U175">
        <v>132.80000000000001</v>
      </c>
      <c r="V175">
        <v>117.3</v>
      </c>
      <c r="W175">
        <v>137.6</v>
      </c>
      <c r="X175">
        <v>130.19999999999999</v>
      </c>
      <c r="Y175">
        <v>124.5</v>
      </c>
      <c r="Z175">
        <v>129.80000000000001</v>
      </c>
      <c r="AA175">
        <v>127.3</v>
      </c>
      <c r="AB175">
        <v>149.80000000000001</v>
      </c>
      <c r="AC175">
        <v>126.8</v>
      </c>
      <c r="AD175">
        <v>135.4</v>
      </c>
    </row>
    <row r="176" spans="1:30" x14ac:dyDescent="0.25">
      <c r="A176" t="s">
        <v>30</v>
      </c>
      <c r="B176">
        <v>2017</v>
      </c>
      <c r="C176" t="s">
        <v>42</v>
      </c>
      <c r="D176">
        <v>135.19999999999999</v>
      </c>
      <c r="E176">
        <v>142</v>
      </c>
      <c r="F176">
        <v>130.5</v>
      </c>
      <c r="G176">
        <v>140.19999999999999</v>
      </c>
      <c r="H176">
        <v>120.7</v>
      </c>
      <c r="I176">
        <v>147.80000000000001</v>
      </c>
      <c r="J176">
        <v>154.5</v>
      </c>
      <c r="K176">
        <v>137.1</v>
      </c>
      <c r="L176">
        <v>121</v>
      </c>
      <c r="M176">
        <v>134.69999999999999</v>
      </c>
      <c r="N176">
        <v>131.69999999999999</v>
      </c>
      <c r="O176">
        <v>149.30000000000001</v>
      </c>
      <c r="P176">
        <v>139.6</v>
      </c>
      <c r="Q176">
        <v>139.69999999999999</v>
      </c>
      <c r="R176">
        <v>145.19999999999999</v>
      </c>
      <c r="S176">
        <v>146.1</v>
      </c>
      <c r="T176">
        <v>139.5</v>
      </c>
      <c r="U176">
        <v>137.9</v>
      </c>
      <c r="V176">
        <v>121.2</v>
      </c>
      <c r="W176">
        <v>139.6</v>
      </c>
      <c r="X176">
        <v>133.4</v>
      </c>
      <c r="Y176">
        <v>126.7</v>
      </c>
      <c r="Z176">
        <v>137.4</v>
      </c>
      <c r="AA176">
        <v>132.30000000000001</v>
      </c>
      <c r="AB176">
        <v>149.80000000000001</v>
      </c>
      <c r="AC176">
        <v>130.30000000000001</v>
      </c>
      <c r="AD176">
        <v>137.6</v>
      </c>
    </row>
    <row r="177" spans="1:30" x14ac:dyDescent="0.25">
      <c r="A177" t="s">
        <v>33</v>
      </c>
      <c r="B177">
        <v>2017</v>
      </c>
      <c r="C177" t="s">
        <v>42</v>
      </c>
      <c r="D177">
        <v>133.6</v>
      </c>
      <c r="E177">
        <v>143</v>
      </c>
      <c r="F177">
        <v>129.69999999999999</v>
      </c>
      <c r="G177">
        <v>138.69999999999999</v>
      </c>
      <c r="H177">
        <v>114.5</v>
      </c>
      <c r="I177">
        <v>137.5</v>
      </c>
      <c r="J177">
        <v>160.69999999999999</v>
      </c>
      <c r="K177">
        <v>124.5</v>
      </c>
      <c r="L177">
        <v>122.4</v>
      </c>
      <c r="M177">
        <v>137.30000000000001</v>
      </c>
      <c r="N177">
        <v>124.8</v>
      </c>
      <c r="O177">
        <v>145</v>
      </c>
      <c r="P177">
        <v>138</v>
      </c>
      <c r="Q177">
        <v>124.6</v>
      </c>
      <c r="R177">
        <v>132</v>
      </c>
      <c r="S177">
        <v>133.30000000000001</v>
      </c>
      <c r="T177">
        <v>135.69999999999999</v>
      </c>
      <c r="U177">
        <v>128.1</v>
      </c>
      <c r="V177">
        <v>115.7</v>
      </c>
      <c r="W177">
        <v>135.9</v>
      </c>
      <c r="X177">
        <v>126.1</v>
      </c>
      <c r="Y177">
        <v>124.4</v>
      </c>
      <c r="Z177">
        <v>120.6</v>
      </c>
      <c r="AA177">
        <v>124.5</v>
      </c>
      <c r="AB177">
        <v>153.6</v>
      </c>
      <c r="AC177">
        <v>124.5</v>
      </c>
      <c r="AD177">
        <v>132.4</v>
      </c>
    </row>
    <row r="178" spans="1:30" x14ac:dyDescent="0.25">
      <c r="A178" t="s">
        <v>34</v>
      </c>
      <c r="B178">
        <v>2017</v>
      </c>
      <c r="C178" t="s">
        <v>42</v>
      </c>
      <c r="D178">
        <v>134.69999999999999</v>
      </c>
      <c r="E178">
        <v>142.4</v>
      </c>
      <c r="F178">
        <v>130.19999999999999</v>
      </c>
      <c r="G178">
        <v>139.6</v>
      </c>
      <c r="H178">
        <v>118.4</v>
      </c>
      <c r="I178">
        <v>143</v>
      </c>
      <c r="J178">
        <v>156.6</v>
      </c>
      <c r="K178">
        <v>132.9</v>
      </c>
      <c r="L178">
        <v>121.5</v>
      </c>
      <c r="M178">
        <v>135.6</v>
      </c>
      <c r="N178">
        <v>128.80000000000001</v>
      </c>
      <c r="O178">
        <v>147.30000000000001</v>
      </c>
      <c r="P178">
        <v>139</v>
      </c>
      <c r="Q178">
        <v>133.4</v>
      </c>
      <c r="R178">
        <v>140</v>
      </c>
      <c r="S178">
        <v>141.1</v>
      </c>
      <c r="T178">
        <v>135.69999999999999</v>
      </c>
      <c r="U178">
        <v>133.30000000000001</v>
      </c>
      <c r="V178">
        <v>118.3</v>
      </c>
      <c r="W178">
        <v>137.4</v>
      </c>
      <c r="X178">
        <v>130.6</v>
      </c>
      <c r="Y178">
        <v>125.7</v>
      </c>
      <c r="Z178">
        <v>131</v>
      </c>
      <c r="AA178">
        <v>127.9</v>
      </c>
      <c r="AB178">
        <v>150.80000000000001</v>
      </c>
      <c r="AC178">
        <v>127.5</v>
      </c>
      <c r="AD178">
        <v>135.19999999999999</v>
      </c>
    </row>
    <row r="179" spans="1:30" x14ac:dyDescent="0.25">
      <c r="A179" t="s">
        <v>30</v>
      </c>
      <c r="B179">
        <v>2017</v>
      </c>
      <c r="C179" t="s">
        <v>43</v>
      </c>
      <c r="D179">
        <v>135.9</v>
      </c>
      <c r="E179">
        <v>141.9</v>
      </c>
      <c r="F179">
        <v>131</v>
      </c>
      <c r="G179">
        <v>141.5</v>
      </c>
      <c r="H179">
        <v>121.4</v>
      </c>
      <c r="I179">
        <v>146.69999999999999</v>
      </c>
      <c r="J179">
        <v>157.1</v>
      </c>
      <c r="K179">
        <v>136.4</v>
      </c>
      <c r="L179">
        <v>121.4</v>
      </c>
      <c r="M179">
        <v>135.6</v>
      </c>
      <c r="N179">
        <v>131.30000000000001</v>
      </c>
      <c r="O179">
        <v>150.30000000000001</v>
      </c>
      <c r="P179">
        <v>140.4</v>
      </c>
      <c r="Q179">
        <v>140.6</v>
      </c>
      <c r="R179">
        <v>146.19999999999999</v>
      </c>
      <c r="S179">
        <v>147.19999999999999</v>
      </c>
      <c r="T179">
        <v>139.5</v>
      </c>
      <c r="U179">
        <v>138.4</v>
      </c>
      <c r="V179">
        <v>121</v>
      </c>
      <c r="W179">
        <v>140.1</v>
      </c>
      <c r="X179">
        <v>134.19999999999999</v>
      </c>
      <c r="Y179">
        <v>127.4</v>
      </c>
      <c r="Z179">
        <v>138.1</v>
      </c>
      <c r="AA179">
        <v>133</v>
      </c>
      <c r="AB179">
        <v>150.5</v>
      </c>
      <c r="AC179">
        <v>130.69999999999999</v>
      </c>
      <c r="AD179">
        <v>138.30000000000001</v>
      </c>
    </row>
    <row r="180" spans="1:30" x14ac:dyDescent="0.25">
      <c r="A180" t="s">
        <v>33</v>
      </c>
      <c r="B180">
        <v>2017</v>
      </c>
      <c r="C180" t="s">
        <v>43</v>
      </c>
      <c r="D180">
        <v>133.9</v>
      </c>
      <c r="E180">
        <v>142.80000000000001</v>
      </c>
      <c r="F180">
        <v>131.4</v>
      </c>
      <c r="G180">
        <v>139.1</v>
      </c>
      <c r="H180">
        <v>114.9</v>
      </c>
      <c r="I180">
        <v>135.6</v>
      </c>
      <c r="J180">
        <v>173.2</v>
      </c>
      <c r="K180">
        <v>124.1</v>
      </c>
      <c r="L180">
        <v>122.6</v>
      </c>
      <c r="M180">
        <v>137.80000000000001</v>
      </c>
      <c r="N180">
        <v>125.1</v>
      </c>
      <c r="O180">
        <v>145.5</v>
      </c>
      <c r="P180">
        <v>139.69999999999999</v>
      </c>
      <c r="Q180">
        <v>124.9</v>
      </c>
      <c r="R180">
        <v>132.6</v>
      </c>
      <c r="S180">
        <v>134</v>
      </c>
      <c r="T180">
        <v>137.30000000000001</v>
      </c>
      <c r="U180">
        <v>128.30000000000001</v>
      </c>
      <c r="V180">
        <v>115</v>
      </c>
      <c r="W180">
        <v>136.30000000000001</v>
      </c>
      <c r="X180">
        <v>126.6</v>
      </c>
      <c r="Y180">
        <v>124.6</v>
      </c>
      <c r="Z180">
        <v>122.6</v>
      </c>
      <c r="AA180">
        <v>124.8</v>
      </c>
      <c r="AB180">
        <v>154.6</v>
      </c>
      <c r="AC180">
        <v>124.5</v>
      </c>
      <c r="AD180">
        <v>133.5</v>
      </c>
    </row>
    <row r="181" spans="1:30" x14ac:dyDescent="0.25">
      <c r="A181" t="s">
        <v>34</v>
      </c>
      <c r="B181">
        <v>2017</v>
      </c>
      <c r="C181" t="s">
        <v>43</v>
      </c>
      <c r="D181">
        <v>135.30000000000001</v>
      </c>
      <c r="E181">
        <v>142.19999999999999</v>
      </c>
      <c r="F181">
        <v>131.19999999999999</v>
      </c>
      <c r="G181">
        <v>140.6</v>
      </c>
      <c r="H181">
        <v>119</v>
      </c>
      <c r="I181">
        <v>141.5</v>
      </c>
      <c r="J181">
        <v>162.6</v>
      </c>
      <c r="K181">
        <v>132.30000000000001</v>
      </c>
      <c r="L181">
        <v>121.8</v>
      </c>
      <c r="M181">
        <v>136.30000000000001</v>
      </c>
      <c r="N181">
        <v>128.69999999999999</v>
      </c>
      <c r="O181">
        <v>148.1</v>
      </c>
      <c r="P181">
        <v>140.1</v>
      </c>
      <c r="Q181">
        <v>134.1</v>
      </c>
      <c r="R181">
        <v>140.80000000000001</v>
      </c>
      <c r="S181">
        <v>142</v>
      </c>
      <c r="T181">
        <v>137.30000000000001</v>
      </c>
      <c r="U181">
        <v>133.6</v>
      </c>
      <c r="V181">
        <v>117.8</v>
      </c>
      <c r="W181">
        <v>137.9</v>
      </c>
      <c r="X181">
        <v>131.30000000000001</v>
      </c>
      <c r="Y181">
        <v>126.2</v>
      </c>
      <c r="Z181">
        <v>132.19999999999999</v>
      </c>
      <c r="AA181">
        <v>128.4</v>
      </c>
      <c r="AB181">
        <v>151.6</v>
      </c>
      <c r="AC181">
        <v>127.7</v>
      </c>
      <c r="AD181">
        <v>136.1</v>
      </c>
    </row>
    <row r="182" spans="1:30" x14ac:dyDescent="0.25">
      <c r="A182" t="s">
        <v>30</v>
      </c>
      <c r="B182">
        <v>2017</v>
      </c>
      <c r="C182" t="s">
        <v>45</v>
      </c>
      <c r="D182">
        <v>136.30000000000001</v>
      </c>
      <c r="E182">
        <v>142.5</v>
      </c>
      <c r="F182">
        <v>140.5</v>
      </c>
      <c r="G182">
        <v>141.5</v>
      </c>
      <c r="H182">
        <v>121.6</v>
      </c>
      <c r="I182">
        <v>147.30000000000001</v>
      </c>
      <c r="J182">
        <v>168</v>
      </c>
      <c r="K182">
        <v>135.80000000000001</v>
      </c>
      <c r="L182">
        <v>122.5</v>
      </c>
      <c r="M182">
        <v>136</v>
      </c>
      <c r="N182">
        <v>131.9</v>
      </c>
      <c r="O182">
        <v>151.4</v>
      </c>
      <c r="P182">
        <v>142.4</v>
      </c>
      <c r="Q182">
        <v>141.5</v>
      </c>
      <c r="R182">
        <v>147.30000000000001</v>
      </c>
      <c r="S182">
        <v>148.19999999999999</v>
      </c>
      <c r="T182">
        <v>139.5</v>
      </c>
      <c r="U182">
        <v>139.4</v>
      </c>
      <c r="V182">
        <v>121.6</v>
      </c>
      <c r="W182">
        <v>141.5</v>
      </c>
      <c r="X182">
        <v>135.80000000000001</v>
      </c>
      <c r="Y182">
        <v>128.1</v>
      </c>
      <c r="Z182">
        <v>141.1</v>
      </c>
      <c r="AA182">
        <v>133.69999999999999</v>
      </c>
      <c r="AB182">
        <v>152.1</v>
      </c>
      <c r="AC182">
        <v>131.69999999999999</v>
      </c>
      <c r="AD182">
        <v>140</v>
      </c>
    </row>
    <row r="183" spans="1:30" x14ac:dyDescent="0.25">
      <c r="A183" t="s">
        <v>33</v>
      </c>
      <c r="B183">
        <v>2017</v>
      </c>
      <c r="C183" t="s">
        <v>45</v>
      </c>
      <c r="D183">
        <v>134.30000000000001</v>
      </c>
      <c r="E183">
        <v>142.1</v>
      </c>
      <c r="F183">
        <v>146.69999999999999</v>
      </c>
      <c r="G183">
        <v>139.5</v>
      </c>
      <c r="H183">
        <v>115.2</v>
      </c>
      <c r="I183">
        <v>136.4</v>
      </c>
      <c r="J183">
        <v>185.2</v>
      </c>
      <c r="K183">
        <v>122.2</v>
      </c>
      <c r="L183">
        <v>123.9</v>
      </c>
      <c r="M183">
        <v>138.30000000000001</v>
      </c>
      <c r="N183">
        <v>125.4</v>
      </c>
      <c r="O183">
        <v>146</v>
      </c>
      <c r="P183">
        <v>141.5</v>
      </c>
      <c r="Q183">
        <v>125.4</v>
      </c>
      <c r="R183">
        <v>133.5</v>
      </c>
      <c r="S183">
        <v>135</v>
      </c>
      <c r="T183">
        <v>138.6</v>
      </c>
      <c r="U183">
        <v>128.80000000000001</v>
      </c>
      <c r="V183">
        <v>115.3</v>
      </c>
      <c r="W183">
        <v>136.6</v>
      </c>
      <c r="X183">
        <v>127.4</v>
      </c>
      <c r="Y183">
        <v>124.9</v>
      </c>
      <c r="Z183">
        <v>125.7</v>
      </c>
      <c r="AA183">
        <v>125.1</v>
      </c>
      <c r="AB183">
        <v>156.19999999999999</v>
      </c>
      <c r="AC183">
        <v>124.9</v>
      </c>
      <c r="AD183">
        <v>134.80000000000001</v>
      </c>
    </row>
    <row r="184" spans="1:30" x14ac:dyDescent="0.25">
      <c r="A184" t="s">
        <v>34</v>
      </c>
      <c r="B184">
        <v>2017</v>
      </c>
      <c r="C184" t="s">
        <v>45</v>
      </c>
      <c r="D184">
        <v>135.69999999999999</v>
      </c>
      <c r="E184">
        <v>142.4</v>
      </c>
      <c r="F184">
        <v>142.9</v>
      </c>
      <c r="G184">
        <v>140.80000000000001</v>
      </c>
      <c r="H184">
        <v>119.2</v>
      </c>
      <c r="I184">
        <v>142.19999999999999</v>
      </c>
      <c r="J184">
        <v>173.8</v>
      </c>
      <c r="K184">
        <v>131.19999999999999</v>
      </c>
      <c r="L184">
        <v>123</v>
      </c>
      <c r="M184">
        <v>136.80000000000001</v>
      </c>
      <c r="N184">
        <v>129.19999999999999</v>
      </c>
      <c r="O184">
        <v>148.9</v>
      </c>
      <c r="P184">
        <v>142.1</v>
      </c>
      <c r="Q184">
        <v>134.80000000000001</v>
      </c>
      <c r="R184">
        <v>141.80000000000001</v>
      </c>
      <c r="S184">
        <v>143</v>
      </c>
      <c r="T184">
        <v>138.6</v>
      </c>
      <c r="U184">
        <v>134.4</v>
      </c>
      <c r="V184">
        <v>118.3</v>
      </c>
      <c r="W184">
        <v>138.6</v>
      </c>
      <c r="X184">
        <v>132.6</v>
      </c>
      <c r="Y184">
        <v>126.8</v>
      </c>
      <c r="Z184">
        <v>135.30000000000001</v>
      </c>
      <c r="AA184">
        <v>128.9</v>
      </c>
      <c r="AB184">
        <v>153.19999999999999</v>
      </c>
      <c r="AC184">
        <v>128.4</v>
      </c>
      <c r="AD184">
        <v>137.6</v>
      </c>
    </row>
    <row r="185" spans="1:30" x14ac:dyDescent="0.25">
      <c r="A185" t="s">
        <v>30</v>
      </c>
      <c r="B185">
        <v>2017</v>
      </c>
      <c r="C185" t="s">
        <v>46</v>
      </c>
      <c r="D185">
        <v>136.4</v>
      </c>
      <c r="E185">
        <v>143.69999999999999</v>
      </c>
      <c r="F185">
        <v>144.80000000000001</v>
      </c>
      <c r="G185">
        <v>141.9</v>
      </c>
      <c r="H185">
        <v>123.1</v>
      </c>
      <c r="I185">
        <v>147.19999999999999</v>
      </c>
      <c r="J185">
        <v>161</v>
      </c>
      <c r="K185">
        <v>133.80000000000001</v>
      </c>
      <c r="L185">
        <v>121.9</v>
      </c>
      <c r="M185">
        <v>135.80000000000001</v>
      </c>
      <c r="N185">
        <v>131.1</v>
      </c>
      <c r="O185">
        <v>151.4</v>
      </c>
      <c r="P185">
        <v>141.5</v>
      </c>
      <c r="Q185">
        <v>141.9</v>
      </c>
      <c r="R185">
        <v>147.19999999999999</v>
      </c>
      <c r="S185">
        <v>148</v>
      </c>
      <c r="T185">
        <v>139.5</v>
      </c>
      <c r="U185">
        <v>139.5</v>
      </c>
      <c r="V185">
        <v>122</v>
      </c>
      <c r="W185">
        <v>141.1</v>
      </c>
      <c r="X185">
        <v>136.1</v>
      </c>
      <c r="Y185">
        <v>127.8</v>
      </c>
      <c r="Z185">
        <v>142.6</v>
      </c>
      <c r="AA185">
        <v>133.4</v>
      </c>
      <c r="AB185">
        <v>153.19999999999999</v>
      </c>
      <c r="AC185">
        <v>131.9</v>
      </c>
      <c r="AD185">
        <v>139.80000000000001</v>
      </c>
    </row>
    <row r="186" spans="1:30" x14ac:dyDescent="0.25">
      <c r="A186" t="s">
        <v>33</v>
      </c>
      <c r="B186">
        <v>2017</v>
      </c>
      <c r="C186" t="s">
        <v>46</v>
      </c>
      <c r="D186">
        <v>134.4</v>
      </c>
      <c r="E186">
        <v>142.6</v>
      </c>
      <c r="F186">
        <v>145.9</v>
      </c>
      <c r="G186">
        <v>139.5</v>
      </c>
      <c r="H186">
        <v>115.9</v>
      </c>
      <c r="I186">
        <v>135</v>
      </c>
      <c r="J186">
        <v>163.19999999999999</v>
      </c>
      <c r="K186">
        <v>119.8</v>
      </c>
      <c r="L186">
        <v>120.7</v>
      </c>
      <c r="M186">
        <v>139.69999999999999</v>
      </c>
      <c r="N186">
        <v>125.7</v>
      </c>
      <c r="O186">
        <v>146.30000000000001</v>
      </c>
      <c r="P186">
        <v>138.80000000000001</v>
      </c>
      <c r="Q186">
        <v>125.6</v>
      </c>
      <c r="R186">
        <v>134</v>
      </c>
      <c r="S186">
        <v>135.6</v>
      </c>
      <c r="T186">
        <v>139.1</v>
      </c>
      <c r="U186">
        <v>129.30000000000001</v>
      </c>
      <c r="V186">
        <v>115.3</v>
      </c>
      <c r="W186">
        <v>136.69999999999999</v>
      </c>
      <c r="X186">
        <v>128.19999999999999</v>
      </c>
      <c r="Y186">
        <v>124.6</v>
      </c>
      <c r="Z186">
        <v>126.8</v>
      </c>
      <c r="AA186">
        <v>125.6</v>
      </c>
      <c r="AB186">
        <v>157</v>
      </c>
      <c r="AC186">
        <v>125.1</v>
      </c>
      <c r="AD186">
        <v>134.1</v>
      </c>
    </row>
    <row r="187" spans="1:30" x14ac:dyDescent="0.25">
      <c r="A187" t="s">
        <v>34</v>
      </c>
      <c r="B187">
        <v>2017</v>
      </c>
      <c r="C187" t="s">
        <v>46</v>
      </c>
      <c r="D187">
        <v>135.80000000000001</v>
      </c>
      <c r="E187">
        <v>143.30000000000001</v>
      </c>
      <c r="F187">
        <v>145.19999999999999</v>
      </c>
      <c r="G187">
        <v>141</v>
      </c>
      <c r="H187">
        <v>120.5</v>
      </c>
      <c r="I187">
        <v>141.5</v>
      </c>
      <c r="J187">
        <v>161.69999999999999</v>
      </c>
      <c r="K187">
        <v>129.1</v>
      </c>
      <c r="L187">
        <v>121.5</v>
      </c>
      <c r="M187">
        <v>137.1</v>
      </c>
      <c r="N187">
        <v>128.80000000000001</v>
      </c>
      <c r="O187">
        <v>149</v>
      </c>
      <c r="P187">
        <v>140.5</v>
      </c>
      <c r="Q187">
        <v>135.1</v>
      </c>
      <c r="R187">
        <v>142</v>
      </c>
      <c r="S187">
        <v>143.1</v>
      </c>
      <c r="T187">
        <v>139.1</v>
      </c>
      <c r="U187">
        <v>134.69999999999999</v>
      </c>
      <c r="V187">
        <v>118.5</v>
      </c>
      <c r="W187">
        <v>138.5</v>
      </c>
      <c r="X187">
        <v>133.1</v>
      </c>
      <c r="Y187">
        <v>126.5</v>
      </c>
      <c r="Z187">
        <v>136.6</v>
      </c>
      <c r="AA187">
        <v>129</v>
      </c>
      <c r="AB187">
        <v>154.19999999999999</v>
      </c>
      <c r="AC187">
        <v>128.6</v>
      </c>
      <c r="AD187">
        <v>137.19999999999999</v>
      </c>
    </row>
    <row r="188" spans="1:30" x14ac:dyDescent="0.25">
      <c r="A188" t="s">
        <v>30</v>
      </c>
      <c r="B188">
        <v>2018</v>
      </c>
      <c r="C188" t="s">
        <v>31</v>
      </c>
      <c r="D188">
        <v>136.6</v>
      </c>
      <c r="E188">
        <v>144.4</v>
      </c>
      <c r="F188">
        <v>143.80000000000001</v>
      </c>
      <c r="G188">
        <v>142</v>
      </c>
      <c r="H188">
        <v>123.2</v>
      </c>
      <c r="I188">
        <v>147.9</v>
      </c>
      <c r="J188">
        <v>152.1</v>
      </c>
      <c r="K188">
        <v>131.80000000000001</v>
      </c>
      <c r="L188">
        <v>119.5</v>
      </c>
      <c r="M188">
        <v>136</v>
      </c>
      <c r="N188">
        <v>131.19999999999999</v>
      </c>
      <c r="O188">
        <v>151.80000000000001</v>
      </c>
      <c r="P188">
        <v>140.4</v>
      </c>
      <c r="Q188">
        <v>142.30000000000001</v>
      </c>
      <c r="R188">
        <v>147.5</v>
      </c>
      <c r="S188">
        <v>148.30000000000001</v>
      </c>
      <c r="T188">
        <v>139.5</v>
      </c>
      <c r="U188">
        <v>139.80000000000001</v>
      </c>
      <c r="V188">
        <v>122.7</v>
      </c>
      <c r="W188">
        <v>141.6</v>
      </c>
      <c r="X188">
        <v>136</v>
      </c>
      <c r="Y188">
        <v>128.6</v>
      </c>
      <c r="Z188">
        <v>142.30000000000001</v>
      </c>
      <c r="AA188">
        <v>134.30000000000001</v>
      </c>
      <c r="AB188">
        <v>153.6</v>
      </c>
      <c r="AC188">
        <v>132.30000000000001</v>
      </c>
      <c r="AD188">
        <v>139.30000000000001</v>
      </c>
    </row>
    <row r="189" spans="1:30" x14ac:dyDescent="0.25">
      <c r="A189" t="s">
        <v>33</v>
      </c>
      <c r="B189">
        <v>2018</v>
      </c>
      <c r="C189" t="s">
        <v>31</v>
      </c>
      <c r="D189">
        <v>134.6</v>
      </c>
      <c r="E189">
        <v>143.69999999999999</v>
      </c>
      <c r="F189">
        <v>143.6</v>
      </c>
      <c r="G189">
        <v>139.6</v>
      </c>
      <c r="H189">
        <v>116.4</v>
      </c>
      <c r="I189">
        <v>133.80000000000001</v>
      </c>
      <c r="J189">
        <v>150.5</v>
      </c>
      <c r="K189">
        <v>118.4</v>
      </c>
      <c r="L189">
        <v>117.3</v>
      </c>
      <c r="M189">
        <v>140.5</v>
      </c>
      <c r="N189">
        <v>125.9</v>
      </c>
      <c r="O189">
        <v>146.80000000000001</v>
      </c>
      <c r="P189">
        <v>137.19999999999999</v>
      </c>
      <c r="Q189">
        <v>125.9</v>
      </c>
      <c r="R189">
        <v>134.4</v>
      </c>
      <c r="S189">
        <v>136</v>
      </c>
      <c r="T189">
        <v>140.4</v>
      </c>
      <c r="U189">
        <v>129.5</v>
      </c>
      <c r="V189">
        <v>116.3</v>
      </c>
      <c r="W189">
        <v>137.1</v>
      </c>
      <c r="X189">
        <v>129</v>
      </c>
      <c r="Y189">
        <v>125.5</v>
      </c>
      <c r="Z189">
        <v>127.3</v>
      </c>
      <c r="AA189">
        <v>126.2</v>
      </c>
      <c r="AB189">
        <v>157.69999999999999</v>
      </c>
      <c r="AC189">
        <v>125.8</v>
      </c>
      <c r="AD189">
        <v>134.1</v>
      </c>
    </row>
    <row r="190" spans="1:30" x14ac:dyDescent="0.25">
      <c r="A190" t="s">
        <v>34</v>
      </c>
      <c r="B190">
        <v>2018</v>
      </c>
      <c r="C190" t="s">
        <v>31</v>
      </c>
      <c r="D190">
        <v>136</v>
      </c>
      <c r="E190">
        <v>144.19999999999999</v>
      </c>
      <c r="F190">
        <v>143.69999999999999</v>
      </c>
      <c r="G190">
        <v>141.1</v>
      </c>
      <c r="H190">
        <v>120.7</v>
      </c>
      <c r="I190">
        <v>141.30000000000001</v>
      </c>
      <c r="J190">
        <v>151.6</v>
      </c>
      <c r="K190">
        <v>127.3</v>
      </c>
      <c r="L190">
        <v>118.8</v>
      </c>
      <c r="M190">
        <v>137.5</v>
      </c>
      <c r="N190">
        <v>129</v>
      </c>
      <c r="O190">
        <v>149.5</v>
      </c>
      <c r="P190">
        <v>139.19999999999999</v>
      </c>
      <c r="Q190">
        <v>135.5</v>
      </c>
      <c r="R190">
        <v>142.30000000000001</v>
      </c>
      <c r="S190">
        <v>143.5</v>
      </c>
      <c r="T190">
        <v>140.4</v>
      </c>
      <c r="U190">
        <v>134.9</v>
      </c>
      <c r="V190">
        <v>119.3</v>
      </c>
      <c r="W190">
        <v>139</v>
      </c>
      <c r="X190">
        <v>133.30000000000001</v>
      </c>
      <c r="Y190">
        <v>127.3</v>
      </c>
      <c r="Z190">
        <v>136.6</v>
      </c>
      <c r="AA190">
        <v>129.69999999999999</v>
      </c>
      <c r="AB190">
        <v>154.69999999999999</v>
      </c>
      <c r="AC190">
        <v>129.1</v>
      </c>
      <c r="AD190">
        <v>136.9</v>
      </c>
    </row>
    <row r="191" spans="1:30" x14ac:dyDescent="0.25">
      <c r="A191" t="s">
        <v>30</v>
      </c>
      <c r="B191">
        <v>2018</v>
      </c>
      <c r="C191" t="s">
        <v>35</v>
      </c>
      <c r="D191">
        <v>136.4</v>
      </c>
      <c r="E191">
        <v>143.69999999999999</v>
      </c>
      <c r="F191">
        <v>140.6</v>
      </c>
      <c r="G191">
        <v>141.5</v>
      </c>
      <c r="H191">
        <v>122.9</v>
      </c>
      <c r="I191">
        <v>149.4</v>
      </c>
      <c r="J191">
        <v>142.4</v>
      </c>
      <c r="K191">
        <v>130.19999999999999</v>
      </c>
      <c r="L191">
        <v>117.9</v>
      </c>
      <c r="M191">
        <v>135.6</v>
      </c>
      <c r="N191">
        <v>130.5</v>
      </c>
      <c r="O191">
        <v>151.69999999999999</v>
      </c>
      <c r="P191">
        <v>138.69999999999999</v>
      </c>
      <c r="Q191">
        <v>142.4</v>
      </c>
      <c r="R191">
        <v>147.80000000000001</v>
      </c>
      <c r="S191">
        <v>148.69999999999999</v>
      </c>
      <c r="T191">
        <v>139.5</v>
      </c>
      <c r="U191">
        <v>139.9</v>
      </c>
      <c r="V191">
        <v>123.3</v>
      </c>
      <c r="W191">
        <v>141.5</v>
      </c>
      <c r="X191">
        <v>136.19999999999999</v>
      </c>
      <c r="Y191">
        <v>128.80000000000001</v>
      </c>
      <c r="Z191">
        <v>142.4</v>
      </c>
      <c r="AA191">
        <v>134.30000000000001</v>
      </c>
      <c r="AB191">
        <v>153.30000000000001</v>
      </c>
      <c r="AC191">
        <v>132.5</v>
      </c>
      <c r="AD191">
        <v>138.5</v>
      </c>
    </row>
    <row r="192" spans="1:30" x14ac:dyDescent="0.25">
      <c r="A192" t="s">
        <v>33</v>
      </c>
      <c r="B192">
        <v>2018</v>
      </c>
      <c r="C192" t="s">
        <v>35</v>
      </c>
      <c r="D192">
        <v>134.80000000000001</v>
      </c>
      <c r="E192">
        <v>143</v>
      </c>
      <c r="F192">
        <v>139.9</v>
      </c>
      <c r="G192">
        <v>139.9</v>
      </c>
      <c r="H192">
        <v>116.2</v>
      </c>
      <c r="I192">
        <v>135.5</v>
      </c>
      <c r="J192">
        <v>136.9</v>
      </c>
      <c r="K192">
        <v>117</v>
      </c>
      <c r="L192">
        <v>115.4</v>
      </c>
      <c r="M192">
        <v>140.69999999999999</v>
      </c>
      <c r="N192">
        <v>125.9</v>
      </c>
      <c r="O192">
        <v>147.1</v>
      </c>
      <c r="P192">
        <v>135.6</v>
      </c>
      <c r="Q192">
        <v>126.1</v>
      </c>
      <c r="R192">
        <v>134.69999999999999</v>
      </c>
      <c r="S192">
        <v>136.30000000000001</v>
      </c>
      <c r="T192">
        <v>141.30000000000001</v>
      </c>
      <c r="U192">
        <v>129.9</v>
      </c>
      <c r="V192">
        <v>117.4</v>
      </c>
      <c r="W192">
        <v>137.19999999999999</v>
      </c>
      <c r="X192">
        <v>129.80000000000001</v>
      </c>
      <c r="Y192">
        <v>126.2</v>
      </c>
      <c r="Z192">
        <v>127.3</v>
      </c>
      <c r="AA192">
        <v>126.5</v>
      </c>
      <c r="AB192">
        <v>159.30000000000001</v>
      </c>
      <c r="AC192">
        <v>126.5</v>
      </c>
      <c r="AD192">
        <v>134</v>
      </c>
    </row>
    <row r="193" spans="1:30" x14ac:dyDescent="0.25">
      <c r="A193" t="s">
        <v>34</v>
      </c>
      <c r="B193">
        <v>2018</v>
      </c>
      <c r="C193" t="s">
        <v>35</v>
      </c>
      <c r="D193">
        <v>135.9</v>
      </c>
      <c r="E193">
        <v>143.5</v>
      </c>
      <c r="F193">
        <v>140.30000000000001</v>
      </c>
      <c r="G193">
        <v>140.9</v>
      </c>
      <c r="H193">
        <v>120.4</v>
      </c>
      <c r="I193">
        <v>142.9</v>
      </c>
      <c r="J193">
        <v>140.5</v>
      </c>
      <c r="K193">
        <v>125.8</v>
      </c>
      <c r="L193">
        <v>117.1</v>
      </c>
      <c r="M193">
        <v>137.30000000000001</v>
      </c>
      <c r="N193">
        <v>128.6</v>
      </c>
      <c r="O193">
        <v>149.6</v>
      </c>
      <c r="P193">
        <v>137.6</v>
      </c>
      <c r="Q193">
        <v>135.6</v>
      </c>
      <c r="R193">
        <v>142.6</v>
      </c>
      <c r="S193">
        <v>143.80000000000001</v>
      </c>
      <c r="T193">
        <v>141.30000000000001</v>
      </c>
      <c r="U193">
        <v>135.19999999999999</v>
      </c>
      <c r="V193">
        <v>120.2</v>
      </c>
      <c r="W193">
        <v>139</v>
      </c>
      <c r="X193">
        <v>133.80000000000001</v>
      </c>
      <c r="Y193">
        <v>127.7</v>
      </c>
      <c r="Z193">
        <v>136.69999999999999</v>
      </c>
      <c r="AA193">
        <v>129.9</v>
      </c>
      <c r="AB193">
        <v>154.9</v>
      </c>
      <c r="AC193">
        <v>129.6</v>
      </c>
      <c r="AD193">
        <v>136.4</v>
      </c>
    </row>
    <row r="194" spans="1:30" x14ac:dyDescent="0.25">
      <c r="A194" t="s">
        <v>30</v>
      </c>
      <c r="B194">
        <v>2018</v>
      </c>
      <c r="C194" t="s">
        <v>36</v>
      </c>
      <c r="D194">
        <v>136.80000000000001</v>
      </c>
      <c r="E194">
        <v>143.80000000000001</v>
      </c>
      <c r="F194">
        <v>140</v>
      </c>
      <c r="G194">
        <v>142</v>
      </c>
      <c r="H194">
        <v>123.2</v>
      </c>
      <c r="I194">
        <v>152.9</v>
      </c>
      <c r="J194">
        <v>138</v>
      </c>
      <c r="K194">
        <v>129.30000000000001</v>
      </c>
      <c r="L194">
        <v>117.1</v>
      </c>
      <c r="M194">
        <v>136.30000000000001</v>
      </c>
      <c r="N194">
        <v>131.19999999999999</v>
      </c>
      <c r="O194">
        <v>152.80000000000001</v>
      </c>
      <c r="P194">
        <v>138.6</v>
      </c>
      <c r="Q194">
        <v>143</v>
      </c>
      <c r="R194">
        <v>148.30000000000001</v>
      </c>
      <c r="S194">
        <v>149.19999999999999</v>
      </c>
      <c r="T194">
        <v>139.5</v>
      </c>
      <c r="U194">
        <v>139.9</v>
      </c>
      <c r="V194">
        <v>124.6</v>
      </c>
      <c r="W194">
        <v>142.69999999999999</v>
      </c>
      <c r="X194">
        <v>136.69999999999999</v>
      </c>
      <c r="Y194">
        <v>129.30000000000001</v>
      </c>
      <c r="Z194">
        <v>142.6</v>
      </c>
      <c r="AA194">
        <v>135.1</v>
      </c>
      <c r="AB194">
        <v>155.1</v>
      </c>
      <c r="AC194">
        <v>133.30000000000001</v>
      </c>
      <c r="AD194">
        <v>138.69999999999999</v>
      </c>
    </row>
    <row r="195" spans="1:30" x14ac:dyDescent="0.25">
      <c r="A195" t="s">
        <v>33</v>
      </c>
      <c r="B195">
        <v>2018</v>
      </c>
      <c r="C195" t="s">
        <v>36</v>
      </c>
      <c r="D195">
        <v>135</v>
      </c>
      <c r="E195">
        <v>143.1</v>
      </c>
      <c r="F195">
        <v>135.5</v>
      </c>
      <c r="G195">
        <v>139.9</v>
      </c>
      <c r="H195">
        <v>116.5</v>
      </c>
      <c r="I195">
        <v>138.5</v>
      </c>
      <c r="J195">
        <v>128</v>
      </c>
      <c r="K195">
        <v>115.5</v>
      </c>
      <c r="L195">
        <v>114.2</v>
      </c>
      <c r="M195">
        <v>140.69999999999999</v>
      </c>
      <c r="N195">
        <v>126.2</v>
      </c>
      <c r="O195">
        <v>147.6</v>
      </c>
      <c r="P195">
        <v>134.80000000000001</v>
      </c>
      <c r="Q195">
        <v>126.7</v>
      </c>
      <c r="R195">
        <v>135.19999999999999</v>
      </c>
      <c r="S195">
        <v>136.69999999999999</v>
      </c>
      <c r="T195">
        <v>142</v>
      </c>
      <c r="U195">
        <v>130.80000000000001</v>
      </c>
      <c r="V195">
        <v>117.8</v>
      </c>
      <c r="W195">
        <v>137.80000000000001</v>
      </c>
      <c r="X195">
        <v>130.5</v>
      </c>
      <c r="Y195">
        <v>126.7</v>
      </c>
      <c r="Z195">
        <v>126.4</v>
      </c>
      <c r="AA195">
        <v>126.8</v>
      </c>
      <c r="AB195">
        <v>159.69999999999999</v>
      </c>
      <c r="AC195">
        <v>127.1</v>
      </c>
      <c r="AD195">
        <v>134</v>
      </c>
    </row>
    <row r="196" spans="1:30" x14ac:dyDescent="0.25">
      <c r="A196" t="s">
        <v>34</v>
      </c>
      <c r="B196">
        <v>2018</v>
      </c>
      <c r="C196" t="s">
        <v>36</v>
      </c>
      <c r="D196">
        <v>136.19999999999999</v>
      </c>
      <c r="E196">
        <v>143.6</v>
      </c>
      <c r="F196">
        <v>138.30000000000001</v>
      </c>
      <c r="G196">
        <v>141.19999999999999</v>
      </c>
      <c r="H196">
        <v>120.7</v>
      </c>
      <c r="I196">
        <v>146.19999999999999</v>
      </c>
      <c r="J196">
        <v>134.6</v>
      </c>
      <c r="K196">
        <v>124.6</v>
      </c>
      <c r="L196">
        <v>116.1</v>
      </c>
      <c r="M196">
        <v>137.80000000000001</v>
      </c>
      <c r="N196">
        <v>129.1</v>
      </c>
      <c r="O196">
        <v>150.4</v>
      </c>
      <c r="P196">
        <v>137.19999999999999</v>
      </c>
      <c r="Q196">
        <v>136.19999999999999</v>
      </c>
      <c r="R196">
        <v>143.1</v>
      </c>
      <c r="S196">
        <v>144.30000000000001</v>
      </c>
      <c r="T196">
        <v>142</v>
      </c>
      <c r="U196">
        <v>135.6</v>
      </c>
      <c r="V196">
        <v>121</v>
      </c>
      <c r="W196">
        <v>139.80000000000001</v>
      </c>
      <c r="X196">
        <v>134.30000000000001</v>
      </c>
      <c r="Y196">
        <v>128.19999999999999</v>
      </c>
      <c r="Z196">
        <v>136.5</v>
      </c>
      <c r="AA196">
        <v>130.4</v>
      </c>
      <c r="AB196">
        <v>156.30000000000001</v>
      </c>
      <c r="AC196">
        <v>130.30000000000001</v>
      </c>
      <c r="AD196">
        <v>136.5</v>
      </c>
    </row>
    <row r="197" spans="1:30" x14ac:dyDescent="0.25">
      <c r="A197" t="s">
        <v>30</v>
      </c>
      <c r="B197">
        <v>2018</v>
      </c>
      <c r="C197" t="s">
        <v>37</v>
      </c>
      <c r="D197">
        <v>137.1</v>
      </c>
      <c r="E197">
        <v>144.5</v>
      </c>
      <c r="F197">
        <v>135.9</v>
      </c>
      <c r="G197">
        <v>142.4</v>
      </c>
      <c r="H197">
        <v>123.5</v>
      </c>
      <c r="I197">
        <v>156.4</v>
      </c>
      <c r="J197">
        <v>135.1</v>
      </c>
      <c r="K197">
        <v>128.4</v>
      </c>
      <c r="L197">
        <v>115.2</v>
      </c>
      <c r="M197">
        <v>137.19999999999999</v>
      </c>
      <c r="N197">
        <v>131.9</v>
      </c>
      <c r="O197">
        <v>153.80000000000001</v>
      </c>
      <c r="P197">
        <v>138.6</v>
      </c>
      <c r="Q197">
        <v>143.30000000000001</v>
      </c>
      <c r="R197">
        <v>149.1</v>
      </c>
      <c r="S197">
        <v>150.1</v>
      </c>
      <c r="T197">
        <v>139.5</v>
      </c>
      <c r="U197">
        <v>140.9</v>
      </c>
      <c r="V197">
        <v>125.3</v>
      </c>
      <c r="W197">
        <v>143.69999999999999</v>
      </c>
      <c r="X197">
        <v>137.6</v>
      </c>
      <c r="Y197">
        <v>130.4</v>
      </c>
      <c r="Z197">
        <v>143.80000000000001</v>
      </c>
      <c r="AA197">
        <v>136</v>
      </c>
      <c r="AB197">
        <v>156.1</v>
      </c>
      <c r="AC197">
        <v>134.19999999999999</v>
      </c>
      <c r="AD197">
        <v>139.1</v>
      </c>
    </row>
    <row r="198" spans="1:30" x14ac:dyDescent="0.25">
      <c r="A198" t="s">
        <v>33</v>
      </c>
      <c r="B198">
        <v>2018</v>
      </c>
      <c r="C198" t="s">
        <v>37</v>
      </c>
      <c r="D198">
        <v>135</v>
      </c>
      <c r="E198">
        <v>144.30000000000001</v>
      </c>
      <c r="F198">
        <v>130.80000000000001</v>
      </c>
      <c r="G198">
        <v>140.30000000000001</v>
      </c>
      <c r="H198">
        <v>116.6</v>
      </c>
      <c r="I198">
        <v>150.1</v>
      </c>
      <c r="J198">
        <v>127.6</v>
      </c>
      <c r="K198">
        <v>114</v>
      </c>
      <c r="L198">
        <v>110.6</v>
      </c>
      <c r="M198">
        <v>140.19999999999999</v>
      </c>
      <c r="N198">
        <v>126.5</v>
      </c>
      <c r="O198">
        <v>148.30000000000001</v>
      </c>
      <c r="P198">
        <v>135.69999999999999</v>
      </c>
      <c r="Q198">
        <v>127.4</v>
      </c>
      <c r="R198">
        <v>136.19999999999999</v>
      </c>
      <c r="S198">
        <v>137.80000000000001</v>
      </c>
      <c r="T198">
        <v>142.9</v>
      </c>
      <c r="U198">
        <v>131.80000000000001</v>
      </c>
      <c r="V198">
        <v>118.9</v>
      </c>
      <c r="W198">
        <v>139.69999999999999</v>
      </c>
      <c r="X198">
        <v>131.30000000000001</v>
      </c>
      <c r="Y198">
        <v>127.6</v>
      </c>
      <c r="Z198">
        <v>124.6</v>
      </c>
      <c r="AA198">
        <v>127.6</v>
      </c>
      <c r="AB198">
        <v>159.19999999999999</v>
      </c>
      <c r="AC198">
        <v>128.19999999999999</v>
      </c>
      <c r="AD198">
        <v>134.80000000000001</v>
      </c>
    </row>
    <row r="199" spans="1:30" x14ac:dyDescent="0.25">
      <c r="A199" t="s">
        <v>34</v>
      </c>
      <c r="B199">
        <v>2018</v>
      </c>
      <c r="C199" t="s">
        <v>37</v>
      </c>
      <c r="D199">
        <v>136.4</v>
      </c>
      <c r="E199">
        <v>144.4</v>
      </c>
      <c r="F199">
        <v>133.9</v>
      </c>
      <c r="G199">
        <v>141.6</v>
      </c>
      <c r="H199">
        <v>121</v>
      </c>
      <c r="I199">
        <v>153.5</v>
      </c>
      <c r="J199">
        <v>132.6</v>
      </c>
      <c r="K199">
        <v>123.5</v>
      </c>
      <c r="L199">
        <v>113.7</v>
      </c>
      <c r="M199">
        <v>138.19999999999999</v>
      </c>
      <c r="N199">
        <v>129.6</v>
      </c>
      <c r="O199">
        <v>151.19999999999999</v>
      </c>
      <c r="P199">
        <v>137.5</v>
      </c>
      <c r="Q199">
        <v>136.69999999999999</v>
      </c>
      <c r="R199">
        <v>144</v>
      </c>
      <c r="S199">
        <v>145.30000000000001</v>
      </c>
      <c r="T199">
        <v>142.9</v>
      </c>
      <c r="U199">
        <v>136.6</v>
      </c>
      <c r="V199">
        <v>121.9</v>
      </c>
      <c r="W199">
        <v>141.4</v>
      </c>
      <c r="X199">
        <v>135.19999999999999</v>
      </c>
      <c r="Y199">
        <v>129.19999999999999</v>
      </c>
      <c r="Z199">
        <v>136.5</v>
      </c>
      <c r="AA199">
        <v>131.30000000000001</v>
      </c>
      <c r="AB199">
        <v>156.9</v>
      </c>
      <c r="AC199">
        <v>131.30000000000001</v>
      </c>
      <c r="AD199">
        <v>137.1</v>
      </c>
    </row>
    <row r="200" spans="1:30" x14ac:dyDescent="0.25">
      <c r="A200" t="s">
        <v>30</v>
      </c>
      <c r="B200">
        <v>2018</v>
      </c>
      <c r="C200" t="s">
        <v>38</v>
      </c>
      <c r="D200">
        <v>137.4</v>
      </c>
      <c r="E200">
        <v>145.69999999999999</v>
      </c>
      <c r="F200">
        <v>135.5</v>
      </c>
      <c r="G200">
        <v>142.9</v>
      </c>
      <c r="H200">
        <v>123.6</v>
      </c>
      <c r="I200">
        <v>157.5</v>
      </c>
      <c r="J200">
        <v>137.80000000000001</v>
      </c>
      <c r="K200">
        <v>127.2</v>
      </c>
      <c r="L200">
        <v>111.8</v>
      </c>
      <c r="M200">
        <v>137.4</v>
      </c>
      <c r="N200">
        <v>132.19999999999999</v>
      </c>
      <c r="O200">
        <v>154.30000000000001</v>
      </c>
      <c r="P200">
        <v>139.1</v>
      </c>
      <c r="Q200">
        <v>144.1</v>
      </c>
      <c r="R200">
        <v>149.80000000000001</v>
      </c>
      <c r="S200">
        <v>150.80000000000001</v>
      </c>
      <c r="T200">
        <v>139.5</v>
      </c>
      <c r="U200">
        <v>141.80000000000001</v>
      </c>
      <c r="V200">
        <v>126.4</v>
      </c>
      <c r="W200">
        <v>144.4</v>
      </c>
      <c r="X200">
        <v>138.4</v>
      </c>
      <c r="Y200">
        <v>131.19999999999999</v>
      </c>
      <c r="Z200">
        <v>144.30000000000001</v>
      </c>
      <c r="AA200">
        <v>136.80000000000001</v>
      </c>
      <c r="AB200">
        <v>157</v>
      </c>
      <c r="AC200">
        <v>135.1</v>
      </c>
      <c r="AD200">
        <v>139.80000000000001</v>
      </c>
    </row>
    <row r="201" spans="1:30" x14ac:dyDescent="0.25">
      <c r="A201" t="s">
        <v>33</v>
      </c>
      <c r="B201">
        <v>2018</v>
      </c>
      <c r="C201" t="s">
        <v>38</v>
      </c>
      <c r="D201">
        <v>135</v>
      </c>
      <c r="E201">
        <v>148.19999999999999</v>
      </c>
      <c r="F201">
        <v>130.5</v>
      </c>
      <c r="G201">
        <v>140.69999999999999</v>
      </c>
      <c r="H201">
        <v>116.4</v>
      </c>
      <c r="I201">
        <v>151.30000000000001</v>
      </c>
      <c r="J201">
        <v>131.4</v>
      </c>
      <c r="K201">
        <v>112.8</v>
      </c>
      <c r="L201">
        <v>105.3</v>
      </c>
      <c r="M201">
        <v>139.6</v>
      </c>
      <c r="N201">
        <v>126.6</v>
      </c>
      <c r="O201">
        <v>148.69999999999999</v>
      </c>
      <c r="P201">
        <v>136.4</v>
      </c>
      <c r="Q201">
        <v>127.9</v>
      </c>
      <c r="R201">
        <v>137</v>
      </c>
      <c r="S201">
        <v>138.6</v>
      </c>
      <c r="T201">
        <v>143.19999999999999</v>
      </c>
      <c r="U201">
        <v>132.5</v>
      </c>
      <c r="V201">
        <v>119.8</v>
      </c>
      <c r="W201">
        <v>140.4</v>
      </c>
      <c r="X201">
        <v>132</v>
      </c>
      <c r="Y201">
        <v>128.1</v>
      </c>
      <c r="Z201">
        <v>124.7</v>
      </c>
      <c r="AA201">
        <v>128</v>
      </c>
      <c r="AB201">
        <v>160.30000000000001</v>
      </c>
      <c r="AC201">
        <v>128.9</v>
      </c>
      <c r="AD201">
        <v>135.4</v>
      </c>
    </row>
    <row r="202" spans="1:30" x14ac:dyDescent="0.25">
      <c r="A202" t="s">
        <v>34</v>
      </c>
      <c r="B202">
        <v>2018</v>
      </c>
      <c r="C202" t="s">
        <v>38</v>
      </c>
      <c r="D202">
        <v>136.6</v>
      </c>
      <c r="E202">
        <v>146.6</v>
      </c>
      <c r="F202">
        <v>133.6</v>
      </c>
      <c r="G202">
        <v>142.1</v>
      </c>
      <c r="H202">
        <v>121</v>
      </c>
      <c r="I202">
        <v>154.6</v>
      </c>
      <c r="J202">
        <v>135.6</v>
      </c>
      <c r="K202">
        <v>122.3</v>
      </c>
      <c r="L202">
        <v>109.6</v>
      </c>
      <c r="M202">
        <v>138.1</v>
      </c>
      <c r="N202">
        <v>129.9</v>
      </c>
      <c r="O202">
        <v>151.69999999999999</v>
      </c>
      <c r="P202">
        <v>138.1</v>
      </c>
      <c r="Q202">
        <v>137.4</v>
      </c>
      <c r="R202">
        <v>144.69999999999999</v>
      </c>
      <c r="S202">
        <v>146</v>
      </c>
      <c r="T202">
        <v>143.19999999999999</v>
      </c>
      <c r="U202">
        <v>137.4</v>
      </c>
      <c r="V202">
        <v>122.9</v>
      </c>
      <c r="W202">
        <v>142.1</v>
      </c>
      <c r="X202">
        <v>136</v>
      </c>
      <c r="Y202">
        <v>129.9</v>
      </c>
      <c r="Z202">
        <v>136.9</v>
      </c>
      <c r="AA202">
        <v>131.80000000000001</v>
      </c>
      <c r="AB202">
        <v>157.9</v>
      </c>
      <c r="AC202">
        <v>132.1</v>
      </c>
      <c r="AD202">
        <v>137.80000000000001</v>
      </c>
    </row>
    <row r="203" spans="1:30" x14ac:dyDescent="0.25">
      <c r="A203" t="s">
        <v>30</v>
      </c>
      <c r="B203">
        <v>2018</v>
      </c>
      <c r="C203" t="s">
        <v>39</v>
      </c>
      <c r="D203">
        <v>137.6</v>
      </c>
      <c r="E203">
        <v>148.1</v>
      </c>
      <c r="F203">
        <v>136.69999999999999</v>
      </c>
      <c r="G203">
        <v>143.19999999999999</v>
      </c>
      <c r="H203">
        <v>124</v>
      </c>
      <c r="I203">
        <v>154.1</v>
      </c>
      <c r="J203">
        <v>143.5</v>
      </c>
      <c r="K203">
        <v>126</v>
      </c>
      <c r="L203">
        <v>112.4</v>
      </c>
      <c r="M203">
        <v>137.6</v>
      </c>
      <c r="N203">
        <v>132.80000000000001</v>
      </c>
      <c r="O203">
        <v>154.30000000000001</v>
      </c>
      <c r="P203">
        <v>140</v>
      </c>
      <c r="Q203">
        <v>144.69999999999999</v>
      </c>
      <c r="R203">
        <v>150.30000000000001</v>
      </c>
      <c r="S203">
        <v>151.30000000000001</v>
      </c>
      <c r="T203">
        <v>139.5</v>
      </c>
      <c r="U203">
        <v>142.19999999999999</v>
      </c>
      <c r="V203">
        <v>127.4</v>
      </c>
      <c r="W203">
        <v>145.1</v>
      </c>
      <c r="X203">
        <v>138.4</v>
      </c>
      <c r="Y203">
        <v>131.4</v>
      </c>
      <c r="Z203">
        <v>145.1</v>
      </c>
      <c r="AA203">
        <v>137.80000000000001</v>
      </c>
      <c r="AB203">
        <v>157.30000000000001</v>
      </c>
      <c r="AC203">
        <v>135.6</v>
      </c>
      <c r="AD203">
        <v>140.5</v>
      </c>
    </row>
    <row r="204" spans="1:30" x14ac:dyDescent="0.25">
      <c r="A204" t="s">
        <v>33</v>
      </c>
      <c r="B204">
        <v>2018</v>
      </c>
      <c r="C204" t="s">
        <v>39</v>
      </c>
      <c r="D204">
        <v>135.30000000000001</v>
      </c>
      <c r="E204">
        <v>149.69999999999999</v>
      </c>
      <c r="F204">
        <v>133.9</v>
      </c>
      <c r="G204">
        <v>140.80000000000001</v>
      </c>
      <c r="H204">
        <v>116.6</v>
      </c>
      <c r="I204">
        <v>152.19999999999999</v>
      </c>
      <c r="J204">
        <v>144</v>
      </c>
      <c r="K204">
        <v>112.3</v>
      </c>
      <c r="L204">
        <v>108.4</v>
      </c>
      <c r="M204">
        <v>140</v>
      </c>
      <c r="N204">
        <v>126.7</v>
      </c>
      <c r="O204">
        <v>149</v>
      </c>
      <c r="P204">
        <v>138.4</v>
      </c>
      <c r="Q204">
        <v>128.69999999999999</v>
      </c>
      <c r="R204">
        <v>137.4</v>
      </c>
      <c r="S204">
        <v>138.9</v>
      </c>
      <c r="T204">
        <v>142.5</v>
      </c>
      <c r="U204">
        <v>133.1</v>
      </c>
      <c r="V204">
        <v>120.4</v>
      </c>
      <c r="W204">
        <v>141.19999999999999</v>
      </c>
      <c r="X204">
        <v>132.6</v>
      </c>
      <c r="Y204">
        <v>128.19999999999999</v>
      </c>
      <c r="Z204">
        <v>126.5</v>
      </c>
      <c r="AA204">
        <v>128.5</v>
      </c>
      <c r="AB204">
        <v>161</v>
      </c>
      <c r="AC204">
        <v>129.5</v>
      </c>
      <c r="AD204">
        <v>136.19999999999999</v>
      </c>
    </row>
    <row r="205" spans="1:30" x14ac:dyDescent="0.25">
      <c r="A205" t="s">
        <v>34</v>
      </c>
      <c r="B205">
        <v>2018</v>
      </c>
      <c r="C205" t="s">
        <v>39</v>
      </c>
      <c r="D205">
        <v>136.9</v>
      </c>
      <c r="E205">
        <v>148.69999999999999</v>
      </c>
      <c r="F205">
        <v>135.6</v>
      </c>
      <c r="G205">
        <v>142.30000000000001</v>
      </c>
      <c r="H205">
        <v>121.3</v>
      </c>
      <c r="I205">
        <v>153.19999999999999</v>
      </c>
      <c r="J205">
        <v>143.69999999999999</v>
      </c>
      <c r="K205">
        <v>121.4</v>
      </c>
      <c r="L205">
        <v>111.1</v>
      </c>
      <c r="M205">
        <v>138.4</v>
      </c>
      <c r="N205">
        <v>130.30000000000001</v>
      </c>
      <c r="O205">
        <v>151.80000000000001</v>
      </c>
      <c r="P205">
        <v>139.4</v>
      </c>
      <c r="Q205">
        <v>138.1</v>
      </c>
      <c r="R205">
        <v>145.19999999999999</v>
      </c>
      <c r="S205">
        <v>146.4</v>
      </c>
      <c r="T205">
        <v>142.5</v>
      </c>
      <c r="U205">
        <v>137.9</v>
      </c>
      <c r="V205">
        <v>123.7</v>
      </c>
      <c r="W205">
        <v>142.80000000000001</v>
      </c>
      <c r="X205">
        <v>136.19999999999999</v>
      </c>
      <c r="Y205">
        <v>130.1</v>
      </c>
      <c r="Z205">
        <v>138.1</v>
      </c>
      <c r="AA205">
        <v>132.6</v>
      </c>
      <c r="AB205">
        <v>158.30000000000001</v>
      </c>
      <c r="AC205">
        <v>132.6</v>
      </c>
      <c r="AD205">
        <v>138.5</v>
      </c>
    </row>
    <row r="206" spans="1:30" x14ac:dyDescent="0.25">
      <c r="A206" t="s">
        <v>30</v>
      </c>
      <c r="B206">
        <v>2018</v>
      </c>
      <c r="C206" t="s">
        <v>40</v>
      </c>
      <c r="D206">
        <v>138.4</v>
      </c>
      <c r="E206">
        <v>149.30000000000001</v>
      </c>
      <c r="F206">
        <v>139.30000000000001</v>
      </c>
      <c r="G206">
        <v>143.4</v>
      </c>
      <c r="H206">
        <v>124.1</v>
      </c>
      <c r="I206">
        <v>153.30000000000001</v>
      </c>
      <c r="J206">
        <v>154.19999999999999</v>
      </c>
      <c r="K206">
        <v>126.4</v>
      </c>
      <c r="L206">
        <v>114.3</v>
      </c>
      <c r="M206">
        <v>138.19999999999999</v>
      </c>
      <c r="N206">
        <v>132.80000000000001</v>
      </c>
      <c r="O206">
        <v>154.80000000000001</v>
      </c>
      <c r="P206">
        <v>142</v>
      </c>
      <c r="Q206">
        <v>145.1</v>
      </c>
      <c r="R206">
        <v>150.6</v>
      </c>
      <c r="S206">
        <v>151.5</v>
      </c>
      <c r="T206">
        <v>139.5</v>
      </c>
      <c r="U206">
        <v>143.1</v>
      </c>
      <c r="V206">
        <v>127.5</v>
      </c>
      <c r="W206">
        <v>145.80000000000001</v>
      </c>
      <c r="X206">
        <v>139</v>
      </c>
      <c r="Y206">
        <v>131.4</v>
      </c>
      <c r="Z206">
        <v>146.80000000000001</v>
      </c>
      <c r="AA206">
        <v>138.4</v>
      </c>
      <c r="AB206">
        <v>156.1</v>
      </c>
      <c r="AC206">
        <v>136</v>
      </c>
      <c r="AD206">
        <v>141.80000000000001</v>
      </c>
    </row>
    <row r="207" spans="1:30" x14ac:dyDescent="0.25">
      <c r="A207" t="s">
        <v>33</v>
      </c>
      <c r="B207">
        <v>2018</v>
      </c>
      <c r="C207" t="s">
        <v>40</v>
      </c>
      <c r="D207">
        <v>135.6</v>
      </c>
      <c r="E207">
        <v>148.6</v>
      </c>
      <c r="F207">
        <v>139.1</v>
      </c>
      <c r="G207">
        <v>141</v>
      </c>
      <c r="H207">
        <v>116.7</v>
      </c>
      <c r="I207">
        <v>149.69999999999999</v>
      </c>
      <c r="J207">
        <v>159.19999999999999</v>
      </c>
      <c r="K207">
        <v>112.6</v>
      </c>
      <c r="L207">
        <v>111.8</v>
      </c>
      <c r="M207">
        <v>140.30000000000001</v>
      </c>
      <c r="N207">
        <v>126.8</v>
      </c>
      <c r="O207">
        <v>149.4</v>
      </c>
      <c r="P207">
        <v>140.30000000000001</v>
      </c>
      <c r="Q207">
        <v>128.9</v>
      </c>
      <c r="R207">
        <v>137.9</v>
      </c>
      <c r="S207">
        <v>139.6</v>
      </c>
      <c r="T207">
        <v>143.6</v>
      </c>
      <c r="U207">
        <v>133.6</v>
      </c>
      <c r="V207">
        <v>120.1</v>
      </c>
      <c r="W207">
        <v>144</v>
      </c>
      <c r="X207">
        <v>133.6</v>
      </c>
      <c r="Y207">
        <v>128.19999999999999</v>
      </c>
      <c r="Z207">
        <v>128.1</v>
      </c>
      <c r="AA207">
        <v>129</v>
      </c>
      <c r="AB207">
        <v>161.4</v>
      </c>
      <c r="AC207">
        <v>130.19999999999999</v>
      </c>
      <c r="AD207">
        <v>137.5</v>
      </c>
    </row>
    <row r="208" spans="1:30" x14ac:dyDescent="0.25">
      <c r="A208" t="s">
        <v>34</v>
      </c>
      <c r="B208">
        <v>2018</v>
      </c>
      <c r="C208" t="s">
        <v>40</v>
      </c>
      <c r="D208">
        <v>137.5</v>
      </c>
      <c r="E208">
        <v>149.1</v>
      </c>
      <c r="F208">
        <v>139.19999999999999</v>
      </c>
      <c r="G208">
        <v>142.5</v>
      </c>
      <c r="H208">
        <v>121.4</v>
      </c>
      <c r="I208">
        <v>151.6</v>
      </c>
      <c r="J208">
        <v>155.9</v>
      </c>
      <c r="K208">
        <v>121.7</v>
      </c>
      <c r="L208">
        <v>113.5</v>
      </c>
      <c r="M208">
        <v>138.9</v>
      </c>
      <c r="N208">
        <v>130.30000000000001</v>
      </c>
      <c r="O208">
        <v>152.30000000000001</v>
      </c>
      <c r="P208">
        <v>141.4</v>
      </c>
      <c r="Q208">
        <v>138.4</v>
      </c>
      <c r="R208">
        <v>145.6</v>
      </c>
      <c r="S208">
        <v>146.80000000000001</v>
      </c>
      <c r="T208">
        <v>143.6</v>
      </c>
      <c r="U208">
        <v>138.6</v>
      </c>
      <c r="V208">
        <v>123.6</v>
      </c>
      <c r="W208">
        <v>144.69999999999999</v>
      </c>
      <c r="X208">
        <v>137</v>
      </c>
      <c r="Y208">
        <v>130.1</v>
      </c>
      <c r="Z208">
        <v>139.69999999999999</v>
      </c>
      <c r="AA208">
        <v>133.1</v>
      </c>
      <c r="AB208">
        <v>157.5</v>
      </c>
      <c r="AC208">
        <v>133.19999999999999</v>
      </c>
      <c r="AD208">
        <v>139.80000000000001</v>
      </c>
    </row>
    <row r="209" spans="1:30" x14ac:dyDescent="0.25">
      <c r="A209" t="s">
        <v>30</v>
      </c>
      <c r="B209">
        <v>2018</v>
      </c>
      <c r="C209" t="s">
        <v>41</v>
      </c>
      <c r="D209">
        <v>139.19999999999999</v>
      </c>
      <c r="E209">
        <v>148.80000000000001</v>
      </c>
      <c r="F209">
        <v>139.1</v>
      </c>
      <c r="G209">
        <v>143.5</v>
      </c>
      <c r="H209">
        <v>125</v>
      </c>
      <c r="I209">
        <v>154.4</v>
      </c>
      <c r="J209">
        <v>156.30000000000001</v>
      </c>
      <c r="K209">
        <v>126.8</v>
      </c>
      <c r="L209">
        <v>115.4</v>
      </c>
      <c r="M209">
        <v>138.6</v>
      </c>
      <c r="N209">
        <v>133.80000000000001</v>
      </c>
      <c r="O209">
        <v>155.19999999999999</v>
      </c>
      <c r="P209">
        <v>142.69999999999999</v>
      </c>
      <c r="Q209">
        <v>145.80000000000001</v>
      </c>
      <c r="R209">
        <v>151.30000000000001</v>
      </c>
      <c r="S209">
        <v>152.1</v>
      </c>
      <c r="T209">
        <v>139.5</v>
      </c>
      <c r="U209">
        <v>143.80000000000001</v>
      </c>
      <c r="V209">
        <v>128.30000000000001</v>
      </c>
      <c r="W209">
        <v>146.9</v>
      </c>
      <c r="X209">
        <v>139.4</v>
      </c>
      <c r="Y209">
        <v>131.30000000000001</v>
      </c>
      <c r="Z209">
        <v>147.69999999999999</v>
      </c>
      <c r="AA209">
        <v>138.6</v>
      </c>
      <c r="AB209">
        <v>156.4</v>
      </c>
      <c r="AC209">
        <v>136.6</v>
      </c>
      <c r="AD209">
        <v>142.5</v>
      </c>
    </row>
    <row r="210" spans="1:30" x14ac:dyDescent="0.25">
      <c r="A210" t="s">
        <v>33</v>
      </c>
      <c r="B210">
        <v>2018</v>
      </c>
      <c r="C210" t="s">
        <v>41</v>
      </c>
      <c r="D210">
        <v>136.5</v>
      </c>
      <c r="E210">
        <v>146.4</v>
      </c>
      <c r="F210">
        <v>136.6</v>
      </c>
      <c r="G210">
        <v>141.19999999999999</v>
      </c>
      <c r="H210">
        <v>117.4</v>
      </c>
      <c r="I210">
        <v>146.30000000000001</v>
      </c>
      <c r="J210">
        <v>157.30000000000001</v>
      </c>
      <c r="K210">
        <v>113.6</v>
      </c>
      <c r="L210">
        <v>113.3</v>
      </c>
      <c r="M210">
        <v>141.1</v>
      </c>
      <c r="N210">
        <v>127.4</v>
      </c>
      <c r="O210">
        <v>150.4</v>
      </c>
      <c r="P210">
        <v>140.1</v>
      </c>
      <c r="Q210">
        <v>129</v>
      </c>
      <c r="R210">
        <v>138.30000000000001</v>
      </c>
      <c r="S210">
        <v>140</v>
      </c>
      <c r="T210">
        <v>144.6</v>
      </c>
      <c r="U210">
        <v>134.4</v>
      </c>
      <c r="V210">
        <v>120.7</v>
      </c>
      <c r="W210">
        <v>145.30000000000001</v>
      </c>
      <c r="X210">
        <v>134.9</v>
      </c>
      <c r="Y210">
        <v>128.30000000000001</v>
      </c>
      <c r="Z210">
        <v>129.80000000000001</v>
      </c>
      <c r="AA210">
        <v>129.80000000000001</v>
      </c>
      <c r="AB210">
        <v>162.1</v>
      </c>
      <c r="AC210">
        <v>131</v>
      </c>
      <c r="AD210">
        <v>138</v>
      </c>
    </row>
    <row r="211" spans="1:30" x14ac:dyDescent="0.25">
      <c r="A211" t="s">
        <v>34</v>
      </c>
      <c r="B211">
        <v>2018</v>
      </c>
      <c r="C211" t="s">
        <v>41</v>
      </c>
      <c r="D211">
        <v>138.30000000000001</v>
      </c>
      <c r="E211">
        <v>148</v>
      </c>
      <c r="F211">
        <v>138.1</v>
      </c>
      <c r="G211">
        <v>142.6</v>
      </c>
      <c r="H211">
        <v>122.2</v>
      </c>
      <c r="I211">
        <v>150.6</v>
      </c>
      <c r="J211">
        <v>156.6</v>
      </c>
      <c r="K211">
        <v>122.4</v>
      </c>
      <c r="L211">
        <v>114.7</v>
      </c>
      <c r="M211">
        <v>139.4</v>
      </c>
      <c r="N211">
        <v>131.1</v>
      </c>
      <c r="O211">
        <v>153</v>
      </c>
      <c r="P211">
        <v>141.69999999999999</v>
      </c>
      <c r="Q211">
        <v>138.80000000000001</v>
      </c>
      <c r="R211">
        <v>146.1</v>
      </c>
      <c r="S211">
        <v>147.30000000000001</v>
      </c>
      <c r="T211">
        <v>144.6</v>
      </c>
      <c r="U211">
        <v>139.4</v>
      </c>
      <c r="V211">
        <v>124.3</v>
      </c>
      <c r="W211">
        <v>146</v>
      </c>
      <c r="X211">
        <v>137.69999999999999</v>
      </c>
      <c r="Y211">
        <v>130.1</v>
      </c>
      <c r="Z211">
        <v>140.9</v>
      </c>
      <c r="AA211">
        <v>133.6</v>
      </c>
      <c r="AB211">
        <v>157.9</v>
      </c>
      <c r="AC211">
        <v>133.9</v>
      </c>
      <c r="AD211">
        <v>140.4</v>
      </c>
    </row>
    <row r="212" spans="1:30" x14ac:dyDescent="0.25">
      <c r="A212" t="s">
        <v>30</v>
      </c>
      <c r="B212">
        <v>2018</v>
      </c>
      <c r="C212" t="s">
        <v>42</v>
      </c>
      <c r="D212">
        <v>139.4</v>
      </c>
      <c r="E212">
        <v>147.19999999999999</v>
      </c>
      <c r="F212">
        <v>136.6</v>
      </c>
      <c r="G212">
        <v>143.69999999999999</v>
      </c>
      <c r="H212">
        <v>124.6</v>
      </c>
      <c r="I212">
        <v>150.1</v>
      </c>
      <c r="J212">
        <v>149.4</v>
      </c>
      <c r="K212">
        <v>125.4</v>
      </c>
      <c r="L212">
        <v>114.4</v>
      </c>
      <c r="M212">
        <v>138.69999999999999</v>
      </c>
      <c r="N212">
        <v>133.1</v>
      </c>
      <c r="O212">
        <v>155.9</v>
      </c>
      <c r="P212">
        <v>141.30000000000001</v>
      </c>
      <c r="Q212">
        <v>146.1</v>
      </c>
      <c r="R212">
        <v>151.30000000000001</v>
      </c>
      <c r="S212">
        <v>152.1</v>
      </c>
      <c r="T212">
        <v>139.5</v>
      </c>
      <c r="U212">
        <v>144</v>
      </c>
      <c r="V212">
        <v>129.9</v>
      </c>
      <c r="W212">
        <v>147.6</v>
      </c>
      <c r="X212">
        <v>140</v>
      </c>
      <c r="Y212">
        <v>132</v>
      </c>
      <c r="Z212">
        <v>149</v>
      </c>
      <c r="AA212">
        <v>140</v>
      </c>
      <c r="AB212">
        <v>157.69999999999999</v>
      </c>
      <c r="AC212">
        <v>137.4</v>
      </c>
      <c r="AD212">
        <v>142.1</v>
      </c>
    </row>
    <row r="213" spans="1:30" x14ac:dyDescent="0.25">
      <c r="A213" t="s">
        <v>33</v>
      </c>
      <c r="B213">
        <v>2018</v>
      </c>
      <c r="C213" t="s">
        <v>42</v>
      </c>
      <c r="D213">
        <v>137</v>
      </c>
      <c r="E213">
        <v>143.1</v>
      </c>
      <c r="F213">
        <v>132.80000000000001</v>
      </c>
      <c r="G213">
        <v>141.5</v>
      </c>
      <c r="H213">
        <v>117.8</v>
      </c>
      <c r="I213">
        <v>140</v>
      </c>
      <c r="J213">
        <v>151.30000000000001</v>
      </c>
      <c r="K213">
        <v>113.5</v>
      </c>
      <c r="L213">
        <v>112.3</v>
      </c>
      <c r="M213">
        <v>141.19999999999999</v>
      </c>
      <c r="N213">
        <v>127.7</v>
      </c>
      <c r="O213">
        <v>151.30000000000001</v>
      </c>
      <c r="P213">
        <v>138.9</v>
      </c>
      <c r="Q213">
        <v>129.30000000000001</v>
      </c>
      <c r="R213">
        <v>139.1</v>
      </c>
      <c r="S213">
        <v>140.80000000000001</v>
      </c>
      <c r="T213">
        <v>145.30000000000001</v>
      </c>
      <c r="U213">
        <v>134.9</v>
      </c>
      <c r="V213">
        <v>122.5</v>
      </c>
      <c r="W213">
        <v>145.19999999999999</v>
      </c>
      <c r="X213">
        <v>135.69999999999999</v>
      </c>
      <c r="Y213">
        <v>129.30000000000001</v>
      </c>
      <c r="Z213">
        <v>131.19999999999999</v>
      </c>
      <c r="AA213">
        <v>130.19999999999999</v>
      </c>
      <c r="AB213">
        <v>163.30000000000001</v>
      </c>
      <c r="AC213">
        <v>131.9</v>
      </c>
      <c r="AD213">
        <v>138.1</v>
      </c>
    </row>
    <row r="214" spans="1:30" x14ac:dyDescent="0.25">
      <c r="A214" t="s">
        <v>34</v>
      </c>
      <c r="B214">
        <v>2018</v>
      </c>
      <c r="C214" t="s">
        <v>42</v>
      </c>
      <c r="D214">
        <v>138.6</v>
      </c>
      <c r="E214">
        <v>145.80000000000001</v>
      </c>
      <c r="F214">
        <v>135.1</v>
      </c>
      <c r="G214">
        <v>142.9</v>
      </c>
      <c r="H214">
        <v>122.1</v>
      </c>
      <c r="I214">
        <v>145.4</v>
      </c>
      <c r="J214">
        <v>150</v>
      </c>
      <c r="K214">
        <v>121.4</v>
      </c>
      <c r="L214">
        <v>113.7</v>
      </c>
      <c r="M214">
        <v>139.5</v>
      </c>
      <c r="N214">
        <v>130.80000000000001</v>
      </c>
      <c r="O214">
        <v>153.80000000000001</v>
      </c>
      <c r="P214">
        <v>140.4</v>
      </c>
      <c r="Q214">
        <v>139.1</v>
      </c>
      <c r="R214">
        <v>146.5</v>
      </c>
      <c r="S214">
        <v>147.69999999999999</v>
      </c>
      <c r="T214">
        <v>145.30000000000001</v>
      </c>
      <c r="U214">
        <v>139.69999999999999</v>
      </c>
      <c r="V214">
        <v>126</v>
      </c>
      <c r="W214">
        <v>146.19999999999999</v>
      </c>
      <c r="X214">
        <v>138.4</v>
      </c>
      <c r="Y214">
        <v>130.9</v>
      </c>
      <c r="Z214">
        <v>142.30000000000001</v>
      </c>
      <c r="AA214">
        <v>134.5</v>
      </c>
      <c r="AB214">
        <v>159.19999999999999</v>
      </c>
      <c r="AC214">
        <v>134.69999999999999</v>
      </c>
      <c r="AD214">
        <v>140.19999999999999</v>
      </c>
    </row>
    <row r="215" spans="1:30" x14ac:dyDescent="0.25">
      <c r="A215" t="s">
        <v>30</v>
      </c>
      <c r="B215">
        <v>2018</v>
      </c>
      <c r="C215" t="s">
        <v>43</v>
      </c>
      <c r="D215">
        <v>139.30000000000001</v>
      </c>
      <c r="E215">
        <v>147.6</v>
      </c>
      <c r="F215">
        <v>134.6</v>
      </c>
      <c r="G215">
        <v>141.9</v>
      </c>
      <c r="H215">
        <v>123.5</v>
      </c>
      <c r="I215">
        <v>144.5</v>
      </c>
      <c r="J215">
        <v>147.6</v>
      </c>
      <c r="K215">
        <v>121.4</v>
      </c>
      <c r="L215">
        <v>112.3</v>
      </c>
      <c r="M215">
        <v>139.5</v>
      </c>
      <c r="N215">
        <v>134.6</v>
      </c>
      <c r="O215">
        <v>155.19999999999999</v>
      </c>
      <c r="P215">
        <v>140.19999999999999</v>
      </c>
      <c r="Q215">
        <v>144.5</v>
      </c>
      <c r="R215">
        <v>149.80000000000001</v>
      </c>
      <c r="S215">
        <v>150.69999999999999</v>
      </c>
      <c r="T215">
        <v>139.5</v>
      </c>
      <c r="U215">
        <v>147.5</v>
      </c>
      <c r="V215">
        <v>130.80000000000001</v>
      </c>
      <c r="W215">
        <v>148</v>
      </c>
      <c r="X215">
        <v>144.80000000000001</v>
      </c>
      <c r="Y215">
        <v>134.4</v>
      </c>
      <c r="Z215">
        <v>149.69999999999999</v>
      </c>
      <c r="AA215">
        <v>140.1</v>
      </c>
      <c r="AB215">
        <v>159.6</v>
      </c>
      <c r="AC215">
        <v>139.80000000000001</v>
      </c>
      <c r="AD215">
        <v>142.19999999999999</v>
      </c>
    </row>
    <row r="216" spans="1:30" x14ac:dyDescent="0.25">
      <c r="A216" t="s">
        <v>33</v>
      </c>
      <c r="B216">
        <v>2018</v>
      </c>
      <c r="C216" t="s">
        <v>43</v>
      </c>
      <c r="D216">
        <v>137.6</v>
      </c>
      <c r="E216">
        <v>144.9</v>
      </c>
      <c r="F216">
        <v>133.5</v>
      </c>
      <c r="G216">
        <v>141.5</v>
      </c>
      <c r="H216">
        <v>118</v>
      </c>
      <c r="I216">
        <v>139.5</v>
      </c>
      <c r="J216">
        <v>153</v>
      </c>
      <c r="K216">
        <v>113.2</v>
      </c>
      <c r="L216">
        <v>112.8</v>
      </c>
      <c r="M216">
        <v>141.1</v>
      </c>
      <c r="N216">
        <v>127.6</v>
      </c>
      <c r="O216">
        <v>152</v>
      </c>
      <c r="P216">
        <v>139.4</v>
      </c>
      <c r="Q216">
        <v>129.80000000000001</v>
      </c>
      <c r="R216">
        <v>139.69999999999999</v>
      </c>
      <c r="S216">
        <v>141.5</v>
      </c>
      <c r="T216">
        <v>146.30000000000001</v>
      </c>
      <c r="U216">
        <v>135.1</v>
      </c>
      <c r="V216">
        <v>123.3</v>
      </c>
      <c r="W216">
        <v>145.5</v>
      </c>
      <c r="X216">
        <v>136.19999999999999</v>
      </c>
      <c r="Y216">
        <v>130.4</v>
      </c>
      <c r="Z216">
        <v>133.4</v>
      </c>
      <c r="AA216">
        <v>130.69999999999999</v>
      </c>
      <c r="AB216">
        <v>164</v>
      </c>
      <c r="AC216">
        <v>132.5</v>
      </c>
      <c r="AD216">
        <v>138.9</v>
      </c>
    </row>
    <row r="217" spans="1:30" x14ac:dyDescent="0.25">
      <c r="A217" t="s">
        <v>34</v>
      </c>
      <c r="B217">
        <v>2018</v>
      </c>
      <c r="C217" t="s">
        <v>43</v>
      </c>
      <c r="D217">
        <v>137.4</v>
      </c>
      <c r="E217">
        <v>149.5</v>
      </c>
      <c r="F217">
        <v>137.30000000000001</v>
      </c>
      <c r="G217">
        <v>141.9</v>
      </c>
      <c r="H217">
        <v>121.1</v>
      </c>
      <c r="I217">
        <v>142.5</v>
      </c>
      <c r="J217">
        <v>146.69999999999999</v>
      </c>
      <c r="K217">
        <v>119.1</v>
      </c>
      <c r="L217">
        <v>111.9</v>
      </c>
      <c r="M217">
        <v>141</v>
      </c>
      <c r="N217">
        <v>133.6</v>
      </c>
      <c r="O217">
        <v>154.5</v>
      </c>
      <c r="P217">
        <v>139.69999999999999</v>
      </c>
      <c r="Q217">
        <v>139.19999999999999</v>
      </c>
      <c r="R217">
        <v>146.80000000000001</v>
      </c>
      <c r="S217">
        <v>148</v>
      </c>
      <c r="T217">
        <v>146.9</v>
      </c>
      <c r="U217">
        <v>142.19999999999999</v>
      </c>
      <c r="V217">
        <v>125.5</v>
      </c>
      <c r="W217">
        <v>147.80000000000001</v>
      </c>
      <c r="X217">
        <v>142.1</v>
      </c>
      <c r="Y217">
        <v>132</v>
      </c>
      <c r="Z217">
        <v>145.30000000000001</v>
      </c>
      <c r="AA217">
        <v>136.5</v>
      </c>
      <c r="AB217">
        <v>162.6</v>
      </c>
      <c r="AC217">
        <v>136.30000000000001</v>
      </c>
      <c r="AD217">
        <v>140.80000000000001</v>
      </c>
    </row>
    <row r="218" spans="1:30" x14ac:dyDescent="0.25">
      <c r="A218" t="s">
        <v>30</v>
      </c>
      <c r="B218">
        <v>2018</v>
      </c>
      <c r="C218" t="s">
        <v>45</v>
      </c>
      <c r="D218">
        <v>137.1</v>
      </c>
      <c r="E218">
        <v>150.80000000000001</v>
      </c>
      <c r="F218">
        <v>136.69999999999999</v>
      </c>
      <c r="G218">
        <v>141.9</v>
      </c>
      <c r="H218">
        <v>122.8</v>
      </c>
      <c r="I218">
        <v>143.9</v>
      </c>
      <c r="J218">
        <v>147.5</v>
      </c>
      <c r="K218">
        <v>121</v>
      </c>
      <c r="L218">
        <v>111.6</v>
      </c>
      <c r="M218">
        <v>140.6</v>
      </c>
      <c r="N218">
        <v>137.5</v>
      </c>
      <c r="O218">
        <v>156.1</v>
      </c>
      <c r="P218">
        <v>140</v>
      </c>
      <c r="Q218">
        <v>145.5</v>
      </c>
      <c r="R218">
        <v>150.80000000000001</v>
      </c>
      <c r="S218">
        <v>151.69999999999999</v>
      </c>
      <c r="T218">
        <v>139.5</v>
      </c>
      <c r="U218">
        <v>148</v>
      </c>
      <c r="V218">
        <v>130.30000000000001</v>
      </c>
      <c r="W218">
        <v>150.19999999999999</v>
      </c>
      <c r="X218">
        <v>145.4</v>
      </c>
      <c r="Y218">
        <v>133.1</v>
      </c>
      <c r="Z218">
        <v>150.30000000000001</v>
      </c>
      <c r="AA218">
        <v>143.1</v>
      </c>
      <c r="AB218">
        <v>161.9</v>
      </c>
      <c r="AC218">
        <v>140.1</v>
      </c>
      <c r="AD218">
        <v>142.4</v>
      </c>
    </row>
    <row r="219" spans="1:30" x14ac:dyDescent="0.25">
      <c r="A219" t="s">
        <v>33</v>
      </c>
      <c r="B219">
        <v>2018</v>
      </c>
      <c r="C219" t="s">
        <v>45</v>
      </c>
      <c r="D219">
        <v>138.1</v>
      </c>
      <c r="E219">
        <v>146.30000000000001</v>
      </c>
      <c r="F219">
        <v>137.80000000000001</v>
      </c>
      <c r="G219">
        <v>141.6</v>
      </c>
      <c r="H219">
        <v>118.1</v>
      </c>
      <c r="I219">
        <v>141.5</v>
      </c>
      <c r="J219">
        <v>145.19999999999999</v>
      </c>
      <c r="K219">
        <v>115.3</v>
      </c>
      <c r="L219">
        <v>112.5</v>
      </c>
      <c r="M219">
        <v>141.4</v>
      </c>
      <c r="N219">
        <v>128</v>
      </c>
      <c r="O219">
        <v>152.6</v>
      </c>
      <c r="P219">
        <v>139.1</v>
      </c>
      <c r="Q219">
        <v>130.19999999999999</v>
      </c>
      <c r="R219">
        <v>140.5</v>
      </c>
      <c r="S219">
        <v>142.4</v>
      </c>
      <c r="T219">
        <v>146.9</v>
      </c>
      <c r="U219">
        <v>135.80000000000001</v>
      </c>
      <c r="V219">
        <v>121.2</v>
      </c>
      <c r="W219">
        <v>146.1</v>
      </c>
      <c r="X219">
        <v>136.80000000000001</v>
      </c>
      <c r="Y219">
        <v>130.5</v>
      </c>
      <c r="Z219">
        <v>136.69999999999999</v>
      </c>
      <c r="AA219">
        <v>131.30000000000001</v>
      </c>
      <c r="AB219">
        <v>164.4</v>
      </c>
      <c r="AC219">
        <v>132.19999999999999</v>
      </c>
      <c r="AD219">
        <v>139</v>
      </c>
    </row>
    <row r="220" spans="1:30" x14ac:dyDescent="0.25">
      <c r="A220" t="s">
        <v>34</v>
      </c>
      <c r="B220">
        <v>2018</v>
      </c>
      <c r="C220" t="s">
        <v>45</v>
      </c>
      <c r="D220">
        <v>137.4</v>
      </c>
      <c r="E220">
        <v>149.19999999999999</v>
      </c>
      <c r="F220">
        <v>137.1</v>
      </c>
      <c r="G220">
        <v>141.80000000000001</v>
      </c>
      <c r="H220">
        <v>121.1</v>
      </c>
      <c r="I220">
        <v>142.80000000000001</v>
      </c>
      <c r="J220">
        <v>146.69999999999999</v>
      </c>
      <c r="K220">
        <v>119.1</v>
      </c>
      <c r="L220">
        <v>111.9</v>
      </c>
      <c r="M220">
        <v>140.9</v>
      </c>
      <c r="N220">
        <v>133.5</v>
      </c>
      <c r="O220">
        <v>154.5</v>
      </c>
      <c r="P220">
        <v>139.69999999999999</v>
      </c>
      <c r="Q220">
        <v>139.1</v>
      </c>
      <c r="R220">
        <v>146.69999999999999</v>
      </c>
      <c r="S220">
        <v>148</v>
      </c>
      <c r="T220">
        <v>146.9</v>
      </c>
      <c r="U220">
        <v>142.19999999999999</v>
      </c>
      <c r="V220">
        <v>125.5</v>
      </c>
      <c r="W220">
        <v>147.80000000000001</v>
      </c>
      <c r="X220">
        <v>142.1</v>
      </c>
      <c r="Y220">
        <v>132</v>
      </c>
      <c r="Z220">
        <v>145.1</v>
      </c>
      <c r="AA220">
        <v>136.5</v>
      </c>
      <c r="AB220">
        <v>162.6</v>
      </c>
      <c r="AC220">
        <v>136.30000000000001</v>
      </c>
      <c r="AD220">
        <v>140.80000000000001</v>
      </c>
    </row>
    <row r="221" spans="1:30" x14ac:dyDescent="0.25">
      <c r="A221" t="s">
        <v>30</v>
      </c>
      <c r="B221">
        <v>2018</v>
      </c>
      <c r="C221" t="s">
        <v>46</v>
      </c>
      <c r="D221">
        <v>137.1</v>
      </c>
      <c r="E221">
        <v>151.9</v>
      </c>
      <c r="F221">
        <v>137.4</v>
      </c>
      <c r="G221">
        <v>142.4</v>
      </c>
      <c r="H221">
        <v>124.2</v>
      </c>
      <c r="I221">
        <v>140.19999999999999</v>
      </c>
      <c r="J221">
        <v>136.6</v>
      </c>
      <c r="K221">
        <v>120.9</v>
      </c>
      <c r="L221">
        <v>109.9</v>
      </c>
      <c r="M221">
        <v>140.19999999999999</v>
      </c>
      <c r="N221">
        <v>137.80000000000001</v>
      </c>
      <c r="O221">
        <v>156</v>
      </c>
      <c r="P221">
        <v>138.5</v>
      </c>
      <c r="Q221">
        <v>145.9</v>
      </c>
      <c r="R221">
        <v>150.80000000000001</v>
      </c>
      <c r="S221">
        <v>151.6</v>
      </c>
      <c r="T221">
        <v>139.5</v>
      </c>
      <c r="U221">
        <v>149.5</v>
      </c>
      <c r="V221">
        <v>128.9</v>
      </c>
      <c r="W221">
        <v>155.1</v>
      </c>
      <c r="X221">
        <v>149.6</v>
      </c>
      <c r="Y221">
        <v>133.19999999999999</v>
      </c>
      <c r="Z221">
        <v>149</v>
      </c>
      <c r="AA221">
        <v>143.30000000000001</v>
      </c>
      <c r="AB221">
        <v>162.4</v>
      </c>
      <c r="AC221">
        <v>141.6</v>
      </c>
      <c r="AD221">
        <v>141.9</v>
      </c>
    </row>
    <row r="222" spans="1:30" x14ac:dyDescent="0.25">
      <c r="A222" t="s">
        <v>33</v>
      </c>
      <c r="B222">
        <v>2018</v>
      </c>
      <c r="C222" t="s">
        <v>46</v>
      </c>
      <c r="D222">
        <v>138.5</v>
      </c>
      <c r="E222">
        <v>147.80000000000001</v>
      </c>
      <c r="F222">
        <v>141.1</v>
      </c>
      <c r="G222">
        <v>141.6</v>
      </c>
      <c r="H222">
        <v>118.1</v>
      </c>
      <c r="I222">
        <v>138.5</v>
      </c>
      <c r="J222">
        <v>132.4</v>
      </c>
      <c r="K222">
        <v>117.5</v>
      </c>
      <c r="L222">
        <v>111</v>
      </c>
      <c r="M222">
        <v>141.5</v>
      </c>
      <c r="N222">
        <v>128.1</v>
      </c>
      <c r="O222">
        <v>152.9</v>
      </c>
      <c r="P222">
        <v>137.6</v>
      </c>
      <c r="Q222">
        <v>130.30000000000001</v>
      </c>
      <c r="R222">
        <v>140.80000000000001</v>
      </c>
      <c r="S222">
        <v>142.69999999999999</v>
      </c>
      <c r="T222">
        <v>146.5</v>
      </c>
      <c r="U222">
        <v>136.19999999999999</v>
      </c>
      <c r="V222">
        <v>118.8</v>
      </c>
      <c r="W222">
        <v>146.5</v>
      </c>
      <c r="X222">
        <v>137.30000000000001</v>
      </c>
      <c r="Y222">
        <v>130.80000000000001</v>
      </c>
      <c r="Z222">
        <v>132.4</v>
      </c>
      <c r="AA222">
        <v>131.69999999999999</v>
      </c>
      <c r="AB222">
        <v>164.6</v>
      </c>
      <c r="AC222">
        <v>131.69999999999999</v>
      </c>
      <c r="AD222">
        <v>138</v>
      </c>
    </row>
    <row r="223" spans="1:30" x14ac:dyDescent="0.25">
      <c r="A223" t="s">
        <v>34</v>
      </c>
      <c r="B223">
        <v>2018</v>
      </c>
      <c r="C223" t="s">
        <v>46</v>
      </c>
      <c r="D223">
        <v>137.5</v>
      </c>
      <c r="E223">
        <v>150.5</v>
      </c>
      <c r="F223">
        <v>138.80000000000001</v>
      </c>
      <c r="G223">
        <v>142.1</v>
      </c>
      <c r="H223">
        <v>122</v>
      </c>
      <c r="I223">
        <v>139.4</v>
      </c>
      <c r="J223">
        <v>135.19999999999999</v>
      </c>
      <c r="K223">
        <v>119.8</v>
      </c>
      <c r="L223">
        <v>110.3</v>
      </c>
      <c r="M223">
        <v>140.6</v>
      </c>
      <c r="N223">
        <v>133.80000000000001</v>
      </c>
      <c r="O223">
        <v>154.6</v>
      </c>
      <c r="P223">
        <v>138.19999999999999</v>
      </c>
      <c r="Q223">
        <v>139.4</v>
      </c>
      <c r="R223">
        <v>146.80000000000001</v>
      </c>
      <c r="S223">
        <v>148.1</v>
      </c>
      <c r="T223">
        <v>146.5</v>
      </c>
      <c r="U223">
        <v>143.19999999999999</v>
      </c>
      <c r="V223">
        <v>123.6</v>
      </c>
      <c r="W223">
        <v>150.1</v>
      </c>
      <c r="X223">
        <v>144.9</v>
      </c>
      <c r="Y223">
        <v>132.19999999999999</v>
      </c>
      <c r="Z223">
        <v>142.69999999999999</v>
      </c>
      <c r="AA223">
        <v>136.80000000000001</v>
      </c>
      <c r="AB223">
        <v>163</v>
      </c>
      <c r="AC223">
        <v>136.80000000000001</v>
      </c>
      <c r="AD223">
        <v>140.1</v>
      </c>
    </row>
    <row r="224" spans="1:30" x14ac:dyDescent="0.25">
      <c r="A224" t="s">
        <v>30</v>
      </c>
      <c r="B224">
        <v>2019</v>
      </c>
      <c r="C224" t="s">
        <v>31</v>
      </c>
      <c r="D224">
        <v>136.6</v>
      </c>
      <c r="E224">
        <v>152.5</v>
      </c>
      <c r="F224">
        <v>138.19999999999999</v>
      </c>
      <c r="G224">
        <v>142.4</v>
      </c>
      <c r="H224">
        <v>123.9</v>
      </c>
      <c r="I224">
        <v>135.5</v>
      </c>
      <c r="J224">
        <v>131.69999999999999</v>
      </c>
      <c r="K224">
        <v>121.3</v>
      </c>
      <c r="L224">
        <v>108.4</v>
      </c>
      <c r="M224">
        <v>138.9</v>
      </c>
      <c r="N224">
        <v>137</v>
      </c>
      <c r="O224">
        <v>155.80000000000001</v>
      </c>
      <c r="P224">
        <v>137.4</v>
      </c>
      <c r="Q224">
        <v>145.1</v>
      </c>
      <c r="R224">
        <v>149.9</v>
      </c>
      <c r="S224">
        <v>150.6</v>
      </c>
      <c r="T224">
        <v>139.5</v>
      </c>
      <c r="U224">
        <v>150.1</v>
      </c>
      <c r="V224">
        <v>128.6</v>
      </c>
      <c r="W224">
        <v>155.19999999999999</v>
      </c>
      <c r="X224">
        <v>149.6</v>
      </c>
      <c r="Y224">
        <v>133.5</v>
      </c>
      <c r="Z224">
        <v>146.19999999999999</v>
      </c>
      <c r="AA224">
        <v>142.9</v>
      </c>
      <c r="AB224">
        <v>162.69999999999999</v>
      </c>
      <c r="AC224">
        <v>141.69999999999999</v>
      </c>
      <c r="AD224">
        <v>141</v>
      </c>
    </row>
    <row r="225" spans="1:30" x14ac:dyDescent="0.25">
      <c r="A225" t="s">
        <v>33</v>
      </c>
      <c r="B225">
        <v>2019</v>
      </c>
      <c r="C225" t="s">
        <v>31</v>
      </c>
      <c r="D225">
        <v>138.30000000000001</v>
      </c>
      <c r="E225">
        <v>149.4</v>
      </c>
      <c r="F225">
        <v>143.5</v>
      </c>
      <c r="G225">
        <v>141.69999999999999</v>
      </c>
      <c r="H225">
        <v>118.1</v>
      </c>
      <c r="I225">
        <v>135.19999999999999</v>
      </c>
      <c r="J225">
        <v>130.5</v>
      </c>
      <c r="K225">
        <v>118.2</v>
      </c>
      <c r="L225">
        <v>110.4</v>
      </c>
      <c r="M225">
        <v>140.4</v>
      </c>
      <c r="N225">
        <v>128.1</v>
      </c>
      <c r="O225">
        <v>153.19999999999999</v>
      </c>
      <c r="P225">
        <v>137.30000000000001</v>
      </c>
      <c r="Q225">
        <v>130.4</v>
      </c>
      <c r="R225">
        <v>141.1</v>
      </c>
      <c r="S225">
        <v>143</v>
      </c>
      <c r="T225">
        <v>147.69999999999999</v>
      </c>
      <c r="U225">
        <v>136.30000000000001</v>
      </c>
      <c r="V225">
        <v>118.6</v>
      </c>
      <c r="W225">
        <v>146.6</v>
      </c>
      <c r="X225">
        <v>137.80000000000001</v>
      </c>
      <c r="Y225">
        <v>131.69999999999999</v>
      </c>
      <c r="Z225">
        <v>128.6</v>
      </c>
      <c r="AA225">
        <v>131.9</v>
      </c>
      <c r="AB225">
        <v>164.7</v>
      </c>
      <c r="AC225">
        <v>131.80000000000001</v>
      </c>
      <c r="AD225">
        <v>138</v>
      </c>
    </row>
    <row r="226" spans="1:30" x14ac:dyDescent="0.25">
      <c r="A226" t="s">
        <v>34</v>
      </c>
      <c r="B226">
        <v>2019</v>
      </c>
      <c r="C226" t="s">
        <v>31</v>
      </c>
      <c r="D226">
        <v>137.1</v>
      </c>
      <c r="E226">
        <v>151.4</v>
      </c>
      <c r="F226">
        <v>140.19999999999999</v>
      </c>
      <c r="G226">
        <v>142.1</v>
      </c>
      <c r="H226">
        <v>121.8</v>
      </c>
      <c r="I226">
        <v>135.4</v>
      </c>
      <c r="J226">
        <v>131.30000000000001</v>
      </c>
      <c r="K226">
        <v>120.3</v>
      </c>
      <c r="L226">
        <v>109.1</v>
      </c>
      <c r="M226">
        <v>139.4</v>
      </c>
      <c r="N226">
        <v>133.30000000000001</v>
      </c>
      <c r="O226">
        <v>154.6</v>
      </c>
      <c r="P226">
        <v>137.4</v>
      </c>
      <c r="Q226">
        <v>139</v>
      </c>
      <c r="R226">
        <v>146.4</v>
      </c>
      <c r="S226">
        <v>147.6</v>
      </c>
      <c r="T226">
        <v>147.69999999999999</v>
      </c>
      <c r="U226">
        <v>143.6</v>
      </c>
      <c r="V226">
        <v>123.3</v>
      </c>
      <c r="W226">
        <v>150.19999999999999</v>
      </c>
      <c r="X226">
        <v>145.1</v>
      </c>
      <c r="Y226">
        <v>132.80000000000001</v>
      </c>
      <c r="Z226">
        <v>139.5</v>
      </c>
      <c r="AA226">
        <v>136.69999999999999</v>
      </c>
      <c r="AB226">
        <v>163.19999999999999</v>
      </c>
      <c r="AC226">
        <v>136.9</v>
      </c>
      <c r="AD226">
        <v>139.6</v>
      </c>
    </row>
    <row r="227" spans="1:30" x14ac:dyDescent="0.25">
      <c r="A227" t="s">
        <v>30</v>
      </c>
      <c r="B227">
        <v>2019</v>
      </c>
      <c r="C227" t="s">
        <v>35</v>
      </c>
      <c r="D227">
        <v>136.80000000000001</v>
      </c>
      <c r="E227">
        <v>153</v>
      </c>
      <c r="F227">
        <v>139.1</v>
      </c>
      <c r="G227">
        <v>142.5</v>
      </c>
      <c r="H227">
        <v>124.1</v>
      </c>
      <c r="I227">
        <v>135.80000000000001</v>
      </c>
      <c r="J227">
        <v>128.69999999999999</v>
      </c>
      <c r="K227">
        <v>121.5</v>
      </c>
      <c r="L227">
        <v>108.3</v>
      </c>
      <c r="M227">
        <v>139.19999999999999</v>
      </c>
      <c r="N227">
        <v>137.4</v>
      </c>
      <c r="O227">
        <v>156.19999999999999</v>
      </c>
      <c r="P227">
        <v>137.19999999999999</v>
      </c>
      <c r="Q227">
        <v>146.1</v>
      </c>
      <c r="R227">
        <v>149.9</v>
      </c>
      <c r="S227">
        <v>150.5</v>
      </c>
      <c r="T227">
        <v>139.5</v>
      </c>
      <c r="U227">
        <v>150.1</v>
      </c>
      <c r="V227">
        <v>129.19999999999999</v>
      </c>
      <c r="W227">
        <v>155.5</v>
      </c>
      <c r="X227">
        <v>149.9</v>
      </c>
      <c r="Y227">
        <v>134.9</v>
      </c>
      <c r="Z227">
        <v>145.30000000000001</v>
      </c>
      <c r="AA227">
        <v>143.4</v>
      </c>
      <c r="AB227">
        <v>162.80000000000001</v>
      </c>
      <c r="AC227">
        <v>142.19999999999999</v>
      </c>
      <c r="AD227">
        <v>141</v>
      </c>
    </row>
    <row r="228" spans="1:30" x14ac:dyDescent="0.25">
      <c r="A228" t="s">
        <v>33</v>
      </c>
      <c r="B228">
        <v>2019</v>
      </c>
      <c r="C228" t="s">
        <v>35</v>
      </c>
      <c r="D228">
        <v>139.4</v>
      </c>
      <c r="E228">
        <v>150.1</v>
      </c>
      <c r="F228">
        <v>145.30000000000001</v>
      </c>
      <c r="G228">
        <v>141.69999999999999</v>
      </c>
      <c r="H228">
        <v>118.4</v>
      </c>
      <c r="I228">
        <v>137</v>
      </c>
      <c r="J228">
        <v>131.6</v>
      </c>
      <c r="K228">
        <v>119.9</v>
      </c>
      <c r="L228">
        <v>110.4</v>
      </c>
      <c r="M228">
        <v>140.80000000000001</v>
      </c>
      <c r="N228">
        <v>128.30000000000001</v>
      </c>
      <c r="O228">
        <v>153.5</v>
      </c>
      <c r="P228">
        <v>138</v>
      </c>
      <c r="Q228">
        <v>130.80000000000001</v>
      </c>
      <c r="R228">
        <v>141.4</v>
      </c>
      <c r="S228">
        <v>143.30000000000001</v>
      </c>
      <c r="T228">
        <v>148.5</v>
      </c>
      <c r="U228">
        <v>136.6</v>
      </c>
      <c r="V228">
        <v>119.2</v>
      </c>
      <c r="W228">
        <v>146.6</v>
      </c>
      <c r="X228">
        <v>138.5</v>
      </c>
      <c r="Y228">
        <v>133</v>
      </c>
      <c r="Z228">
        <v>127.1</v>
      </c>
      <c r="AA228">
        <v>132.19999999999999</v>
      </c>
      <c r="AB228">
        <v>164.9</v>
      </c>
      <c r="AC228">
        <v>132.4</v>
      </c>
      <c r="AD228">
        <v>138.6</v>
      </c>
    </row>
    <row r="229" spans="1:30" x14ac:dyDescent="0.25">
      <c r="A229" t="s">
        <v>34</v>
      </c>
      <c r="B229">
        <v>2019</v>
      </c>
      <c r="C229" t="s">
        <v>35</v>
      </c>
      <c r="D229">
        <v>137.6</v>
      </c>
      <c r="E229">
        <v>152</v>
      </c>
      <c r="F229">
        <v>141.5</v>
      </c>
      <c r="G229">
        <v>142.19999999999999</v>
      </c>
      <c r="H229">
        <v>122</v>
      </c>
      <c r="I229">
        <v>136.4</v>
      </c>
      <c r="J229">
        <v>129.69999999999999</v>
      </c>
      <c r="K229">
        <v>121</v>
      </c>
      <c r="L229">
        <v>109</v>
      </c>
      <c r="M229">
        <v>139.69999999999999</v>
      </c>
      <c r="N229">
        <v>133.6</v>
      </c>
      <c r="O229">
        <v>154.9</v>
      </c>
      <c r="P229">
        <v>137.5</v>
      </c>
      <c r="Q229">
        <v>139.69999999999999</v>
      </c>
      <c r="R229">
        <v>146.5</v>
      </c>
      <c r="S229">
        <v>147.69999999999999</v>
      </c>
      <c r="T229">
        <v>148.5</v>
      </c>
      <c r="U229">
        <v>143.69999999999999</v>
      </c>
      <c r="V229">
        <v>123.9</v>
      </c>
      <c r="W229">
        <v>150.30000000000001</v>
      </c>
      <c r="X229">
        <v>145.6</v>
      </c>
      <c r="Y229">
        <v>134.1</v>
      </c>
      <c r="Z229">
        <v>138.4</v>
      </c>
      <c r="AA229">
        <v>137.1</v>
      </c>
      <c r="AB229">
        <v>163.4</v>
      </c>
      <c r="AC229">
        <v>137.4</v>
      </c>
      <c r="AD229">
        <v>139.9</v>
      </c>
    </row>
    <row r="230" spans="1:30" x14ac:dyDescent="0.25">
      <c r="A230" t="s">
        <v>30</v>
      </c>
      <c r="B230">
        <v>2019</v>
      </c>
      <c r="C230" t="s">
        <v>36</v>
      </c>
      <c r="D230">
        <v>136.9</v>
      </c>
      <c r="E230">
        <v>154.1</v>
      </c>
      <c r="F230">
        <v>138.69999999999999</v>
      </c>
      <c r="G230">
        <v>142.5</v>
      </c>
      <c r="H230">
        <v>124.1</v>
      </c>
      <c r="I230">
        <v>136.1</v>
      </c>
      <c r="J230">
        <v>128.19999999999999</v>
      </c>
      <c r="K230">
        <v>122.3</v>
      </c>
      <c r="L230">
        <v>108.3</v>
      </c>
      <c r="M230">
        <v>138.9</v>
      </c>
      <c r="N230">
        <v>137.4</v>
      </c>
      <c r="O230">
        <v>156.4</v>
      </c>
      <c r="P230">
        <v>137.30000000000001</v>
      </c>
      <c r="Q230">
        <v>146.1</v>
      </c>
      <c r="R230">
        <v>150.1</v>
      </c>
      <c r="S230">
        <v>150.80000000000001</v>
      </c>
      <c r="T230">
        <v>139.5</v>
      </c>
      <c r="U230">
        <v>150</v>
      </c>
      <c r="V230">
        <v>129.9</v>
      </c>
      <c r="W230">
        <v>155.5</v>
      </c>
      <c r="X230">
        <v>150.4</v>
      </c>
      <c r="Y230">
        <v>134</v>
      </c>
      <c r="Z230">
        <v>146.4</v>
      </c>
      <c r="AA230">
        <v>143.80000000000001</v>
      </c>
      <c r="AB230">
        <v>162.9</v>
      </c>
      <c r="AC230">
        <v>142.4</v>
      </c>
      <c r="AD230">
        <v>141.19999999999999</v>
      </c>
    </row>
    <row r="231" spans="1:30" x14ac:dyDescent="0.25">
      <c r="A231" t="s">
        <v>33</v>
      </c>
      <c r="B231">
        <v>2019</v>
      </c>
      <c r="C231" t="s">
        <v>36</v>
      </c>
      <c r="D231">
        <v>139.69999999999999</v>
      </c>
      <c r="E231">
        <v>151.1</v>
      </c>
      <c r="F231">
        <v>142.9</v>
      </c>
      <c r="G231">
        <v>141.9</v>
      </c>
      <c r="H231">
        <v>118.4</v>
      </c>
      <c r="I231">
        <v>139.4</v>
      </c>
      <c r="J231">
        <v>141.19999999999999</v>
      </c>
      <c r="K231">
        <v>120.7</v>
      </c>
      <c r="L231">
        <v>110.4</v>
      </c>
      <c r="M231">
        <v>140.69999999999999</v>
      </c>
      <c r="N231">
        <v>128.5</v>
      </c>
      <c r="O231">
        <v>153.9</v>
      </c>
      <c r="P231">
        <v>139.6</v>
      </c>
      <c r="Q231">
        <v>131.19999999999999</v>
      </c>
      <c r="R231">
        <v>141.6</v>
      </c>
      <c r="S231">
        <v>143.5</v>
      </c>
      <c r="T231">
        <v>149</v>
      </c>
      <c r="U231">
        <v>136.80000000000001</v>
      </c>
      <c r="V231">
        <v>119.9</v>
      </c>
      <c r="W231">
        <v>146.69999999999999</v>
      </c>
      <c r="X231">
        <v>139.19999999999999</v>
      </c>
      <c r="Y231">
        <v>132.5</v>
      </c>
      <c r="Z231">
        <v>128.80000000000001</v>
      </c>
      <c r="AA231">
        <v>133</v>
      </c>
      <c r="AB231">
        <v>165.3</v>
      </c>
      <c r="AC231">
        <v>132.80000000000001</v>
      </c>
      <c r="AD231">
        <v>139.5</v>
      </c>
    </row>
    <row r="232" spans="1:30" x14ac:dyDescent="0.25">
      <c r="A232" t="s">
        <v>34</v>
      </c>
      <c r="B232">
        <v>2019</v>
      </c>
      <c r="C232" t="s">
        <v>36</v>
      </c>
      <c r="D232">
        <v>137.80000000000001</v>
      </c>
      <c r="E232">
        <v>153</v>
      </c>
      <c r="F232">
        <v>140.30000000000001</v>
      </c>
      <c r="G232">
        <v>142.30000000000001</v>
      </c>
      <c r="H232">
        <v>122</v>
      </c>
      <c r="I232">
        <v>137.6</v>
      </c>
      <c r="J232">
        <v>132.6</v>
      </c>
      <c r="K232">
        <v>121.8</v>
      </c>
      <c r="L232">
        <v>109</v>
      </c>
      <c r="M232">
        <v>139.5</v>
      </c>
      <c r="N232">
        <v>133.69999999999999</v>
      </c>
      <c r="O232">
        <v>155.19999999999999</v>
      </c>
      <c r="P232">
        <v>138.1</v>
      </c>
      <c r="Q232">
        <v>139.9</v>
      </c>
      <c r="R232">
        <v>146.69999999999999</v>
      </c>
      <c r="S232">
        <v>147.9</v>
      </c>
      <c r="T232">
        <v>149</v>
      </c>
      <c r="U232">
        <v>143.80000000000001</v>
      </c>
      <c r="V232">
        <v>124.6</v>
      </c>
      <c r="W232">
        <v>150.30000000000001</v>
      </c>
      <c r="X232">
        <v>146.19999999999999</v>
      </c>
      <c r="Y232">
        <v>133.4</v>
      </c>
      <c r="Z232">
        <v>139.69999999999999</v>
      </c>
      <c r="AA232">
        <v>137.69999999999999</v>
      </c>
      <c r="AB232">
        <v>163.5</v>
      </c>
      <c r="AC232">
        <v>137.69999999999999</v>
      </c>
      <c r="AD232">
        <v>140.4</v>
      </c>
    </row>
    <row r="233" spans="1:30" x14ac:dyDescent="0.25">
      <c r="A233" t="s">
        <v>30</v>
      </c>
      <c r="B233">
        <v>2019</v>
      </c>
      <c r="C233" t="s">
        <v>38</v>
      </c>
      <c r="D233">
        <v>137.4</v>
      </c>
      <c r="E233">
        <v>159.5</v>
      </c>
      <c r="F233">
        <v>134.5</v>
      </c>
      <c r="G233">
        <v>142.6</v>
      </c>
      <c r="H233">
        <v>124</v>
      </c>
      <c r="I233">
        <v>143.69999999999999</v>
      </c>
      <c r="J233">
        <v>133.4</v>
      </c>
      <c r="K233">
        <v>125.1</v>
      </c>
      <c r="L233">
        <v>109.3</v>
      </c>
      <c r="M233">
        <v>139.30000000000001</v>
      </c>
      <c r="N233">
        <v>137.69999999999999</v>
      </c>
      <c r="O233">
        <v>156.4</v>
      </c>
      <c r="P233">
        <v>139.19999999999999</v>
      </c>
      <c r="Q233">
        <v>146.6</v>
      </c>
      <c r="R233">
        <v>150.69999999999999</v>
      </c>
      <c r="S233">
        <v>151.30000000000001</v>
      </c>
      <c r="T233">
        <v>139.5</v>
      </c>
      <c r="U233">
        <v>149.5</v>
      </c>
      <c r="V233">
        <v>130.19999999999999</v>
      </c>
      <c r="W233">
        <v>156.69999999999999</v>
      </c>
      <c r="X233">
        <v>151.30000000000001</v>
      </c>
      <c r="Y233">
        <v>133.9</v>
      </c>
      <c r="Z233">
        <v>146.9</v>
      </c>
      <c r="AA233">
        <v>145.9</v>
      </c>
      <c r="AB233">
        <v>163.30000000000001</v>
      </c>
      <c r="AC233">
        <v>142.9</v>
      </c>
      <c r="AD233">
        <v>142.4</v>
      </c>
    </row>
    <row r="234" spans="1:30" x14ac:dyDescent="0.25">
      <c r="A234" t="s">
        <v>33</v>
      </c>
      <c r="B234">
        <v>2019</v>
      </c>
      <c r="C234" t="s">
        <v>38</v>
      </c>
      <c r="D234">
        <v>140.4</v>
      </c>
      <c r="E234">
        <v>156.69999999999999</v>
      </c>
      <c r="F234">
        <v>138.30000000000001</v>
      </c>
      <c r="G234">
        <v>142.4</v>
      </c>
      <c r="H234">
        <v>118.6</v>
      </c>
      <c r="I234">
        <v>149.69999999999999</v>
      </c>
      <c r="J234">
        <v>161.6</v>
      </c>
      <c r="K234">
        <v>124.4</v>
      </c>
      <c r="L234">
        <v>111.2</v>
      </c>
      <c r="M234">
        <v>141</v>
      </c>
      <c r="N234">
        <v>128.9</v>
      </c>
      <c r="O234">
        <v>154.5</v>
      </c>
      <c r="P234">
        <v>143.80000000000001</v>
      </c>
      <c r="Q234">
        <v>131.69999999999999</v>
      </c>
      <c r="R234">
        <v>142.19999999999999</v>
      </c>
      <c r="S234">
        <v>144</v>
      </c>
      <c r="T234">
        <v>150.1</v>
      </c>
      <c r="U234">
        <v>137.19999999999999</v>
      </c>
      <c r="V234">
        <v>120.1</v>
      </c>
      <c r="W234">
        <v>148</v>
      </c>
      <c r="X234">
        <v>139.80000000000001</v>
      </c>
      <c r="Y234">
        <v>132.6</v>
      </c>
      <c r="Z234">
        <v>129.4</v>
      </c>
      <c r="AA234">
        <v>134</v>
      </c>
      <c r="AB234">
        <v>166.2</v>
      </c>
      <c r="AC234">
        <v>133.30000000000001</v>
      </c>
      <c r="AD234">
        <v>141.5</v>
      </c>
    </row>
    <row r="235" spans="1:30" x14ac:dyDescent="0.25">
      <c r="A235" t="s">
        <v>34</v>
      </c>
      <c r="B235">
        <v>2019</v>
      </c>
      <c r="C235" t="s">
        <v>38</v>
      </c>
      <c r="D235">
        <v>138.30000000000001</v>
      </c>
      <c r="E235">
        <v>158.5</v>
      </c>
      <c r="F235">
        <v>136</v>
      </c>
      <c r="G235">
        <v>142.5</v>
      </c>
      <c r="H235">
        <v>122</v>
      </c>
      <c r="I235">
        <v>146.5</v>
      </c>
      <c r="J235">
        <v>143</v>
      </c>
      <c r="K235">
        <v>124.9</v>
      </c>
      <c r="L235">
        <v>109.9</v>
      </c>
      <c r="M235">
        <v>139.9</v>
      </c>
      <c r="N235">
        <v>134</v>
      </c>
      <c r="O235">
        <v>155.5</v>
      </c>
      <c r="P235">
        <v>140.9</v>
      </c>
      <c r="Q235">
        <v>140.4</v>
      </c>
      <c r="R235">
        <v>147.30000000000001</v>
      </c>
      <c r="S235">
        <v>148.4</v>
      </c>
      <c r="T235">
        <v>150.1</v>
      </c>
      <c r="U235">
        <v>143.69999999999999</v>
      </c>
      <c r="V235">
        <v>124.9</v>
      </c>
      <c r="W235">
        <v>151.6</v>
      </c>
      <c r="X235">
        <v>146.9</v>
      </c>
      <c r="Y235">
        <v>133.4</v>
      </c>
      <c r="Z235">
        <v>140.30000000000001</v>
      </c>
      <c r="AA235">
        <v>139.19999999999999</v>
      </c>
      <c r="AB235">
        <v>164.1</v>
      </c>
      <c r="AC235">
        <v>138.19999999999999</v>
      </c>
      <c r="AD235">
        <v>142</v>
      </c>
    </row>
    <row r="236" spans="1:30" x14ac:dyDescent="0.25">
      <c r="A236" t="s">
        <v>30</v>
      </c>
      <c r="B236">
        <v>2019</v>
      </c>
      <c r="C236" t="s">
        <v>39</v>
      </c>
      <c r="D236">
        <v>137.80000000000001</v>
      </c>
      <c r="E236">
        <v>163.5</v>
      </c>
      <c r="F236">
        <v>136.19999999999999</v>
      </c>
      <c r="G236">
        <v>143.19999999999999</v>
      </c>
      <c r="H236">
        <v>124.3</v>
      </c>
      <c r="I236">
        <v>143.30000000000001</v>
      </c>
      <c r="J236">
        <v>140.6</v>
      </c>
      <c r="K236">
        <v>128.69999999999999</v>
      </c>
      <c r="L236">
        <v>110.6</v>
      </c>
      <c r="M236">
        <v>140.4</v>
      </c>
      <c r="N236">
        <v>138</v>
      </c>
      <c r="O236">
        <v>156.6</v>
      </c>
      <c r="P236">
        <v>141</v>
      </c>
      <c r="Q236">
        <v>146.5</v>
      </c>
      <c r="R236">
        <v>150.69999999999999</v>
      </c>
      <c r="S236">
        <v>151.4</v>
      </c>
      <c r="T236">
        <v>139.5</v>
      </c>
      <c r="U236">
        <v>149.6</v>
      </c>
      <c r="V236">
        <v>130.19999999999999</v>
      </c>
      <c r="W236">
        <v>157.69999999999999</v>
      </c>
      <c r="X236">
        <v>151.69999999999999</v>
      </c>
      <c r="Y236">
        <v>134.80000000000001</v>
      </c>
      <c r="Z236">
        <v>147.80000000000001</v>
      </c>
      <c r="AA236">
        <v>146.4</v>
      </c>
      <c r="AB236">
        <v>164.2</v>
      </c>
      <c r="AC236">
        <v>143.30000000000001</v>
      </c>
      <c r="AD236">
        <v>143.6</v>
      </c>
    </row>
    <row r="237" spans="1:30" x14ac:dyDescent="0.25">
      <c r="A237" t="s">
        <v>33</v>
      </c>
      <c r="B237">
        <v>2019</v>
      </c>
      <c r="C237" t="s">
        <v>39</v>
      </c>
      <c r="D237">
        <v>140.69999999999999</v>
      </c>
      <c r="E237">
        <v>159.6</v>
      </c>
      <c r="F237">
        <v>140.4</v>
      </c>
      <c r="G237">
        <v>143.4</v>
      </c>
      <c r="H237">
        <v>118.6</v>
      </c>
      <c r="I237">
        <v>150.9</v>
      </c>
      <c r="J237">
        <v>169.8</v>
      </c>
      <c r="K237">
        <v>127.4</v>
      </c>
      <c r="L237">
        <v>111.8</v>
      </c>
      <c r="M237">
        <v>141</v>
      </c>
      <c r="N237">
        <v>129</v>
      </c>
      <c r="O237">
        <v>155.1</v>
      </c>
      <c r="P237">
        <v>145.6</v>
      </c>
      <c r="Q237">
        <v>131.69999999999999</v>
      </c>
      <c r="R237">
        <v>142.4</v>
      </c>
      <c r="S237">
        <v>144.30000000000001</v>
      </c>
      <c r="T237">
        <v>149.4</v>
      </c>
      <c r="U237">
        <v>137.4</v>
      </c>
      <c r="V237">
        <v>119.6</v>
      </c>
      <c r="W237">
        <v>148.9</v>
      </c>
      <c r="X237">
        <v>140.30000000000001</v>
      </c>
      <c r="Y237">
        <v>133.69999999999999</v>
      </c>
      <c r="Z237">
        <v>130.5</v>
      </c>
      <c r="AA237">
        <v>134.30000000000001</v>
      </c>
      <c r="AB237">
        <v>166.7</v>
      </c>
      <c r="AC237">
        <v>133.6</v>
      </c>
      <c r="AD237">
        <v>142.1</v>
      </c>
    </row>
    <row r="238" spans="1:30" x14ac:dyDescent="0.25">
      <c r="A238" t="s">
        <v>34</v>
      </c>
      <c r="B238">
        <v>2019</v>
      </c>
      <c r="C238" t="s">
        <v>39</v>
      </c>
      <c r="D238">
        <v>138.69999999999999</v>
      </c>
      <c r="E238">
        <v>162.1</v>
      </c>
      <c r="F238">
        <v>137.80000000000001</v>
      </c>
      <c r="G238">
        <v>143.30000000000001</v>
      </c>
      <c r="H238">
        <v>122.2</v>
      </c>
      <c r="I238">
        <v>146.80000000000001</v>
      </c>
      <c r="J238">
        <v>150.5</v>
      </c>
      <c r="K238">
        <v>128.30000000000001</v>
      </c>
      <c r="L238">
        <v>111</v>
      </c>
      <c r="M238">
        <v>140.6</v>
      </c>
      <c r="N238">
        <v>134.19999999999999</v>
      </c>
      <c r="O238">
        <v>155.9</v>
      </c>
      <c r="P238">
        <v>142.69999999999999</v>
      </c>
      <c r="Q238">
        <v>140.4</v>
      </c>
      <c r="R238">
        <v>147.4</v>
      </c>
      <c r="S238">
        <v>148.6</v>
      </c>
      <c r="T238">
        <v>149.4</v>
      </c>
      <c r="U238">
        <v>143.80000000000001</v>
      </c>
      <c r="V238">
        <v>124.6</v>
      </c>
      <c r="W238">
        <v>152.5</v>
      </c>
      <c r="X238">
        <v>147.4</v>
      </c>
      <c r="Y238">
        <v>134.30000000000001</v>
      </c>
      <c r="Z238">
        <v>141.19999999999999</v>
      </c>
      <c r="AA238">
        <v>139.6</v>
      </c>
      <c r="AB238">
        <v>164.9</v>
      </c>
      <c r="AC238">
        <v>138.6</v>
      </c>
      <c r="AD238">
        <v>142.9</v>
      </c>
    </row>
    <row r="239" spans="1:30" x14ac:dyDescent="0.25">
      <c r="A239" t="s">
        <v>30</v>
      </c>
      <c r="B239">
        <v>2019</v>
      </c>
      <c r="C239" t="s">
        <v>40</v>
      </c>
      <c r="D239">
        <v>138.4</v>
      </c>
      <c r="E239">
        <v>164</v>
      </c>
      <c r="F239">
        <v>138.4</v>
      </c>
      <c r="G239">
        <v>143.9</v>
      </c>
      <c r="H239">
        <v>124.4</v>
      </c>
      <c r="I239">
        <v>146.4</v>
      </c>
      <c r="J239">
        <v>150.1</v>
      </c>
      <c r="K239">
        <v>130.6</v>
      </c>
      <c r="L239">
        <v>110.8</v>
      </c>
      <c r="M239">
        <v>141.69999999999999</v>
      </c>
      <c r="N239">
        <v>138.5</v>
      </c>
      <c r="O239">
        <v>156.69999999999999</v>
      </c>
      <c r="P239">
        <v>143</v>
      </c>
      <c r="Q239">
        <v>146.6</v>
      </c>
      <c r="R239">
        <v>150.9</v>
      </c>
      <c r="S239">
        <v>151.6</v>
      </c>
      <c r="T239">
        <v>139.5</v>
      </c>
      <c r="U239">
        <v>150</v>
      </c>
      <c r="V239">
        <v>131.19999999999999</v>
      </c>
      <c r="W239">
        <v>159.1</v>
      </c>
      <c r="X239">
        <v>152.19999999999999</v>
      </c>
      <c r="Y239">
        <v>136.1</v>
      </c>
      <c r="Z239">
        <v>146.80000000000001</v>
      </c>
      <c r="AA239">
        <v>147.5</v>
      </c>
      <c r="AB239">
        <v>164.5</v>
      </c>
      <c r="AC239">
        <v>144.19999999999999</v>
      </c>
      <c r="AD239">
        <v>144.9</v>
      </c>
    </row>
    <row r="240" spans="1:30" x14ac:dyDescent="0.25">
      <c r="A240" t="s">
        <v>33</v>
      </c>
      <c r="B240">
        <v>2019</v>
      </c>
      <c r="C240" t="s">
        <v>40</v>
      </c>
      <c r="D240">
        <v>141.4</v>
      </c>
      <c r="E240">
        <v>160.19999999999999</v>
      </c>
      <c r="F240">
        <v>142.5</v>
      </c>
      <c r="G240">
        <v>144.1</v>
      </c>
      <c r="H240">
        <v>119.3</v>
      </c>
      <c r="I240">
        <v>154.69999999999999</v>
      </c>
      <c r="J240">
        <v>180.1</v>
      </c>
      <c r="K240">
        <v>128.9</v>
      </c>
      <c r="L240">
        <v>111.8</v>
      </c>
      <c r="M240">
        <v>141.6</v>
      </c>
      <c r="N240">
        <v>129.5</v>
      </c>
      <c r="O240">
        <v>155.6</v>
      </c>
      <c r="P240">
        <v>147.69999999999999</v>
      </c>
      <c r="Q240">
        <v>131.9</v>
      </c>
      <c r="R240">
        <v>142.69999999999999</v>
      </c>
      <c r="S240">
        <v>144.69999999999999</v>
      </c>
      <c r="T240">
        <v>150.6</v>
      </c>
      <c r="U240">
        <v>137.69999999999999</v>
      </c>
      <c r="V240">
        <v>120.6</v>
      </c>
      <c r="W240">
        <v>150.4</v>
      </c>
      <c r="X240">
        <v>140.80000000000001</v>
      </c>
      <c r="Y240">
        <v>135.1</v>
      </c>
      <c r="Z240">
        <v>127</v>
      </c>
      <c r="AA240">
        <v>135</v>
      </c>
      <c r="AB240">
        <v>167.2</v>
      </c>
      <c r="AC240">
        <v>134.5</v>
      </c>
      <c r="AD240">
        <v>143.30000000000001</v>
      </c>
    </row>
    <row r="241" spans="1:30" x14ac:dyDescent="0.25">
      <c r="A241" t="s">
        <v>34</v>
      </c>
      <c r="B241">
        <v>2019</v>
      </c>
      <c r="C241" t="s">
        <v>40</v>
      </c>
      <c r="D241">
        <v>139.30000000000001</v>
      </c>
      <c r="E241">
        <v>162.69999999999999</v>
      </c>
      <c r="F241">
        <v>140</v>
      </c>
      <c r="G241">
        <v>144</v>
      </c>
      <c r="H241">
        <v>122.5</v>
      </c>
      <c r="I241">
        <v>150.30000000000001</v>
      </c>
      <c r="J241">
        <v>160.30000000000001</v>
      </c>
      <c r="K241">
        <v>130</v>
      </c>
      <c r="L241">
        <v>111.1</v>
      </c>
      <c r="M241">
        <v>141.69999999999999</v>
      </c>
      <c r="N241">
        <v>134.69999999999999</v>
      </c>
      <c r="O241">
        <v>156.19999999999999</v>
      </c>
      <c r="P241">
        <v>144.69999999999999</v>
      </c>
      <c r="Q241">
        <v>140.5</v>
      </c>
      <c r="R241">
        <v>147.6</v>
      </c>
      <c r="S241">
        <v>148.9</v>
      </c>
      <c r="T241">
        <v>150.6</v>
      </c>
      <c r="U241">
        <v>144.19999999999999</v>
      </c>
      <c r="V241">
        <v>125.6</v>
      </c>
      <c r="W241">
        <v>154</v>
      </c>
      <c r="X241">
        <v>147.9</v>
      </c>
      <c r="Y241">
        <v>135.69999999999999</v>
      </c>
      <c r="Z241">
        <v>139.30000000000001</v>
      </c>
      <c r="AA241">
        <v>140.5</v>
      </c>
      <c r="AB241">
        <v>165.2</v>
      </c>
      <c r="AC241">
        <v>139.5</v>
      </c>
      <c r="AD241">
        <v>144.19999999999999</v>
      </c>
    </row>
    <row r="242" spans="1:30" x14ac:dyDescent="0.25">
      <c r="A242" t="s">
        <v>30</v>
      </c>
      <c r="B242">
        <v>2019</v>
      </c>
      <c r="C242" t="s">
        <v>41</v>
      </c>
      <c r="D242">
        <v>139.19999999999999</v>
      </c>
      <c r="E242">
        <v>161.9</v>
      </c>
      <c r="F242">
        <v>137.1</v>
      </c>
      <c r="G242">
        <v>144.6</v>
      </c>
      <c r="H242">
        <v>124.7</v>
      </c>
      <c r="I242">
        <v>145.5</v>
      </c>
      <c r="J242">
        <v>156.19999999999999</v>
      </c>
      <c r="K242">
        <v>131.5</v>
      </c>
      <c r="L242">
        <v>111.7</v>
      </c>
      <c r="M242">
        <v>142.69999999999999</v>
      </c>
      <c r="N242">
        <v>138.5</v>
      </c>
      <c r="O242">
        <v>156.9</v>
      </c>
      <c r="P242">
        <v>144</v>
      </c>
      <c r="Q242">
        <v>146.6</v>
      </c>
      <c r="R242">
        <v>151.1</v>
      </c>
      <c r="S242">
        <v>151.80000000000001</v>
      </c>
      <c r="T242">
        <v>139.5</v>
      </c>
      <c r="U242">
        <v>150.19999999999999</v>
      </c>
      <c r="V242">
        <v>131.4</v>
      </c>
      <c r="W242">
        <v>159.69999999999999</v>
      </c>
      <c r="X242">
        <v>152.69999999999999</v>
      </c>
      <c r="Y242">
        <v>138.80000000000001</v>
      </c>
      <c r="Z242">
        <v>146.4</v>
      </c>
      <c r="AA242">
        <v>148</v>
      </c>
      <c r="AB242">
        <v>165.1</v>
      </c>
      <c r="AC242">
        <v>144.9</v>
      </c>
      <c r="AD242">
        <v>145.69999999999999</v>
      </c>
    </row>
    <row r="243" spans="1:30" x14ac:dyDescent="0.25">
      <c r="A243" t="s">
        <v>33</v>
      </c>
      <c r="B243">
        <v>2019</v>
      </c>
      <c r="C243" t="s">
        <v>41</v>
      </c>
      <c r="D243">
        <v>142.1</v>
      </c>
      <c r="E243">
        <v>158.30000000000001</v>
      </c>
      <c r="F243">
        <v>140.80000000000001</v>
      </c>
      <c r="G243">
        <v>144.9</v>
      </c>
      <c r="H243">
        <v>119.9</v>
      </c>
      <c r="I243">
        <v>153.9</v>
      </c>
      <c r="J243">
        <v>189.1</v>
      </c>
      <c r="K243">
        <v>129.80000000000001</v>
      </c>
      <c r="L243">
        <v>112.7</v>
      </c>
      <c r="M243">
        <v>142.5</v>
      </c>
      <c r="N243">
        <v>129.80000000000001</v>
      </c>
      <c r="O243">
        <v>156.19999999999999</v>
      </c>
      <c r="P243">
        <v>149.1</v>
      </c>
      <c r="Q243">
        <v>132.19999999999999</v>
      </c>
      <c r="R243">
        <v>143</v>
      </c>
      <c r="S243">
        <v>145</v>
      </c>
      <c r="T243">
        <v>151.6</v>
      </c>
      <c r="U243">
        <v>138.1</v>
      </c>
      <c r="V243">
        <v>120.8</v>
      </c>
      <c r="W243">
        <v>151.5</v>
      </c>
      <c r="X243">
        <v>141.5</v>
      </c>
      <c r="Y243">
        <v>137.80000000000001</v>
      </c>
      <c r="Z243">
        <v>125.5</v>
      </c>
      <c r="AA243">
        <v>135.4</v>
      </c>
      <c r="AB243">
        <v>167.9</v>
      </c>
      <c r="AC243">
        <v>135.30000000000001</v>
      </c>
      <c r="AD243">
        <v>144.19999999999999</v>
      </c>
    </row>
    <row r="244" spans="1:30" x14ac:dyDescent="0.25">
      <c r="A244" t="s">
        <v>34</v>
      </c>
      <c r="B244">
        <v>2019</v>
      </c>
      <c r="C244" t="s">
        <v>41</v>
      </c>
      <c r="D244">
        <v>140.1</v>
      </c>
      <c r="E244">
        <v>160.6</v>
      </c>
      <c r="F244">
        <v>138.5</v>
      </c>
      <c r="G244">
        <v>144.69999999999999</v>
      </c>
      <c r="H244">
        <v>122.9</v>
      </c>
      <c r="I244">
        <v>149.4</v>
      </c>
      <c r="J244">
        <v>167.4</v>
      </c>
      <c r="K244">
        <v>130.9</v>
      </c>
      <c r="L244">
        <v>112</v>
      </c>
      <c r="M244">
        <v>142.6</v>
      </c>
      <c r="N244">
        <v>134.9</v>
      </c>
      <c r="O244">
        <v>156.6</v>
      </c>
      <c r="P244">
        <v>145.9</v>
      </c>
      <c r="Q244">
        <v>140.6</v>
      </c>
      <c r="R244">
        <v>147.9</v>
      </c>
      <c r="S244">
        <v>149.1</v>
      </c>
      <c r="T244">
        <v>151.6</v>
      </c>
      <c r="U244">
        <v>144.5</v>
      </c>
      <c r="V244">
        <v>125.8</v>
      </c>
      <c r="W244">
        <v>154.9</v>
      </c>
      <c r="X244">
        <v>148.5</v>
      </c>
      <c r="Y244">
        <v>138.4</v>
      </c>
      <c r="Z244">
        <v>138.5</v>
      </c>
      <c r="AA244">
        <v>140.9</v>
      </c>
      <c r="AB244">
        <v>165.8</v>
      </c>
      <c r="AC244">
        <v>140.19999999999999</v>
      </c>
      <c r="AD244">
        <v>145</v>
      </c>
    </row>
    <row r="245" spans="1:30" x14ac:dyDescent="0.25">
      <c r="A245" t="s">
        <v>30</v>
      </c>
      <c r="B245">
        <v>2019</v>
      </c>
      <c r="C245" t="s">
        <v>42</v>
      </c>
      <c r="D245">
        <v>140.1</v>
      </c>
      <c r="E245">
        <v>161.9</v>
      </c>
      <c r="F245">
        <v>138.30000000000001</v>
      </c>
      <c r="G245">
        <v>145.69999999999999</v>
      </c>
      <c r="H245">
        <v>125.1</v>
      </c>
      <c r="I245">
        <v>143.80000000000001</v>
      </c>
      <c r="J245">
        <v>163.4</v>
      </c>
      <c r="K245">
        <v>132.19999999999999</v>
      </c>
      <c r="L245">
        <v>112.8</v>
      </c>
      <c r="M245">
        <v>144.19999999999999</v>
      </c>
      <c r="N245">
        <v>138.5</v>
      </c>
      <c r="O245">
        <v>157.19999999999999</v>
      </c>
      <c r="P245">
        <v>145.5</v>
      </c>
      <c r="Q245">
        <v>146.6</v>
      </c>
      <c r="R245">
        <v>151</v>
      </c>
      <c r="S245">
        <v>151.69999999999999</v>
      </c>
      <c r="T245">
        <v>139.5</v>
      </c>
      <c r="U245">
        <v>150.30000000000001</v>
      </c>
      <c r="V245">
        <v>131.6</v>
      </c>
      <c r="W245">
        <v>160.19999999999999</v>
      </c>
      <c r="X245">
        <v>153.4</v>
      </c>
      <c r="Y245">
        <v>140.19999999999999</v>
      </c>
      <c r="Z245">
        <v>146.9</v>
      </c>
      <c r="AA245">
        <v>148.30000000000001</v>
      </c>
      <c r="AB245">
        <v>165.7</v>
      </c>
      <c r="AC245">
        <v>145.4</v>
      </c>
      <c r="AD245">
        <v>146.69999999999999</v>
      </c>
    </row>
    <row r="246" spans="1:30" x14ac:dyDescent="0.25">
      <c r="A246" t="s">
        <v>33</v>
      </c>
      <c r="B246">
        <v>2019</v>
      </c>
      <c r="C246" t="s">
        <v>42</v>
      </c>
      <c r="D246">
        <v>142.69999999999999</v>
      </c>
      <c r="E246">
        <v>158.69999999999999</v>
      </c>
      <c r="F246">
        <v>141.6</v>
      </c>
      <c r="G246">
        <v>144.9</v>
      </c>
      <c r="H246">
        <v>120.8</v>
      </c>
      <c r="I246">
        <v>149.80000000000001</v>
      </c>
      <c r="J246">
        <v>192.4</v>
      </c>
      <c r="K246">
        <v>130.30000000000001</v>
      </c>
      <c r="L246">
        <v>114</v>
      </c>
      <c r="M246">
        <v>143.80000000000001</v>
      </c>
      <c r="N246">
        <v>130</v>
      </c>
      <c r="O246">
        <v>156.4</v>
      </c>
      <c r="P246">
        <v>149.5</v>
      </c>
      <c r="Q246">
        <v>132.19999999999999</v>
      </c>
      <c r="R246">
        <v>143.30000000000001</v>
      </c>
      <c r="S246">
        <v>145.30000000000001</v>
      </c>
      <c r="T246">
        <v>152.19999999999999</v>
      </c>
      <c r="U246">
        <v>138.30000000000001</v>
      </c>
      <c r="V246">
        <v>121.2</v>
      </c>
      <c r="W246">
        <v>151.6</v>
      </c>
      <c r="X246">
        <v>141.9</v>
      </c>
      <c r="Y246">
        <v>139</v>
      </c>
      <c r="Z246">
        <v>126.6</v>
      </c>
      <c r="AA246">
        <v>135.9</v>
      </c>
      <c r="AB246">
        <v>168.6</v>
      </c>
      <c r="AC246">
        <v>135.69999999999999</v>
      </c>
      <c r="AD246">
        <v>144.69999999999999</v>
      </c>
    </row>
    <row r="247" spans="1:30" x14ac:dyDescent="0.25">
      <c r="A247" t="s">
        <v>34</v>
      </c>
      <c r="B247">
        <v>2019</v>
      </c>
      <c r="C247" t="s">
        <v>42</v>
      </c>
      <c r="D247">
        <v>140.9</v>
      </c>
      <c r="E247">
        <v>160.80000000000001</v>
      </c>
      <c r="F247">
        <v>139.6</v>
      </c>
      <c r="G247">
        <v>145.4</v>
      </c>
      <c r="H247">
        <v>123.5</v>
      </c>
      <c r="I247">
        <v>146.6</v>
      </c>
      <c r="J247">
        <v>173.2</v>
      </c>
      <c r="K247">
        <v>131.6</v>
      </c>
      <c r="L247">
        <v>113.2</v>
      </c>
      <c r="M247">
        <v>144.1</v>
      </c>
      <c r="N247">
        <v>135</v>
      </c>
      <c r="O247">
        <v>156.80000000000001</v>
      </c>
      <c r="P247">
        <v>147</v>
      </c>
      <c r="Q247">
        <v>140.6</v>
      </c>
      <c r="R247">
        <v>147.9</v>
      </c>
      <c r="S247">
        <v>149.19999999999999</v>
      </c>
      <c r="T247">
        <v>152.19999999999999</v>
      </c>
      <c r="U247">
        <v>144.6</v>
      </c>
      <c r="V247">
        <v>126.1</v>
      </c>
      <c r="W247">
        <v>155.19999999999999</v>
      </c>
      <c r="X247">
        <v>149</v>
      </c>
      <c r="Y247">
        <v>139.69999999999999</v>
      </c>
      <c r="Z247">
        <v>139.19999999999999</v>
      </c>
      <c r="AA247">
        <v>141.30000000000001</v>
      </c>
      <c r="AB247">
        <v>166.5</v>
      </c>
      <c r="AC247">
        <v>140.69999999999999</v>
      </c>
      <c r="AD247">
        <v>145.80000000000001</v>
      </c>
    </row>
    <row r="248" spans="1:30" x14ac:dyDescent="0.25">
      <c r="A248" t="s">
        <v>30</v>
      </c>
      <c r="B248">
        <v>2019</v>
      </c>
      <c r="C248" t="s">
        <v>43</v>
      </c>
      <c r="D248">
        <v>141</v>
      </c>
      <c r="E248">
        <v>161.6</v>
      </c>
      <c r="F248">
        <v>141.19999999999999</v>
      </c>
      <c r="G248">
        <v>146.5</v>
      </c>
      <c r="H248">
        <v>125.6</v>
      </c>
      <c r="I248">
        <v>145.69999999999999</v>
      </c>
      <c r="J248">
        <v>178.8</v>
      </c>
      <c r="K248">
        <v>133.1</v>
      </c>
      <c r="L248">
        <v>113.6</v>
      </c>
      <c r="M248">
        <v>145.5</v>
      </c>
      <c r="N248">
        <v>138.6</v>
      </c>
      <c r="O248">
        <v>157.4</v>
      </c>
      <c r="P248">
        <v>148.30000000000001</v>
      </c>
      <c r="Q248">
        <v>146.69999999999999</v>
      </c>
      <c r="R248">
        <v>151</v>
      </c>
      <c r="S248">
        <v>151.69999999999999</v>
      </c>
      <c r="T248">
        <v>139.5</v>
      </c>
      <c r="U248">
        <v>150.6</v>
      </c>
      <c r="V248">
        <v>131.69999999999999</v>
      </c>
      <c r="W248">
        <v>160.69999999999999</v>
      </c>
      <c r="X248">
        <v>153.69999999999999</v>
      </c>
      <c r="Y248">
        <v>140.30000000000001</v>
      </c>
      <c r="Z248">
        <v>147.69999999999999</v>
      </c>
      <c r="AA248">
        <v>148.69999999999999</v>
      </c>
      <c r="AB248">
        <v>166.3</v>
      </c>
      <c r="AC248">
        <v>145.69999999999999</v>
      </c>
      <c r="AD248">
        <v>148.30000000000001</v>
      </c>
    </row>
    <row r="249" spans="1:30" x14ac:dyDescent="0.25">
      <c r="A249" t="s">
        <v>33</v>
      </c>
      <c r="B249">
        <v>2019</v>
      </c>
      <c r="C249" t="s">
        <v>43</v>
      </c>
      <c r="D249">
        <v>143.5</v>
      </c>
      <c r="E249">
        <v>159.80000000000001</v>
      </c>
      <c r="F249">
        <v>144.69999999999999</v>
      </c>
      <c r="G249">
        <v>145.6</v>
      </c>
      <c r="H249">
        <v>121.1</v>
      </c>
      <c r="I249">
        <v>150.6</v>
      </c>
      <c r="J249">
        <v>207.2</v>
      </c>
      <c r="K249">
        <v>131.19999999999999</v>
      </c>
      <c r="L249">
        <v>114.8</v>
      </c>
      <c r="M249">
        <v>145.19999999999999</v>
      </c>
      <c r="N249">
        <v>130.19999999999999</v>
      </c>
      <c r="O249">
        <v>156.80000000000001</v>
      </c>
      <c r="P249">
        <v>151.9</v>
      </c>
      <c r="Q249">
        <v>132.4</v>
      </c>
      <c r="R249">
        <v>143.9</v>
      </c>
      <c r="S249">
        <v>145.9</v>
      </c>
      <c r="T249">
        <v>153</v>
      </c>
      <c r="U249">
        <v>138.69999999999999</v>
      </c>
      <c r="V249">
        <v>121.5</v>
      </c>
      <c r="W249">
        <v>151.69999999999999</v>
      </c>
      <c r="X249">
        <v>142.4</v>
      </c>
      <c r="Y249">
        <v>139.5</v>
      </c>
      <c r="Z249">
        <v>128.9</v>
      </c>
      <c r="AA249">
        <v>136.19999999999999</v>
      </c>
      <c r="AB249">
        <v>169.3</v>
      </c>
      <c r="AC249">
        <v>136</v>
      </c>
      <c r="AD249">
        <v>146</v>
      </c>
    </row>
    <row r="250" spans="1:30" x14ac:dyDescent="0.25">
      <c r="A250" t="s">
        <v>34</v>
      </c>
      <c r="B250">
        <v>2019</v>
      </c>
      <c r="C250" t="s">
        <v>43</v>
      </c>
      <c r="D250">
        <v>141.80000000000001</v>
      </c>
      <c r="E250">
        <v>161</v>
      </c>
      <c r="F250">
        <v>142.6</v>
      </c>
      <c r="G250">
        <v>146.19999999999999</v>
      </c>
      <c r="H250">
        <v>123.9</v>
      </c>
      <c r="I250">
        <v>148</v>
      </c>
      <c r="J250">
        <v>188.4</v>
      </c>
      <c r="K250">
        <v>132.5</v>
      </c>
      <c r="L250">
        <v>114</v>
      </c>
      <c r="M250">
        <v>145.4</v>
      </c>
      <c r="N250">
        <v>135.1</v>
      </c>
      <c r="O250">
        <v>157.1</v>
      </c>
      <c r="P250">
        <v>149.6</v>
      </c>
      <c r="Q250">
        <v>140.80000000000001</v>
      </c>
      <c r="R250">
        <v>148.19999999999999</v>
      </c>
      <c r="S250">
        <v>149.4</v>
      </c>
      <c r="T250">
        <v>153</v>
      </c>
      <c r="U250">
        <v>145</v>
      </c>
      <c r="V250">
        <v>126.3</v>
      </c>
      <c r="W250">
        <v>155.4</v>
      </c>
      <c r="X250">
        <v>149.4</v>
      </c>
      <c r="Y250">
        <v>140</v>
      </c>
      <c r="Z250">
        <v>140.6</v>
      </c>
      <c r="AA250">
        <v>141.69999999999999</v>
      </c>
      <c r="AB250">
        <v>167.1</v>
      </c>
      <c r="AC250">
        <v>141</v>
      </c>
      <c r="AD250">
        <v>147.19999999999999</v>
      </c>
    </row>
    <row r="251" spans="1:30" x14ac:dyDescent="0.25">
      <c r="A251" t="s">
        <v>30</v>
      </c>
      <c r="B251">
        <v>2019</v>
      </c>
      <c r="C251" t="s">
        <v>45</v>
      </c>
      <c r="D251">
        <v>141.80000000000001</v>
      </c>
      <c r="E251">
        <v>163.69999999999999</v>
      </c>
      <c r="F251">
        <v>143.80000000000001</v>
      </c>
      <c r="G251">
        <v>147.1</v>
      </c>
      <c r="H251">
        <v>126</v>
      </c>
      <c r="I251">
        <v>146.19999999999999</v>
      </c>
      <c r="J251">
        <v>191.4</v>
      </c>
      <c r="K251">
        <v>136.19999999999999</v>
      </c>
      <c r="L251">
        <v>113.8</v>
      </c>
      <c r="M251">
        <v>147.30000000000001</v>
      </c>
      <c r="N251">
        <v>138.69999999999999</v>
      </c>
      <c r="O251">
        <v>157.69999999999999</v>
      </c>
      <c r="P251">
        <v>150.9</v>
      </c>
      <c r="Q251">
        <v>147</v>
      </c>
      <c r="R251">
        <v>151.5</v>
      </c>
      <c r="S251">
        <v>152.30000000000001</v>
      </c>
      <c r="T251">
        <v>139.5</v>
      </c>
      <c r="U251">
        <v>150.9</v>
      </c>
      <c r="V251">
        <v>132.1</v>
      </c>
      <c r="W251">
        <v>160.80000000000001</v>
      </c>
      <c r="X251">
        <v>154.30000000000001</v>
      </c>
      <c r="Y251">
        <v>140.6</v>
      </c>
      <c r="Z251">
        <v>148.4</v>
      </c>
      <c r="AA251">
        <v>149.1</v>
      </c>
      <c r="AB251">
        <v>167.2</v>
      </c>
      <c r="AC251">
        <v>146.1</v>
      </c>
      <c r="AD251">
        <v>149.9</v>
      </c>
    </row>
    <row r="252" spans="1:30" x14ac:dyDescent="0.25">
      <c r="A252" t="s">
        <v>33</v>
      </c>
      <c r="B252">
        <v>2019</v>
      </c>
      <c r="C252" t="s">
        <v>45</v>
      </c>
      <c r="D252">
        <v>144.1</v>
      </c>
      <c r="E252">
        <v>162.4</v>
      </c>
      <c r="F252">
        <v>148.4</v>
      </c>
      <c r="G252">
        <v>145.9</v>
      </c>
      <c r="H252">
        <v>121.5</v>
      </c>
      <c r="I252">
        <v>148.80000000000001</v>
      </c>
      <c r="J252">
        <v>215.7</v>
      </c>
      <c r="K252">
        <v>134.6</v>
      </c>
      <c r="L252">
        <v>115</v>
      </c>
      <c r="M252">
        <v>146.30000000000001</v>
      </c>
      <c r="N252">
        <v>130.5</v>
      </c>
      <c r="O252">
        <v>157.19999999999999</v>
      </c>
      <c r="P252">
        <v>153.6</v>
      </c>
      <c r="Q252">
        <v>132.6</v>
      </c>
      <c r="R252">
        <v>144.19999999999999</v>
      </c>
      <c r="S252">
        <v>146.30000000000001</v>
      </c>
      <c r="T252">
        <v>153.5</v>
      </c>
      <c r="U252">
        <v>139.1</v>
      </c>
      <c r="V252">
        <v>121.7</v>
      </c>
      <c r="W252">
        <v>151.80000000000001</v>
      </c>
      <c r="X252">
        <v>142.80000000000001</v>
      </c>
      <c r="Y252">
        <v>139.80000000000001</v>
      </c>
      <c r="Z252">
        <v>132.19999999999999</v>
      </c>
      <c r="AA252">
        <v>136.69999999999999</v>
      </c>
      <c r="AB252">
        <v>169.9</v>
      </c>
      <c r="AC252">
        <v>136.30000000000001</v>
      </c>
      <c r="AD252">
        <v>147</v>
      </c>
    </row>
    <row r="253" spans="1:30" x14ac:dyDescent="0.25">
      <c r="A253" t="s">
        <v>34</v>
      </c>
      <c r="B253">
        <v>2019</v>
      </c>
      <c r="C253" t="s">
        <v>45</v>
      </c>
      <c r="D253">
        <v>142.5</v>
      </c>
      <c r="E253">
        <v>163.19999999999999</v>
      </c>
      <c r="F253">
        <v>145.6</v>
      </c>
      <c r="G253">
        <v>146.69999999999999</v>
      </c>
      <c r="H253">
        <v>124.3</v>
      </c>
      <c r="I253">
        <v>147.4</v>
      </c>
      <c r="J253">
        <v>199.6</v>
      </c>
      <c r="K253">
        <v>135.69999999999999</v>
      </c>
      <c r="L253">
        <v>114.2</v>
      </c>
      <c r="M253">
        <v>147</v>
      </c>
      <c r="N253">
        <v>135.30000000000001</v>
      </c>
      <c r="O253">
        <v>157.5</v>
      </c>
      <c r="P253">
        <v>151.9</v>
      </c>
      <c r="Q253">
        <v>141</v>
      </c>
      <c r="R253">
        <v>148.6</v>
      </c>
      <c r="S253">
        <v>149.9</v>
      </c>
      <c r="T253">
        <v>153.5</v>
      </c>
      <c r="U253">
        <v>145.30000000000001</v>
      </c>
      <c r="V253">
        <v>126.6</v>
      </c>
      <c r="W253">
        <v>155.5</v>
      </c>
      <c r="X253">
        <v>149.9</v>
      </c>
      <c r="Y253">
        <v>140.30000000000001</v>
      </c>
      <c r="Z253">
        <v>142.30000000000001</v>
      </c>
      <c r="AA253">
        <v>142.1</v>
      </c>
      <c r="AB253">
        <v>167.9</v>
      </c>
      <c r="AC253">
        <v>141.30000000000001</v>
      </c>
      <c r="AD253">
        <v>148.6</v>
      </c>
    </row>
    <row r="254" spans="1:30" x14ac:dyDescent="0.25">
      <c r="A254" t="s">
        <v>30</v>
      </c>
      <c r="B254">
        <v>2019</v>
      </c>
      <c r="C254" t="s">
        <v>46</v>
      </c>
      <c r="D254">
        <v>142.80000000000001</v>
      </c>
      <c r="E254">
        <v>165.3</v>
      </c>
      <c r="F254">
        <v>149.5</v>
      </c>
      <c r="G254">
        <v>148.69999999999999</v>
      </c>
      <c r="H254">
        <v>127.5</v>
      </c>
      <c r="I254">
        <v>144.30000000000001</v>
      </c>
      <c r="J254">
        <v>209.5</v>
      </c>
      <c r="K254">
        <v>138.80000000000001</v>
      </c>
      <c r="L254">
        <v>113.6</v>
      </c>
      <c r="M254">
        <v>149.1</v>
      </c>
      <c r="N254">
        <v>139.30000000000001</v>
      </c>
      <c r="O254">
        <v>158.30000000000001</v>
      </c>
      <c r="P254">
        <v>154.30000000000001</v>
      </c>
      <c r="Q254">
        <v>147.30000000000001</v>
      </c>
      <c r="R254">
        <v>151.9</v>
      </c>
      <c r="S254">
        <v>152.6</v>
      </c>
      <c r="T254">
        <v>139.5</v>
      </c>
      <c r="U254">
        <v>151.19999999999999</v>
      </c>
      <c r="V254">
        <v>135</v>
      </c>
      <c r="W254">
        <v>161.1</v>
      </c>
      <c r="X254">
        <v>154.80000000000001</v>
      </c>
      <c r="Y254">
        <v>140.6</v>
      </c>
      <c r="Z254">
        <v>149.9</v>
      </c>
      <c r="AA254">
        <v>149.5</v>
      </c>
      <c r="AB254">
        <v>167.8</v>
      </c>
      <c r="AC254">
        <v>147.1</v>
      </c>
      <c r="AD254">
        <v>152.30000000000001</v>
      </c>
    </row>
    <row r="255" spans="1:30" x14ac:dyDescent="0.25">
      <c r="A255" t="s">
        <v>33</v>
      </c>
      <c r="B255">
        <v>2019</v>
      </c>
      <c r="C255" t="s">
        <v>46</v>
      </c>
      <c r="D255">
        <v>144.9</v>
      </c>
      <c r="E255">
        <v>164.5</v>
      </c>
      <c r="F255">
        <v>153.69999999999999</v>
      </c>
      <c r="G255">
        <v>147.5</v>
      </c>
      <c r="H255">
        <v>122.7</v>
      </c>
      <c r="I255">
        <v>147.19999999999999</v>
      </c>
      <c r="J255">
        <v>231.5</v>
      </c>
      <c r="K255">
        <v>137.19999999999999</v>
      </c>
      <c r="L255">
        <v>114.7</v>
      </c>
      <c r="M255">
        <v>148</v>
      </c>
      <c r="N255">
        <v>130.80000000000001</v>
      </c>
      <c r="O255">
        <v>157.69999999999999</v>
      </c>
      <c r="P255">
        <v>156.30000000000001</v>
      </c>
      <c r="Q255">
        <v>132.80000000000001</v>
      </c>
      <c r="R255">
        <v>144.6</v>
      </c>
      <c r="S255">
        <v>146.80000000000001</v>
      </c>
      <c r="T255">
        <v>152.80000000000001</v>
      </c>
      <c r="U255">
        <v>139.80000000000001</v>
      </c>
      <c r="V255">
        <v>125.2</v>
      </c>
      <c r="W255">
        <v>151.9</v>
      </c>
      <c r="X255">
        <v>143.19999999999999</v>
      </c>
      <c r="Y255">
        <v>140.19999999999999</v>
      </c>
      <c r="Z255">
        <v>133.6</v>
      </c>
      <c r="AA255">
        <v>136.80000000000001</v>
      </c>
      <c r="AB255">
        <v>170.4</v>
      </c>
      <c r="AC255">
        <v>137.69999999999999</v>
      </c>
      <c r="AD255">
        <v>148.30000000000001</v>
      </c>
    </row>
    <row r="256" spans="1:30" x14ac:dyDescent="0.25">
      <c r="A256" t="s">
        <v>34</v>
      </c>
      <c r="B256">
        <v>2019</v>
      </c>
      <c r="C256" t="s">
        <v>46</v>
      </c>
      <c r="D256">
        <v>143.5</v>
      </c>
      <c r="E256">
        <v>165</v>
      </c>
      <c r="F256">
        <v>151.1</v>
      </c>
      <c r="G256">
        <v>148.30000000000001</v>
      </c>
      <c r="H256">
        <v>125.7</v>
      </c>
      <c r="I256">
        <v>145.69999999999999</v>
      </c>
      <c r="J256">
        <v>217</v>
      </c>
      <c r="K256">
        <v>138.30000000000001</v>
      </c>
      <c r="L256">
        <v>114</v>
      </c>
      <c r="M256">
        <v>148.69999999999999</v>
      </c>
      <c r="N256">
        <v>135.80000000000001</v>
      </c>
      <c r="O256">
        <v>158</v>
      </c>
      <c r="P256">
        <v>155</v>
      </c>
      <c r="Q256">
        <v>141.30000000000001</v>
      </c>
      <c r="R256">
        <v>149</v>
      </c>
      <c r="S256">
        <v>150.30000000000001</v>
      </c>
      <c r="T256">
        <v>152.80000000000001</v>
      </c>
      <c r="U256">
        <v>145.80000000000001</v>
      </c>
      <c r="V256">
        <v>129.80000000000001</v>
      </c>
      <c r="W256">
        <v>155.69999999999999</v>
      </c>
      <c r="X256">
        <v>150.4</v>
      </c>
      <c r="Y256">
        <v>140.4</v>
      </c>
      <c r="Z256">
        <v>143.69999999999999</v>
      </c>
      <c r="AA256">
        <v>142.30000000000001</v>
      </c>
      <c r="AB256">
        <v>168.5</v>
      </c>
      <c r="AC256">
        <v>142.5</v>
      </c>
      <c r="AD256">
        <v>150.4</v>
      </c>
    </row>
    <row r="257" spans="1:31" x14ac:dyDescent="0.25">
      <c r="A257" t="s">
        <v>30</v>
      </c>
      <c r="B257">
        <v>2020</v>
      </c>
      <c r="C257" t="s">
        <v>31</v>
      </c>
      <c r="D257">
        <v>143.69999999999999</v>
      </c>
      <c r="E257">
        <v>167.3</v>
      </c>
      <c r="F257">
        <v>153.5</v>
      </c>
      <c r="G257">
        <v>150.5</v>
      </c>
      <c r="H257">
        <v>132</v>
      </c>
      <c r="I257">
        <v>142.19999999999999</v>
      </c>
      <c r="J257">
        <v>191.5</v>
      </c>
      <c r="K257">
        <v>141.1</v>
      </c>
      <c r="L257">
        <v>113.8</v>
      </c>
      <c r="M257">
        <v>151.6</v>
      </c>
      <c r="N257">
        <v>139.69999999999999</v>
      </c>
      <c r="O257">
        <v>158.69999999999999</v>
      </c>
      <c r="P257">
        <v>153</v>
      </c>
      <c r="Q257">
        <v>147.4</v>
      </c>
      <c r="R257">
        <v>152.1</v>
      </c>
      <c r="S257">
        <v>152.80000000000001</v>
      </c>
      <c r="T257">
        <v>139.5</v>
      </c>
      <c r="U257">
        <v>151.69999999999999</v>
      </c>
      <c r="V257">
        <v>136.30000000000001</v>
      </c>
      <c r="W257">
        <v>161.69999999999999</v>
      </c>
      <c r="X257">
        <v>155.69999999999999</v>
      </c>
      <c r="Y257">
        <v>142.5</v>
      </c>
      <c r="Z257">
        <v>150.4</v>
      </c>
      <c r="AA257">
        <v>150.1</v>
      </c>
      <c r="AB257">
        <v>168.6</v>
      </c>
      <c r="AC257">
        <v>148.1</v>
      </c>
      <c r="AD257">
        <v>151.9</v>
      </c>
    </row>
    <row r="258" spans="1:31" x14ac:dyDescent="0.25">
      <c r="A258" t="s">
        <v>33</v>
      </c>
      <c r="B258">
        <v>2020</v>
      </c>
      <c r="C258" t="s">
        <v>31</v>
      </c>
      <c r="D258">
        <v>145.6</v>
      </c>
      <c r="E258">
        <v>167.6</v>
      </c>
      <c r="F258">
        <v>157</v>
      </c>
      <c r="G258">
        <v>149.30000000000001</v>
      </c>
      <c r="H258">
        <v>126.3</v>
      </c>
      <c r="I258">
        <v>144.4</v>
      </c>
      <c r="J258">
        <v>207.8</v>
      </c>
      <c r="K258">
        <v>139.1</v>
      </c>
      <c r="L258">
        <v>114.8</v>
      </c>
      <c r="M258">
        <v>149.5</v>
      </c>
      <c r="N258">
        <v>131.1</v>
      </c>
      <c r="O258">
        <v>158.5</v>
      </c>
      <c r="P258">
        <v>154.4</v>
      </c>
      <c r="Q258">
        <v>133.19999999999999</v>
      </c>
      <c r="R258">
        <v>144.9</v>
      </c>
      <c r="S258">
        <v>147</v>
      </c>
      <c r="T258">
        <v>153.9</v>
      </c>
      <c r="U258">
        <v>140.1</v>
      </c>
      <c r="V258">
        <v>126.1</v>
      </c>
      <c r="W258">
        <v>152.1</v>
      </c>
      <c r="X258">
        <v>143.80000000000001</v>
      </c>
      <c r="Y258">
        <v>142.1</v>
      </c>
      <c r="Z258">
        <v>135.1</v>
      </c>
      <c r="AA258">
        <v>137.19999999999999</v>
      </c>
      <c r="AB258">
        <v>170.8</v>
      </c>
      <c r="AC258">
        <v>138.4</v>
      </c>
      <c r="AD258">
        <v>148.19999999999999</v>
      </c>
    </row>
    <row r="259" spans="1:31" x14ac:dyDescent="0.25">
      <c r="A259" t="s">
        <v>34</v>
      </c>
      <c r="B259">
        <v>2020</v>
      </c>
      <c r="C259" t="s">
        <v>31</v>
      </c>
      <c r="D259">
        <v>144.30000000000001</v>
      </c>
      <c r="E259">
        <v>167.4</v>
      </c>
      <c r="F259">
        <v>154.9</v>
      </c>
      <c r="G259">
        <v>150.1</v>
      </c>
      <c r="H259">
        <v>129.9</v>
      </c>
      <c r="I259">
        <v>143.19999999999999</v>
      </c>
      <c r="J259">
        <v>197</v>
      </c>
      <c r="K259">
        <v>140.4</v>
      </c>
      <c r="L259">
        <v>114.1</v>
      </c>
      <c r="M259">
        <v>150.9</v>
      </c>
      <c r="N259">
        <v>136.1</v>
      </c>
      <c r="O259">
        <v>158.6</v>
      </c>
      <c r="P259">
        <v>153.5</v>
      </c>
      <c r="Q259">
        <v>141.5</v>
      </c>
      <c r="R259">
        <v>149.19999999999999</v>
      </c>
      <c r="S259">
        <v>150.5</v>
      </c>
      <c r="T259">
        <v>153.9</v>
      </c>
      <c r="U259">
        <v>146.19999999999999</v>
      </c>
      <c r="V259">
        <v>130.9</v>
      </c>
      <c r="W259">
        <v>156.1</v>
      </c>
      <c r="X259">
        <v>151.19999999999999</v>
      </c>
      <c r="Y259">
        <v>142.30000000000001</v>
      </c>
      <c r="Z259">
        <v>144.6</v>
      </c>
      <c r="AA259">
        <v>142.80000000000001</v>
      </c>
      <c r="AB259">
        <v>169.2</v>
      </c>
      <c r="AC259">
        <v>143.4</v>
      </c>
      <c r="AD259">
        <v>150.19999999999999</v>
      </c>
    </row>
    <row r="260" spans="1:31" x14ac:dyDescent="0.25">
      <c r="A260" t="s">
        <v>30</v>
      </c>
      <c r="B260">
        <v>2020</v>
      </c>
      <c r="C260" t="s">
        <v>35</v>
      </c>
      <c r="D260">
        <v>144.19999999999999</v>
      </c>
      <c r="E260">
        <v>167.5</v>
      </c>
      <c r="F260">
        <v>150.9</v>
      </c>
      <c r="G260">
        <v>150.9</v>
      </c>
      <c r="H260">
        <v>133.69999999999999</v>
      </c>
      <c r="I260">
        <v>140.69999999999999</v>
      </c>
      <c r="J260">
        <v>165.1</v>
      </c>
      <c r="K260">
        <v>141.80000000000001</v>
      </c>
      <c r="L260">
        <v>113.1</v>
      </c>
      <c r="M260">
        <v>152.80000000000001</v>
      </c>
      <c r="N260">
        <v>140.1</v>
      </c>
      <c r="O260">
        <v>159.19999999999999</v>
      </c>
      <c r="P260">
        <v>149.80000000000001</v>
      </c>
      <c r="Q260">
        <v>147.5</v>
      </c>
      <c r="R260">
        <v>152.30000000000001</v>
      </c>
      <c r="S260">
        <v>153</v>
      </c>
      <c r="T260">
        <v>139.5</v>
      </c>
      <c r="U260">
        <v>151.80000000000001</v>
      </c>
      <c r="V260">
        <v>136</v>
      </c>
      <c r="W260">
        <v>161.9</v>
      </c>
      <c r="X260">
        <v>156.19999999999999</v>
      </c>
      <c r="Y260">
        <v>143.4</v>
      </c>
      <c r="Z260">
        <v>152.30000000000001</v>
      </c>
      <c r="AA260">
        <v>150.4</v>
      </c>
      <c r="AB260">
        <v>169.4</v>
      </c>
      <c r="AC260">
        <v>148.4</v>
      </c>
      <c r="AD260">
        <v>150.4</v>
      </c>
    </row>
    <row r="261" spans="1:31" x14ac:dyDescent="0.25">
      <c r="A261" t="s">
        <v>33</v>
      </c>
      <c r="B261">
        <v>2020</v>
      </c>
      <c r="C261" t="s">
        <v>35</v>
      </c>
      <c r="D261">
        <v>146.19999999999999</v>
      </c>
      <c r="E261">
        <v>167.6</v>
      </c>
      <c r="F261">
        <v>153.1</v>
      </c>
      <c r="G261">
        <v>150.69999999999999</v>
      </c>
      <c r="H261">
        <v>127.4</v>
      </c>
      <c r="I261">
        <v>143.1</v>
      </c>
      <c r="J261">
        <v>181.7</v>
      </c>
      <c r="K261">
        <v>139.6</v>
      </c>
      <c r="L261">
        <v>114.6</v>
      </c>
      <c r="M261">
        <v>150.4</v>
      </c>
      <c r="N261">
        <v>131.5</v>
      </c>
      <c r="O261">
        <v>159</v>
      </c>
      <c r="P261">
        <v>151.69999999999999</v>
      </c>
      <c r="Q261">
        <v>133.5</v>
      </c>
      <c r="R261">
        <v>145.19999999999999</v>
      </c>
      <c r="S261">
        <v>147.30000000000001</v>
      </c>
      <c r="T261">
        <v>154.80000000000001</v>
      </c>
      <c r="U261">
        <v>140.4</v>
      </c>
      <c r="V261">
        <v>125.2</v>
      </c>
      <c r="W261">
        <v>152.19999999999999</v>
      </c>
      <c r="X261">
        <v>144.4</v>
      </c>
      <c r="Y261">
        <v>143.5</v>
      </c>
      <c r="Z261">
        <v>138.9</v>
      </c>
      <c r="AA261">
        <v>137.69999999999999</v>
      </c>
      <c r="AB261">
        <v>172</v>
      </c>
      <c r="AC261">
        <v>138.4</v>
      </c>
      <c r="AD261">
        <v>147.69999999999999</v>
      </c>
    </row>
    <row r="262" spans="1:31" x14ac:dyDescent="0.25">
      <c r="A262" t="s">
        <v>34</v>
      </c>
      <c r="B262">
        <v>2020</v>
      </c>
      <c r="C262" t="s">
        <v>35</v>
      </c>
      <c r="D262">
        <v>144.80000000000001</v>
      </c>
      <c r="E262">
        <v>167.5</v>
      </c>
      <c r="F262">
        <v>151.80000000000001</v>
      </c>
      <c r="G262">
        <v>150.80000000000001</v>
      </c>
      <c r="H262">
        <v>131.4</v>
      </c>
      <c r="I262">
        <v>141.80000000000001</v>
      </c>
      <c r="J262">
        <v>170.7</v>
      </c>
      <c r="K262">
        <v>141.1</v>
      </c>
      <c r="L262">
        <v>113.6</v>
      </c>
      <c r="M262">
        <v>152</v>
      </c>
      <c r="N262">
        <v>136.5</v>
      </c>
      <c r="O262">
        <v>159.1</v>
      </c>
      <c r="P262">
        <v>150.5</v>
      </c>
      <c r="Q262">
        <v>141.69999999999999</v>
      </c>
      <c r="R262">
        <v>149.5</v>
      </c>
      <c r="S262">
        <v>150.80000000000001</v>
      </c>
      <c r="T262">
        <v>154.80000000000001</v>
      </c>
      <c r="U262">
        <v>146.4</v>
      </c>
      <c r="V262">
        <v>130.30000000000001</v>
      </c>
      <c r="W262">
        <v>156.19999999999999</v>
      </c>
      <c r="X262">
        <v>151.69999999999999</v>
      </c>
      <c r="Y262">
        <v>143.4</v>
      </c>
      <c r="Z262">
        <v>147.19999999999999</v>
      </c>
      <c r="AA262">
        <v>143.19999999999999</v>
      </c>
      <c r="AB262">
        <v>170.1</v>
      </c>
      <c r="AC262">
        <v>143.6</v>
      </c>
      <c r="AD262">
        <v>149.1</v>
      </c>
    </row>
    <row r="263" spans="1:31" x14ac:dyDescent="0.25">
      <c r="A263" t="s">
        <v>30</v>
      </c>
      <c r="B263">
        <v>2020</v>
      </c>
      <c r="C263" t="s">
        <v>36</v>
      </c>
      <c r="D263">
        <v>144.4</v>
      </c>
      <c r="E263">
        <v>166.8</v>
      </c>
      <c r="F263">
        <v>147.6</v>
      </c>
      <c r="G263">
        <v>151.69999999999999</v>
      </c>
      <c r="H263">
        <v>133.30000000000001</v>
      </c>
      <c r="I263">
        <v>141.80000000000001</v>
      </c>
      <c r="J263">
        <v>152.30000000000001</v>
      </c>
      <c r="K263">
        <v>141.80000000000001</v>
      </c>
      <c r="L263">
        <v>112.6</v>
      </c>
      <c r="M263">
        <v>154</v>
      </c>
      <c r="N263">
        <v>140.1</v>
      </c>
      <c r="O263">
        <v>160</v>
      </c>
      <c r="P263">
        <v>148.19999999999999</v>
      </c>
      <c r="Q263">
        <v>147.6</v>
      </c>
      <c r="R263">
        <v>152.5</v>
      </c>
      <c r="S263">
        <v>153.4</v>
      </c>
      <c r="T263">
        <v>139.5</v>
      </c>
      <c r="U263">
        <v>151.5</v>
      </c>
      <c r="V263">
        <v>135.80000000000001</v>
      </c>
      <c r="W263">
        <v>161.19999999999999</v>
      </c>
      <c r="X263">
        <v>156.69999999999999</v>
      </c>
      <c r="Y263">
        <v>145.1</v>
      </c>
      <c r="Z263">
        <v>153.4</v>
      </c>
      <c r="AA263">
        <v>151.19999999999999</v>
      </c>
      <c r="AB263">
        <v>170.5</v>
      </c>
      <c r="AC263">
        <v>148.6</v>
      </c>
      <c r="AD263">
        <v>149.80000000000001</v>
      </c>
    </row>
    <row r="264" spans="1:31" x14ac:dyDescent="0.25">
      <c r="A264" t="s">
        <v>33</v>
      </c>
      <c r="B264">
        <v>2020</v>
      </c>
      <c r="C264" t="s">
        <v>36</v>
      </c>
      <c r="D264">
        <v>146.5</v>
      </c>
      <c r="E264">
        <v>167.5</v>
      </c>
      <c r="F264">
        <v>148.9</v>
      </c>
      <c r="G264">
        <v>151.1</v>
      </c>
      <c r="H264">
        <v>127.5</v>
      </c>
      <c r="I264">
        <v>143.30000000000001</v>
      </c>
      <c r="J264">
        <v>167</v>
      </c>
      <c r="K264">
        <v>139.69999999999999</v>
      </c>
      <c r="L264">
        <v>114.4</v>
      </c>
      <c r="M264">
        <v>151.5</v>
      </c>
      <c r="N264">
        <v>131.9</v>
      </c>
      <c r="O264">
        <v>159.1</v>
      </c>
      <c r="P264">
        <v>150.1</v>
      </c>
      <c r="Q264">
        <v>133.80000000000001</v>
      </c>
      <c r="R264">
        <v>145.6</v>
      </c>
      <c r="S264">
        <v>147.69999999999999</v>
      </c>
      <c r="T264">
        <v>154.5</v>
      </c>
      <c r="U264">
        <v>140.80000000000001</v>
      </c>
      <c r="V264">
        <v>124.6</v>
      </c>
      <c r="W264">
        <v>152.5</v>
      </c>
      <c r="X264">
        <v>145</v>
      </c>
      <c r="Y264">
        <v>145.30000000000001</v>
      </c>
      <c r="Z264">
        <v>141.4</v>
      </c>
      <c r="AA264">
        <v>137.9</v>
      </c>
      <c r="AB264">
        <v>173.3</v>
      </c>
      <c r="AC264">
        <v>138.69999999999999</v>
      </c>
      <c r="AD264">
        <v>147.30000000000001</v>
      </c>
    </row>
    <row r="265" spans="1:31" x14ac:dyDescent="0.25">
      <c r="A265" t="s">
        <v>34</v>
      </c>
      <c r="B265">
        <v>2020</v>
      </c>
      <c r="C265" t="s">
        <v>36</v>
      </c>
      <c r="D265">
        <v>145.1</v>
      </c>
      <c r="E265">
        <v>167</v>
      </c>
      <c r="F265">
        <v>148.1</v>
      </c>
      <c r="G265">
        <v>151.5</v>
      </c>
      <c r="H265">
        <v>131.19999999999999</v>
      </c>
      <c r="I265">
        <v>142.5</v>
      </c>
      <c r="J265">
        <v>157.30000000000001</v>
      </c>
      <c r="K265">
        <v>141.1</v>
      </c>
      <c r="L265">
        <v>113.2</v>
      </c>
      <c r="M265">
        <v>153.19999999999999</v>
      </c>
      <c r="N265">
        <v>136.69999999999999</v>
      </c>
      <c r="O265">
        <v>159.6</v>
      </c>
      <c r="P265">
        <v>148.9</v>
      </c>
      <c r="Q265">
        <v>141.9</v>
      </c>
      <c r="R265">
        <v>149.80000000000001</v>
      </c>
      <c r="S265">
        <v>151.19999999999999</v>
      </c>
      <c r="T265">
        <v>154.5</v>
      </c>
      <c r="U265">
        <v>146.4</v>
      </c>
      <c r="V265">
        <v>129.9</v>
      </c>
      <c r="W265">
        <v>156.1</v>
      </c>
      <c r="X265">
        <v>152.30000000000001</v>
      </c>
      <c r="Y265">
        <v>145.19999999999999</v>
      </c>
      <c r="Z265">
        <v>148.9</v>
      </c>
      <c r="AA265">
        <v>143.69999999999999</v>
      </c>
      <c r="AB265">
        <v>171.2</v>
      </c>
      <c r="AC265">
        <v>143.80000000000001</v>
      </c>
      <c r="AD265">
        <v>148.6</v>
      </c>
    </row>
    <row r="266" spans="1:31" x14ac:dyDescent="0.25">
      <c r="A266" t="s">
        <v>30</v>
      </c>
      <c r="B266">
        <v>2020</v>
      </c>
      <c r="C266" t="s">
        <v>37</v>
      </c>
      <c r="D266">
        <v>147.19999999999999</v>
      </c>
      <c r="E266">
        <f t="shared" ref="E266:E271" si="0">AVERAGE(E263:E265)</f>
        <v>167.1</v>
      </c>
      <c r="F266">
        <v>146.9</v>
      </c>
      <c r="G266">
        <v>155.6</v>
      </c>
      <c r="H266">
        <v>137.1</v>
      </c>
      <c r="I266">
        <v>147.30000000000001</v>
      </c>
      <c r="J266">
        <v>162.69999999999999</v>
      </c>
      <c r="K266">
        <v>150.19999999999999</v>
      </c>
      <c r="L266">
        <v>119.8</v>
      </c>
      <c r="M266">
        <v>158.69999999999999</v>
      </c>
      <c r="N266">
        <v>139.19999999999999</v>
      </c>
      <c r="O266" s="2">
        <f t="shared" ref="O266:O271" si="1">AVERAGE(O263:O265)</f>
        <v>159.56666666666669</v>
      </c>
      <c r="P266">
        <v>150.1</v>
      </c>
      <c r="Q266" s="2">
        <f t="shared" ref="Q266:W271" si="2">AVERAGE(Q263:Q265)</f>
        <v>141.1</v>
      </c>
      <c r="R266" s="2">
        <f t="shared" si="2"/>
        <v>149.30000000000001</v>
      </c>
      <c r="S266" s="2">
        <f t="shared" si="2"/>
        <v>150.76666666666668</v>
      </c>
      <c r="T266" s="2">
        <f t="shared" si="2"/>
        <v>149.5</v>
      </c>
      <c r="U266" s="2">
        <f t="shared" si="2"/>
        <v>146.23333333333335</v>
      </c>
      <c r="V266" s="2">
        <f t="shared" si="2"/>
        <v>130.1</v>
      </c>
      <c r="W266" s="2">
        <f t="shared" si="2"/>
        <v>156.6</v>
      </c>
      <c r="X266">
        <v>154.30000000000001</v>
      </c>
      <c r="Y266" s="2">
        <f t="shared" ref="Y266:Z271" si="3">AVERAGE(Y263:Y265)</f>
        <v>145.19999999999999</v>
      </c>
      <c r="Z266" s="2">
        <f t="shared" si="3"/>
        <v>147.9</v>
      </c>
      <c r="AA266" s="2">
        <f t="shared" ref="AA266:AD268" si="4">AVERAGE(AA263:AA265)</f>
        <v>144.26666666666668</v>
      </c>
      <c r="AB266" s="2">
        <f t="shared" ref="AB266:AB271" si="5">AVERAGE(AB263:AB265)</f>
        <v>171.66666666666666</v>
      </c>
      <c r="AC266" s="2">
        <f t="shared" si="4"/>
        <v>143.69999999999999</v>
      </c>
      <c r="AD266" s="2">
        <f t="shared" si="4"/>
        <v>148.56666666666669</v>
      </c>
    </row>
    <row r="267" spans="1:31" x14ac:dyDescent="0.25">
      <c r="A267" t="s">
        <v>33</v>
      </c>
      <c r="B267">
        <v>2020</v>
      </c>
      <c r="C267" t="s">
        <v>37</v>
      </c>
      <c r="D267">
        <v>151.80000000000001</v>
      </c>
      <c r="E267">
        <f t="shared" si="0"/>
        <v>167.20000000000002</v>
      </c>
      <c r="F267">
        <v>151.9</v>
      </c>
      <c r="G267">
        <v>155.5</v>
      </c>
      <c r="H267">
        <v>131.6</v>
      </c>
      <c r="I267">
        <v>152.9</v>
      </c>
      <c r="J267">
        <v>180</v>
      </c>
      <c r="K267">
        <v>150.80000000000001</v>
      </c>
      <c r="L267">
        <v>121.2</v>
      </c>
      <c r="M267">
        <v>154</v>
      </c>
      <c r="N267">
        <v>133.5</v>
      </c>
      <c r="O267" s="2">
        <f t="shared" si="1"/>
        <v>159.42222222222222</v>
      </c>
      <c r="P267">
        <v>153.5</v>
      </c>
      <c r="Q267" s="2">
        <f t="shared" si="2"/>
        <v>138.93333333333337</v>
      </c>
      <c r="R267" s="2">
        <f t="shared" si="2"/>
        <v>148.23333333333332</v>
      </c>
      <c r="S267" s="2">
        <f t="shared" si="2"/>
        <v>149.88888888888889</v>
      </c>
      <c r="T267" s="2">
        <f t="shared" si="2"/>
        <v>152.83333333333334</v>
      </c>
      <c r="U267" s="2">
        <f t="shared" si="2"/>
        <v>144.47777777777779</v>
      </c>
      <c r="V267" s="2">
        <f t="shared" si="2"/>
        <v>128.20000000000002</v>
      </c>
      <c r="W267" s="2">
        <f t="shared" si="2"/>
        <v>155.06666666666669</v>
      </c>
      <c r="X267">
        <v>144.80000000000001</v>
      </c>
      <c r="Y267" s="2">
        <f t="shared" si="3"/>
        <v>145.23333333333332</v>
      </c>
      <c r="Z267" s="2">
        <f t="shared" si="3"/>
        <v>146.06666666666669</v>
      </c>
      <c r="AA267" s="2">
        <f t="shared" si="4"/>
        <v>141.95555555555555</v>
      </c>
      <c r="AB267" s="2">
        <f t="shared" si="5"/>
        <v>172.05555555555554</v>
      </c>
      <c r="AC267" s="2">
        <f t="shared" si="4"/>
        <v>142.06666666666666</v>
      </c>
      <c r="AD267" s="2">
        <f t="shared" si="4"/>
        <v>148.15555555555557</v>
      </c>
    </row>
    <row r="268" spans="1:31" x14ac:dyDescent="0.25">
      <c r="A268" t="s">
        <v>34</v>
      </c>
      <c r="B268">
        <v>2020</v>
      </c>
      <c r="C268" t="s">
        <v>37</v>
      </c>
      <c r="D268">
        <v>148.69999999999999</v>
      </c>
      <c r="E268">
        <f t="shared" si="0"/>
        <v>167.10000000000002</v>
      </c>
      <c r="F268">
        <v>148.80000000000001</v>
      </c>
      <c r="G268">
        <v>155.6</v>
      </c>
      <c r="H268">
        <v>135.1</v>
      </c>
      <c r="I268">
        <v>149.9</v>
      </c>
      <c r="J268">
        <v>168.6</v>
      </c>
      <c r="K268">
        <v>150.4</v>
      </c>
      <c r="L268">
        <v>120.3</v>
      </c>
      <c r="M268">
        <v>157.1</v>
      </c>
      <c r="N268">
        <v>136.80000000000001</v>
      </c>
      <c r="O268" s="2">
        <f t="shared" si="1"/>
        <v>159.52962962962962</v>
      </c>
      <c r="P268">
        <v>151.4</v>
      </c>
      <c r="Q268" s="2">
        <f t="shared" si="2"/>
        <v>140.64444444444447</v>
      </c>
      <c r="R268" s="2">
        <f t="shared" si="2"/>
        <v>149.11111111111111</v>
      </c>
      <c r="S268" s="2">
        <f t="shared" si="2"/>
        <v>150.61851851851853</v>
      </c>
      <c r="T268" s="2">
        <f t="shared" si="2"/>
        <v>152.2777777777778</v>
      </c>
      <c r="U268" s="2">
        <f t="shared" si="2"/>
        <v>145.7037037037037</v>
      </c>
      <c r="V268" s="2">
        <f t="shared" si="2"/>
        <v>129.4</v>
      </c>
      <c r="W268" s="2">
        <f t="shared" si="2"/>
        <v>155.92222222222222</v>
      </c>
      <c r="X268">
        <v>150.69999999999999</v>
      </c>
      <c r="Y268" s="2">
        <f t="shared" si="3"/>
        <v>145.21111111111111</v>
      </c>
      <c r="Z268" s="2">
        <f t="shared" si="3"/>
        <v>147.62222222222223</v>
      </c>
      <c r="AA268" s="2">
        <f t="shared" si="4"/>
        <v>143.3074074074074</v>
      </c>
      <c r="AB268" s="2">
        <f t="shared" si="5"/>
        <v>171.64074074074074</v>
      </c>
      <c r="AC268" s="2">
        <f t="shared" si="4"/>
        <v>143.1888888888889</v>
      </c>
      <c r="AD268" s="2">
        <f t="shared" si="4"/>
        <v>148.44074074074075</v>
      </c>
    </row>
    <row r="269" spans="1:31" x14ac:dyDescent="0.25">
      <c r="A269" t="s">
        <v>30</v>
      </c>
      <c r="B269">
        <v>2020</v>
      </c>
      <c r="C269" t="s">
        <v>38</v>
      </c>
      <c r="D269" s="2">
        <f>AVERAGE(D266:D268)</f>
        <v>149.23333333333332</v>
      </c>
      <c r="E269" s="2">
        <f t="shared" si="0"/>
        <v>167.13333333333335</v>
      </c>
      <c r="F269" s="2">
        <f t="shared" ref="F269:N271" si="6">AVERAGE(F266:F268)</f>
        <v>149.20000000000002</v>
      </c>
      <c r="G269" s="2">
        <f t="shared" si="6"/>
        <v>155.56666666666669</v>
      </c>
      <c r="H269" s="2">
        <f t="shared" si="6"/>
        <v>134.6</v>
      </c>
      <c r="I269" s="2">
        <f t="shared" si="6"/>
        <v>150.03333333333333</v>
      </c>
      <c r="J269" s="2">
        <f t="shared" si="6"/>
        <v>170.43333333333331</v>
      </c>
      <c r="K269" s="2">
        <f t="shared" si="6"/>
        <v>150.46666666666667</v>
      </c>
      <c r="L269" s="2">
        <f t="shared" si="6"/>
        <v>120.43333333333334</v>
      </c>
      <c r="M269" s="2">
        <f t="shared" si="6"/>
        <v>156.6</v>
      </c>
      <c r="N269" s="2">
        <f t="shared" si="6"/>
        <v>136.5</v>
      </c>
      <c r="O269" s="2">
        <f t="shared" si="1"/>
        <v>159.50617283950621</v>
      </c>
      <c r="P269" s="2">
        <f>AVERAGE(P266:P268)</f>
        <v>151.66666666666666</v>
      </c>
      <c r="Q269" s="2">
        <f t="shared" si="2"/>
        <v>140.22592592592594</v>
      </c>
      <c r="R269" s="2">
        <f t="shared" si="2"/>
        <v>148.88148148148147</v>
      </c>
      <c r="S269" s="2">
        <f t="shared" si="2"/>
        <v>150.42469135802469</v>
      </c>
      <c r="T269" s="2">
        <f t="shared" si="2"/>
        <v>151.53703703703707</v>
      </c>
      <c r="U269" s="2">
        <f t="shared" si="2"/>
        <v>145.47160493827161</v>
      </c>
      <c r="V269" s="2">
        <f t="shared" si="2"/>
        <v>129.23333333333335</v>
      </c>
      <c r="W269" s="2">
        <f t="shared" si="2"/>
        <v>155.86296296296297</v>
      </c>
      <c r="X269" s="2">
        <f>AVERAGE(X266:X268)</f>
        <v>149.93333333333334</v>
      </c>
      <c r="Y269" s="2">
        <f t="shared" si="3"/>
        <v>145.21481481481479</v>
      </c>
      <c r="Z269" s="2">
        <f t="shared" si="3"/>
        <v>147.19629629629631</v>
      </c>
      <c r="AA269" s="2">
        <f>AVERAGE(AA266:AA268)</f>
        <v>143.17654320987654</v>
      </c>
      <c r="AB269" s="2">
        <f t="shared" si="5"/>
        <v>171.78765432098763</v>
      </c>
      <c r="AC269" s="2">
        <f t="shared" ref="AC269:AD271" si="7">AVERAGE(AC266:AC268)</f>
        <v>142.98518518518517</v>
      </c>
      <c r="AD269" s="2">
        <f t="shared" si="7"/>
        <v>148.38765432098768</v>
      </c>
      <c r="AE269" s="2"/>
    </row>
    <row r="270" spans="1:31" x14ac:dyDescent="0.25">
      <c r="A270" t="s">
        <v>33</v>
      </c>
      <c r="B270">
        <v>2020</v>
      </c>
      <c r="C270" t="s">
        <v>38</v>
      </c>
      <c r="D270" s="2">
        <f>AVERAGE(D267:D269)</f>
        <v>149.91111111111113</v>
      </c>
      <c r="E270" s="2">
        <f t="shared" si="0"/>
        <v>167.14444444444447</v>
      </c>
      <c r="F270" s="2">
        <f t="shared" si="6"/>
        <v>149.9666666666667</v>
      </c>
      <c r="G270" s="2">
        <f t="shared" si="6"/>
        <v>155.55555555555557</v>
      </c>
      <c r="H270" s="2">
        <f t="shared" si="6"/>
        <v>133.76666666666665</v>
      </c>
      <c r="I270" s="2">
        <f t="shared" si="6"/>
        <v>150.94444444444446</v>
      </c>
      <c r="J270" s="2">
        <f t="shared" si="6"/>
        <v>173.01111111111109</v>
      </c>
      <c r="K270" s="2">
        <f t="shared" si="6"/>
        <v>150.55555555555557</v>
      </c>
      <c r="L270" s="2">
        <f t="shared" si="6"/>
        <v>120.64444444444445</v>
      </c>
      <c r="M270" s="2">
        <f t="shared" si="6"/>
        <v>155.9</v>
      </c>
      <c r="N270" s="2">
        <f t="shared" si="6"/>
        <v>135.6</v>
      </c>
      <c r="O270" s="2">
        <f t="shared" si="1"/>
        <v>159.48600823045271</v>
      </c>
      <c r="P270" s="2">
        <f>AVERAGE(P267:P269)</f>
        <v>152.18888888888887</v>
      </c>
      <c r="Q270" s="2">
        <f t="shared" si="2"/>
        <v>139.9345679012346</v>
      </c>
      <c r="R270" s="2">
        <f t="shared" si="2"/>
        <v>148.74197530864197</v>
      </c>
      <c r="S270" s="2">
        <f t="shared" si="2"/>
        <v>150.31069958847738</v>
      </c>
      <c r="T270" s="2">
        <f t="shared" si="2"/>
        <v>152.21604938271608</v>
      </c>
      <c r="U270" s="2">
        <f t="shared" si="2"/>
        <v>145.21769547325104</v>
      </c>
      <c r="V270" s="2">
        <f t="shared" si="2"/>
        <v>128.94444444444446</v>
      </c>
      <c r="W270" s="2">
        <f t="shared" si="2"/>
        <v>155.61728395061729</v>
      </c>
      <c r="X270" s="2">
        <f>AVERAGE(X267:X269)</f>
        <v>148.47777777777779</v>
      </c>
      <c r="Y270" s="2">
        <f t="shared" si="3"/>
        <v>145.21975308641973</v>
      </c>
      <c r="Z270" s="2">
        <f t="shared" si="3"/>
        <v>146.96172839506175</v>
      </c>
      <c r="AA270" s="2">
        <f>AVERAGE(AA267:AA269)</f>
        <v>142.81316872427985</v>
      </c>
      <c r="AB270" s="2">
        <f t="shared" si="5"/>
        <v>171.82798353909462</v>
      </c>
      <c r="AC270" s="2">
        <f t="shared" si="7"/>
        <v>142.74691358024691</v>
      </c>
      <c r="AD270" s="2">
        <f t="shared" si="7"/>
        <v>148.32798353909467</v>
      </c>
    </row>
    <row r="271" spans="1:31" x14ac:dyDescent="0.25">
      <c r="A271" t="s">
        <v>34</v>
      </c>
      <c r="B271">
        <v>2020</v>
      </c>
      <c r="C271" t="s">
        <v>38</v>
      </c>
      <c r="D271" s="2">
        <f>AVERAGE(D268:D270)</f>
        <v>149.28148148148148</v>
      </c>
      <c r="E271" s="2">
        <f t="shared" si="0"/>
        <v>167.12592592592594</v>
      </c>
      <c r="F271" s="2">
        <f t="shared" si="6"/>
        <v>149.32222222222222</v>
      </c>
      <c r="G271" s="2">
        <f t="shared" si="6"/>
        <v>155.5740740740741</v>
      </c>
      <c r="H271" s="2">
        <f t="shared" si="6"/>
        <v>134.48888888888888</v>
      </c>
      <c r="I271" s="2">
        <f t="shared" si="6"/>
        <v>150.2925925925926</v>
      </c>
      <c r="J271" s="2">
        <f t="shared" si="6"/>
        <v>170.68148148148146</v>
      </c>
      <c r="K271" s="2">
        <f t="shared" si="6"/>
        <v>150.47407407407408</v>
      </c>
      <c r="L271" s="2">
        <f t="shared" si="6"/>
        <v>120.45925925925927</v>
      </c>
      <c r="M271" s="2">
        <f t="shared" si="6"/>
        <v>156.53333333333333</v>
      </c>
      <c r="N271" s="2">
        <f t="shared" si="6"/>
        <v>136.29999999999998</v>
      </c>
      <c r="O271" s="2">
        <f t="shared" si="1"/>
        <v>159.50727023319618</v>
      </c>
      <c r="P271" s="2">
        <f>AVERAGE(P268:P270)</f>
        <v>151.75185185185185</v>
      </c>
      <c r="Q271" s="2">
        <f t="shared" si="2"/>
        <v>140.26831275720167</v>
      </c>
      <c r="R271" s="2">
        <f t="shared" si="2"/>
        <v>148.91152263374485</v>
      </c>
      <c r="S271" s="2">
        <f t="shared" si="2"/>
        <v>150.45130315500685</v>
      </c>
      <c r="T271" s="2">
        <f t="shared" si="2"/>
        <v>152.01028806584364</v>
      </c>
      <c r="U271" s="2">
        <f t="shared" si="2"/>
        <v>145.46433470507546</v>
      </c>
      <c r="V271" s="2">
        <f t="shared" si="2"/>
        <v>129.1925925925926</v>
      </c>
      <c r="W271" s="2">
        <f t="shared" si="2"/>
        <v>155.80082304526749</v>
      </c>
      <c r="X271" s="2">
        <f>AVERAGE(X268:X270)</f>
        <v>149.7037037037037</v>
      </c>
      <c r="Y271" s="2">
        <f t="shared" si="3"/>
        <v>145.21522633744851</v>
      </c>
      <c r="Z271" s="2">
        <f t="shared" si="3"/>
        <v>147.26008230452678</v>
      </c>
      <c r="AA271" s="2">
        <f>AVERAGE(AA268:AA270)</f>
        <v>143.09903978052125</v>
      </c>
      <c r="AB271" s="2">
        <f t="shared" si="5"/>
        <v>171.75212620027432</v>
      </c>
      <c r="AC271" s="2">
        <f t="shared" si="7"/>
        <v>142.9736625514403</v>
      </c>
      <c r="AD271" s="2">
        <f t="shared" si="7"/>
        <v>148.3854595336077</v>
      </c>
    </row>
    <row r="272" spans="1:31" x14ac:dyDescent="0.25">
      <c r="A272" t="s">
        <v>30</v>
      </c>
      <c r="B272">
        <v>2020</v>
      </c>
      <c r="C272" t="s">
        <v>39</v>
      </c>
      <c r="D272">
        <v>148.19999999999999</v>
      </c>
      <c r="E272">
        <v>190.3</v>
      </c>
      <c r="F272">
        <v>149.4</v>
      </c>
      <c r="G272">
        <v>153.30000000000001</v>
      </c>
      <c r="H272">
        <v>138.19999999999999</v>
      </c>
      <c r="I272">
        <v>143.19999999999999</v>
      </c>
      <c r="J272">
        <v>148.9</v>
      </c>
      <c r="K272">
        <v>150.30000000000001</v>
      </c>
      <c r="L272">
        <v>113.2</v>
      </c>
      <c r="M272">
        <v>159.80000000000001</v>
      </c>
      <c r="N272">
        <v>142.1</v>
      </c>
      <c r="O272">
        <v>161.80000000000001</v>
      </c>
      <c r="P272">
        <v>152.30000000000001</v>
      </c>
      <c r="Q272">
        <v>150</v>
      </c>
      <c r="R272">
        <v>154.1</v>
      </c>
      <c r="S272">
        <v>154.69999999999999</v>
      </c>
      <c r="T272">
        <v>139.5</v>
      </c>
      <c r="U272">
        <v>151.69999999999999</v>
      </c>
      <c r="V272">
        <v>141.4</v>
      </c>
      <c r="W272">
        <v>161.80000000000001</v>
      </c>
      <c r="X272">
        <v>158.19999999999999</v>
      </c>
      <c r="Y272">
        <v>151.19999999999999</v>
      </c>
      <c r="Z272">
        <v>144.9</v>
      </c>
      <c r="AA272">
        <v>153.19999999999999</v>
      </c>
      <c r="AB272">
        <v>182.4</v>
      </c>
      <c r="AC272">
        <v>151.69999999999999</v>
      </c>
      <c r="AD272">
        <v>152.69999999999999</v>
      </c>
    </row>
    <row r="273" spans="1:30" x14ac:dyDescent="0.25">
      <c r="A273" t="s">
        <v>33</v>
      </c>
      <c r="B273">
        <v>2020</v>
      </c>
      <c r="C273" t="s">
        <v>39</v>
      </c>
      <c r="D273">
        <v>152.69999999999999</v>
      </c>
      <c r="E273">
        <v>197</v>
      </c>
      <c r="F273">
        <v>154.6</v>
      </c>
      <c r="G273">
        <v>153.4</v>
      </c>
      <c r="H273">
        <v>132.9</v>
      </c>
      <c r="I273">
        <v>151.80000000000001</v>
      </c>
      <c r="J273">
        <v>171.2</v>
      </c>
      <c r="K273">
        <v>152</v>
      </c>
      <c r="L273">
        <v>116.3</v>
      </c>
      <c r="M273">
        <v>158.80000000000001</v>
      </c>
      <c r="N273">
        <v>135.6</v>
      </c>
      <c r="O273">
        <v>161.69999999999999</v>
      </c>
      <c r="P273">
        <v>157</v>
      </c>
      <c r="Q273">
        <v>136.6</v>
      </c>
      <c r="R273">
        <v>147.19999999999999</v>
      </c>
      <c r="S273">
        <v>149.1</v>
      </c>
      <c r="T273">
        <v>154.69999999999999</v>
      </c>
      <c r="U273">
        <v>140.4</v>
      </c>
      <c r="V273">
        <v>129.30000000000001</v>
      </c>
      <c r="W273">
        <v>152.5</v>
      </c>
      <c r="X273">
        <v>148.1</v>
      </c>
      <c r="Y273">
        <v>152.19999999999999</v>
      </c>
      <c r="Z273">
        <v>137.1</v>
      </c>
      <c r="AA273">
        <v>144.5</v>
      </c>
      <c r="AB273">
        <v>186.7</v>
      </c>
      <c r="AC273">
        <v>142</v>
      </c>
      <c r="AD273">
        <v>150.80000000000001</v>
      </c>
    </row>
    <row r="274" spans="1:30" x14ac:dyDescent="0.25">
      <c r="A274" t="s">
        <v>34</v>
      </c>
      <c r="B274">
        <v>2020</v>
      </c>
      <c r="C274" t="s">
        <v>39</v>
      </c>
      <c r="D274">
        <v>149.6</v>
      </c>
      <c r="E274">
        <v>192.7</v>
      </c>
      <c r="F274">
        <v>151.4</v>
      </c>
      <c r="G274">
        <v>153.30000000000001</v>
      </c>
      <c r="H274">
        <v>136.30000000000001</v>
      </c>
      <c r="I274">
        <v>147.19999999999999</v>
      </c>
      <c r="J274">
        <v>156.5</v>
      </c>
      <c r="K274">
        <v>150.9</v>
      </c>
      <c r="L274">
        <v>114.2</v>
      </c>
      <c r="M274">
        <v>159.5</v>
      </c>
      <c r="N274">
        <v>139.4</v>
      </c>
      <c r="O274">
        <v>161.80000000000001</v>
      </c>
      <c r="P274">
        <v>154</v>
      </c>
      <c r="Q274">
        <v>144.4</v>
      </c>
      <c r="R274">
        <v>151.4</v>
      </c>
      <c r="S274">
        <v>152.5</v>
      </c>
      <c r="T274">
        <v>154.69999999999999</v>
      </c>
      <c r="U274">
        <v>146.4</v>
      </c>
      <c r="V274">
        <v>135</v>
      </c>
      <c r="W274">
        <v>156.4</v>
      </c>
      <c r="X274">
        <v>154.4</v>
      </c>
      <c r="Y274">
        <v>151.6</v>
      </c>
      <c r="Z274">
        <v>141.9</v>
      </c>
      <c r="AA274">
        <v>148.30000000000001</v>
      </c>
      <c r="AB274">
        <v>183.5</v>
      </c>
      <c r="AC274">
        <v>147</v>
      </c>
      <c r="AD274">
        <v>151.80000000000001</v>
      </c>
    </row>
    <row r="275" spans="1:30" x14ac:dyDescent="0.25">
      <c r="A275" t="s">
        <v>30</v>
      </c>
      <c r="B275">
        <v>2020</v>
      </c>
      <c r="C275" t="s">
        <v>40</v>
      </c>
      <c r="D275">
        <v>148.19999999999999</v>
      </c>
      <c r="E275">
        <v>190.3</v>
      </c>
      <c r="F275">
        <v>149.4</v>
      </c>
      <c r="G275">
        <v>153.30000000000001</v>
      </c>
      <c r="H275">
        <v>138.19999999999999</v>
      </c>
      <c r="I275">
        <v>143.19999999999999</v>
      </c>
      <c r="J275">
        <v>148.9</v>
      </c>
      <c r="K275">
        <v>150.30000000000001</v>
      </c>
      <c r="L275">
        <v>113.2</v>
      </c>
      <c r="M275">
        <v>159.80000000000001</v>
      </c>
      <c r="N275">
        <v>142.1</v>
      </c>
      <c r="O275">
        <v>161.80000000000001</v>
      </c>
      <c r="P275">
        <v>152.30000000000001</v>
      </c>
      <c r="Q275">
        <v>150</v>
      </c>
      <c r="R275">
        <v>154.1</v>
      </c>
      <c r="S275">
        <v>154.69999999999999</v>
      </c>
      <c r="T275">
        <v>139.5</v>
      </c>
      <c r="U275">
        <v>151.69999999999999</v>
      </c>
      <c r="V275">
        <v>141.4</v>
      </c>
      <c r="W275">
        <v>161.80000000000001</v>
      </c>
      <c r="X275">
        <v>158.19999999999999</v>
      </c>
      <c r="Y275">
        <v>151.19999999999999</v>
      </c>
      <c r="Z275">
        <v>144.9</v>
      </c>
      <c r="AA275">
        <v>153.19999999999999</v>
      </c>
      <c r="AB275">
        <v>182.4</v>
      </c>
      <c r="AC275">
        <v>151.69999999999999</v>
      </c>
      <c r="AD275">
        <v>152.69999999999999</v>
      </c>
    </row>
    <row r="276" spans="1:30" x14ac:dyDescent="0.25">
      <c r="A276" t="s">
        <v>33</v>
      </c>
      <c r="B276">
        <v>2020</v>
      </c>
      <c r="C276" t="s">
        <v>40</v>
      </c>
      <c r="D276">
        <v>152.69999999999999</v>
      </c>
      <c r="E276">
        <v>197</v>
      </c>
      <c r="F276">
        <v>154.6</v>
      </c>
      <c r="G276">
        <v>153.4</v>
      </c>
      <c r="H276">
        <v>132.9</v>
      </c>
      <c r="I276">
        <v>151.80000000000001</v>
      </c>
      <c r="J276">
        <v>171.2</v>
      </c>
      <c r="K276">
        <v>152</v>
      </c>
      <c r="L276">
        <v>116.3</v>
      </c>
      <c r="M276">
        <v>158.80000000000001</v>
      </c>
      <c r="N276">
        <v>135.6</v>
      </c>
      <c r="O276">
        <v>161.69999999999999</v>
      </c>
      <c r="P276">
        <v>157</v>
      </c>
      <c r="Q276">
        <v>136.6</v>
      </c>
      <c r="R276">
        <v>147.19999999999999</v>
      </c>
      <c r="S276">
        <v>149.1</v>
      </c>
      <c r="T276">
        <v>154.69999999999999</v>
      </c>
      <c r="U276">
        <v>140.4</v>
      </c>
      <c r="V276">
        <v>129.30000000000001</v>
      </c>
      <c r="W276">
        <v>152.5</v>
      </c>
      <c r="X276">
        <v>148.1</v>
      </c>
      <c r="Y276">
        <v>152.19999999999999</v>
      </c>
      <c r="Z276">
        <v>137.1</v>
      </c>
      <c r="AA276">
        <v>144.5</v>
      </c>
      <c r="AB276">
        <v>186.7</v>
      </c>
      <c r="AC276">
        <v>142</v>
      </c>
      <c r="AD276">
        <v>150.80000000000001</v>
      </c>
    </row>
    <row r="277" spans="1:30" x14ac:dyDescent="0.25">
      <c r="A277" t="s">
        <v>34</v>
      </c>
      <c r="B277">
        <v>2020</v>
      </c>
      <c r="C277" t="s">
        <v>40</v>
      </c>
      <c r="D277">
        <v>149.6</v>
      </c>
      <c r="E277">
        <v>192.7</v>
      </c>
      <c r="F277">
        <v>151.4</v>
      </c>
      <c r="G277">
        <v>153.30000000000001</v>
      </c>
      <c r="H277">
        <v>136.30000000000001</v>
      </c>
      <c r="I277">
        <v>147.19999999999999</v>
      </c>
      <c r="J277">
        <v>156.5</v>
      </c>
      <c r="K277">
        <v>150.9</v>
      </c>
      <c r="L277">
        <v>114.2</v>
      </c>
      <c r="M277">
        <v>159.5</v>
      </c>
      <c r="N277">
        <v>139.4</v>
      </c>
      <c r="O277">
        <v>161.80000000000001</v>
      </c>
      <c r="P277">
        <v>154</v>
      </c>
      <c r="Q277">
        <v>144.4</v>
      </c>
      <c r="R277">
        <v>151.4</v>
      </c>
      <c r="S277">
        <v>152.5</v>
      </c>
      <c r="T277">
        <v>154.69999999999999</v>
      </c>
      <c r="U277">
        <v>146.4</v>
      </c>
      <c r="V277">
        <v>135</v>
      </c>
      <c r="W277">
        <v>156.4</v>
      </c>
      <c r="X277">
        <v>154.4</v>
      </c>
      <c r="Y277">
        <v>151.6</v>
      </c>
      <c r="Z277">
        <v>141.9</v>
      </c>
      <c r="AA277">
        <v>148.30000000000001</v>
      </c>
      <c r="AB277">
        <v>183.5</v>
      </c>
      <c r="AC277">
        <v>147</v>
      </c>
      <c r="AD277">
        <v>151.80000000000001</v>
      </c>
    </row>
    <row r="278" spans="1:30" x14ac:dyDescent="0.25">
      <c r="A278" t="s">
        <v>30</v>
      </c>
      <c r="B278">
        <v>2020</v>
      </c>
      <c r="C278" t="s">
        <v>41</v>
      </c>
      <c r="D278">
        <v>147.6</v>
      </c>
      <c r="E278">
        <v>187.2</v>
      </c>
      <c r="F278">
        <v>148.4</v>
      </c>
      <c r="G278">
        <v>153.30000000000001</v>
      </c>
      <c r="H278">
        <v>139.80000000000001</v>
      </c>
      <c r="I278">
        <v>146.9</v>
      </c>
      <c r="J278">
        <v>171</v>
      </c>
      <c r="K278">
        <v>149.9</v>
      </c>
      <c r="L278">
        <v>114.2</v>
      </c>
      <c r="M278">
        <v>160</v>
      </c>
      <c r="N278">
        <v>143.5</v>
      </c>
      <c r="O278">
        <v>161.5</v>
      </c>
      <c r="P278">
        <v>155.30000000000001</v>
      </c>
      <c r="Q278">
        <v>149.30000000000001</v>
      </c>
      <c r="R278">
        <v>154.30000000000001</v>
      </c>
      <c r="S278">
        <v>155.1</v>
      </c>
      <c r="T278">
        <v>139.5</v>
      </c>
      <c r="U278">
        <v>151.9</v>
      </c>
      <c r="V278">
        <v>143.6</v>
      </c>
      <c r="W278">
        <v>162.69999999999999</v>
      </c>
      <c r="X278">
        <v>158.80000000000001</v>
      </c>
      <c r="Y278">
        <v>153.6</v>
      </c>
      <c r="Z278">
        <v>145.80000000000001</v>
      </c>
      <c r="AA278">
        <v>152.19999999999999</v>
      </c>
      <c r="AB278">
        <v>180.9</v>
      </c>
      <c r="AC278">
        <v>153</v>
      </c>
      <c r="AD278">
        <v>154.69999999999999</v>
      </c>
    </row>
    <row r="279" spans="1:30" x14ac:dyDescent="0.25">
      <c r="A279" t="s">
        <v>33</v>
      </c>
      <c r="B279">
        <v>2020</v>
      </c>
      <c r="C279" t="s">
        <v>41</v>
      </c>
      <c r="D279">
        <v>151.6</v>
      </c>
      <c r="E279">
        <v>197.8</v>
      </c>
      <c r="F279">
        <v>154.5</v>
      </c>
      <c r="G279">
        <v>153.4</v>
      </c>
      <c r="H279">
        <v>133.4</v>
      </c>
      <c r="I279">
        <v>154.5</v>
      </c>
      <c r="J279">
        <v>191.9</v>
      </c>
      <c r="K279">
        <v>151.30000000000001</v>
      </c>
      <c r="L279">
        <v>116.8</v>
      </c>
      <c r="M279">
        <v>160</v>
      </c>
      <c r="N279">
        <v>136.5</v>
      </c>
      <c r="O279">
        <v>163.30000000000001</v>
      </c>
      <c r="P279">
        <v>159.9</v>
      </c>
      <c r="Q279">
        <v>135.19999999999999</v>
      </c>
      <c r="R279">
        <v>147.80000000000001</v>
      </c>
      <c r="S279">
        <v>150</v>
      </c>
      <c r="T279">
        <v>155.5</v>
      </c>
      <c r="U279">
        <v>144.5</v>
      </c>
      <c r="V279">
        <v>133.9</v>
      </c>
      <c r="W279">
        <v>155.5</v>
      </c>
      <c r="X279">
        <v>148.69999999999999</v>
      </c>
      <c r="Y279">
        <v>155.19999999999999</v>
      </c>
      <c r="Z279">
        <v>138.30000000000001</v>
      </c>
      <c r="AA279">
        <v>141.19999999999999</v>
      </c>
      <c r="AB279">
        <v>187.2</v>
      </c>
      <c r="AC279">
        <v>144.80000000000001</v>
      </c>
      <c r="AD279">
        <v>152.9</v>
      </c>
    </row>
    <row r="280" spans="1:30" x14ac:dyDescent="0.25">
      <c r="A280" t="s">
        <v>34</v>
      </c>
      <c r="B280">
        <v>2020</v>
      </c>
      <c r="C280" t="s">
        <v>41</v>
      </c>
      <c r="D280">
        <v>148.9</v>
      </c>
      <c r="E280">
        <v>190.9</v>
      </c>
      <c r="F280">
        <v>150.80000000000001</v>
      </c>
      <c r="G280">
        <v>153.30000000000001</v>
      </c>
      <c r="H280">
        <v>137.4</v>
      </c>
      <c r="I280">
        <v>150.4</v>
      </c>
      <c r="J280">
        <v>178.1</v>
      </c>
      <c r="K280">
        <v>150.4</v>
      </c>
      <c r="L280">
        <v>115.1</v>
      </c>
      <c r="M280">
        <v>160</v>
      </c>
      <c r="N280">
        <v>140.6</v>
      </c>
      <c r="O280">
        <v>162.30000000000001</v>
      </c>
      <c r="P280">
        <v>157</v>
      </c>
      <c r="Q280">
        <v>143.4</v>
      </c>
      <c r="R280">
        <v>151.69999999999999</v>
      </c>
      <c r="S280">
        <v>153.1</v>
      </c>
      <c r="T280">
        <v>155.5</v>
      </c>
      <c r="U280">
        <v>148.4</v>
      </c>
      <c r="V280">
        <v>138.5</v>
      </c>
      <c r="W280">
        <v>158.5</v>
      </c>
      <c r="X280">
        <v>155</v>
      </c>
      <c r="Y280">
        <v>154.30000000000001</v>
      </c>
      <c r="Z280">
        <v>143</v>
      </c>
      <c r="AA280">
        <v>146</v>
      </c>
      <c r="AB280">
        <v>182.6</v>
      </c>
      <c r="AC280">
        <v>149</v>
      </c>
      <c r="AD280">
        <v>153.9</v>
      </c>
    </row>
    <row r="281" spans="1:30" x14ac:dyDescent="0.25">
      <c r="A281" t="s">
        <v>30</v>
      </c>
      <c r="B281">
        <v>2020</v>
      </c>
      <c r="C281" t="s">
        <v>42</v>
      </c>
      <c r="D281">
        <v>146.9</v>
      </c>
      <c r="E281">
        <v>183.9</v>
      </c>
      <c r="F281">
        <v>149.5</v>
      </c>
      <c r="G281">
        <v>153.4</v>
      </c>
      <c r="H281">
        <v>140.4</v>
      </c>
      <c r="I281">
        <v>147</v>
      </c>
      <c r="J281">
        <v>178.8</v>
      </c>
      <c r="K281">
        <v>149.30000000000001</v>
      </c>
      <c r="L281">
        <v>115.1</v>
      </c>
      <c r="M281">
        <v>160</v>
      </c>
      <c r="N281">
        <v>145.4</v>
      </c>
      <c r="O281">
        <v>161.6</v>
      </c>
      <c r="P281">
        <v>156.1</v>
      </c>
      <c r="Q281">
        <v>149.9</v>
      </c>
      <c r="R281">
        <v>154.6</v>
      </c>
      <c r="S281">
        <v>155.4</v>
      </c>
      <c r="T281">
        <v>139.5</v>
      </c>
      <c r="U281">
        <v>151.6</v>
      </c>
      <c r="V281">
        <v>144.6</v>
      </c>
      <c r="W281">
        <v>161.1</v>
      </c>
      <c r="X281">
        <v>159.1</v>
      </c>
      <c r="Y281">
        <v>157.4</v>
      </c>
      <c r="Z281">
        <v>146.4</v>
      </c>
      <c r="AA281">
        <v>152.80000000000001</v>
      </c>
      <c r="AB281">
        <v>182.9</v>
      </c>
      <c r="AC281">
        <v>153.69999999999999</v>
      </c>
      <c r="AD281">
        <v>155.4</v>
      </c>
    </row>
    <row r="282" spans="1:30" x14ac:dyDescent="0.25">
      <c r="A282" t="s">
        <v>33</v>
      </c>
      <c r="B282">
        <v>2020</v>
      </c>
      <c r="C282" t="s">
        <v>42</v>
      </c>
      <c r="D282">
        <v>151.5</v>
      </c>
      <c r="E282">
        <v>193.1</v>
      </c>
      <c r="F282">
        <v>157.30000000000001</v>
      </c>
      <c r="G282">
        <v>153.9</v>
      </c>
      <c r="H282">
        <v>134.4</v>
      </c>
      <c r="I282">
        <v>155.4</v>
      </c>
      <c r="J282">
        <v>202</v>
      </c>
      <c r="K282">
        <v>150.80000000000001</v>
      </c>
      <c r="L282">
        <v>118.9</v>
      </c>
      <c r="M282">
        <v>160.9</v>
      </c>
      <c r="N282">
        <v>137.69999999999999</v>
      </c>
      <c r="O282">
        <v>164.4</v>
      </c>
      <c r="P282">
        <v>161.30000000000001</v>
      </c>
      <c r="Q282">
        <v>136.30000000000001</v>
      </c>
      <c r="R282">
        <v>148.1</v>
      </c>
      <c r="S282">
        <v>150.19999999999999</v>
      </c>
      <c r="T282">
        <v>156.30000000000001</v>
      </c>
      <c r="U282">
        <v>145.4</v>
      </c>
      <c r="V282">
        <v>135.1</v>
      </c>
      <c r="W282">
        <v>154.9</v>
      </c>
      <c r="X282">
        <v>150</v>
      </c>
      <c r="Y282">
        <v>159.80000000000001</v>
      </c>
      <c r="Z282">
        <v>137.19999999999999</v>
      </c>
      <c r="AA282">
        <v>141.80000000000001</v>
      </c>
      <c r="AB282">
        <v>188.7</v>
      </c>
      <c r="AC282">
        <v>146</v>
      </c>
      <c r="AD282">
        <v>154</v>
      </c>
    </row>
    <row r="283" spans="1:30" x14ac:dyDescent="0.25">
      <c r="A283" t="s">
        <v>34</v>
      </c>
      <c r="B283">
        <v>2020</v>
      </c>
      <c r="C283" t="s">
        <v>42</v>
      </c>
      <c r="D283">
        <v>148.4</v>
      </c>
      <c r="E283">
        <v>187.1</v>
      </c>
      <c r="F283">
        <v>152.5</v>
      </c>
      <c r="G283">
        <v>153.6</v>
      </c>
      <c r="H283">
        <v>138.19999999999999</v>
      </c>
      <c r="I283">
        <v>150.9</v>
      </c>
      <c r="J283">
        <v>186.7</v>
      </c>
      <c r="K283">
        <v>149.80000000000001</v>
      </c>
      <c r="L283">
        <v>116.4</v>
      </c>
      <c r="M283">
        <v>160.30000000000001</v>
      </c>
      <c r="N283">
        <v>142.19999999999999</v>
      </c>
      <c r="O283">
        <v>162.9</v>
      </c>
      <c r="P283">
        <v>158</v>
      </c>
      <c r="Q283">
        <v>144.30000000000001</v>
      </c>
      <c r="R283">
        <v>152</v>
      </c>
      <c r="S283">
        <v>153.4</v>
      </c>
      <c r="T283">
        <v>156.30000000000001</v>
      </c>
      <c r="U283">
        <v>148.69999999999999</v>
      </c>
      <c r="V283">
        <v>139.6</v>
      </c>
      <c r="W283">
        <v>157.5</v>
      </c>
      <c r="X283">
        <v>155.6</v>
      </c>
      <c r="Y283">
        <v>158.4</v>
      </c>
      <c r="Z283">
        <v>142.9</v>
      </c>
      <c r="AA283">
        <v>146.6</v>
      </c>
      <c r="AB283">
        <v>184.4</v>
      </c>
      <c r="AC283">
        <v>150</v>
      </c>
      <c r="AD283">
        <v>154.69999999999999</v>
      </c>
    </row>
    <row r="284" spans="1:30" x14ac:dyDescent="0.25">
      <c r="A284" t="s">
        <v>30</v>
      </c>
      <c r="B284">
        <v>2020</v>
      </c>
      <c r="C284" t="s">
        <v>43</v>
      </c>
      <c r="D284">
        <v>146</v>
      </c>
      <c r="E284">
        <v>186.3</v>
      </c>
      <c r="F284">
        <v>159.19999999999999</v>
      </c>
      <c r="G284">
        <v>153.6</v>
      </c>
      <c r="H284">
        <v>142.6</v>
      </c>
      <c r="I284">
        <v>147.19999999999999</v>
      </c>
      <c r="J284">
        <v>200.6</v>
      </c>
      <c r="K284">
        <v>150.30000000000001</v>
      </c>
      <c r="L284">
        <v>115.3</v>
      </c>
      <c r="M284">
        <v>160.9</v>
      </c>
      <c r="N284">
        <v>147.4</v>
      </c>
      <c r="O284">
        <v>161.9</v>
      </c>
      <c r="P284">
        <v>159.6</v>
      </c>
      <c r="Q284">
        <v>150.6</v>
      </c>
      <c r="R284">
        <v>155</v>
      </c>
      <c r="S284">
        <v>155.69999999999999</v>
      </c>
      <c r="T284">
        <v>139.5</v>
      </c>
      <c r="U284">
        <v>152</v>
      </c>
      <c r="V284">
        <v>146.4</v>
      </c>
      <c r="W284">
        <v>162.5</v>
      </c>
      <c r="X284">
        <v>159.5</v>
      </c>
      <c r="Y284">
        <v>156.19999999999999</v>
      </c>
      <c r="Z284">
        <v>146.80000000000001</v>
      </c>
      <c r="AA284">
        <v>152.4</v>
      </c>
      <c r="AB284">
        <v>182.7</v>
      </c>
      <c r="AC284">
        <v>154.30000000000001</v>
      </c>
      <c r="AD284">
        <v>157.5</v>
      </c>
    </row>
    <row r="285" spans="1:30" x14ac:dyDescent="0.25">
      <c r="A285" t="s">
        <v>33</v>
      </c>
      <c r="B285">
        <v>2020</v>
      </c>
      <c r="C285" t="s">
        <v>43</v>
      </c>
      <c r="D285">
        <v>150.6</v>
      </c>
      <c r="E285">
        <v>193.7</v>
      </c>
      <c r="F285">
        <v>164.8</v>
      </c>
      <c r="G285">
        <v>153.69999999999999</v>
      </c>
      <c r="H285">
        <v>135.69999999999999</v>
      </c>
      <c r="I285">
        <v>155.69999999999999</v>
      </c>
      <c r="J285">
        <v>226</v>
      </c>
      <c r="K285">
        <v>152.19999999999999</v>
      </c>
      <c r="L285">
        <v>118.1</v>
      </c>
      <c r="M285">
        <v>161.30000000000001</v>
      </c>
      <c r="N285">
        <v>139.19999999999999</v>
      </c>
      <c r="O285">
        <v>164.8</v>
      </c>
      <c r="P285">
        <v>164.4</v>
      </c>
      <c r="Q285">
        <v>136.1</v>
      </c>
      <c r="R285">
        <v>148.30000000000001</v>
      </c>
      <c r="S285">
        <v>150.5</v>
      </c>
      <c r="T285">
        <v>156.5</v>
      </c>
      <c r="U285">
        <v>145.1</v>
      </c>
      <c r="V285">
        <v>135.4</v>
      </c>
      <c r="W285">
        <v>155.69999999999999</v>
      </c>
      <c r="X285">
        <v>151</v>
      </c>
      <c r="Y285">
        <v>158.1</v>
      </c>
      <c r="Z285">
        <v>137.1</v>
      </c>
      <c r="AA285">
        <v>142</v>
      </c>
      <c r="AB285">
        <v>188.7</v>
      </c>
      <c r="AC285">
        <v>146.19999999999999</v>
      </c>
      <c r="AD285">
        <v>155.19999999999999</v>
      </c>
    </row>
    <row r="286" spans="1:30" x14ac:dyDescent="0.25">
      <c r="A286" t="s">
        <v>34</v>
      </c>
      <c r="B286">
        <v>2020</v>
      </c>
      <c r="C286" t="s">
        <v>43</v>
      </c>
      <c r="D286">
        <v>147.5</v>
      </c>
      <c r="E286">
        <v>188.9</v>
      </c>
      <c r="F286">
        <v>161.4</v>
      </c>
      <c r="G286">
        <v>153.6</v>
      </c>
      <c r="H286">
        <v>140.1</v>
      </c>
      <c r="I286">
        <v>151.19999999999999</v>
      </c>
      <c r="J286">
        <v>209.2</v>
      </c>
      <c r="K286">
        <v>150.9</v>
      </c>
      <c r="L286">
        <v>116.2</v>
      </c>
      <c r="M286">
        <v>161</v>
      </c>
      <c r="N286">
        <v>144</v>
      </c>
      <c r="O286">
        <v>163.19999999999999</v>
      </c>
      <c r="P286">
        <v>161.4</v>
      </c>
      <c r="Q286">
        <v>144.6</v>
      </c>
      <c r="R286">
        <v>152.30000000000001</v>
      </c>
      <c r="S286">
        <v>153.69999999999999</v>
      </c>
      <c r="T286">
        <v>156.5</v>
      </c>
      <c r="U286">
        <v>148.69999999999999</v>
      </c>
      <c r="V286">
        <v>140.6</v>
      </c>
      <c r="W286">
        <v>158.5</v>
      </c>
      <c r="X286">
        <v>156.30000000000001</v>
      </c>
      <c r="Y286">
        <v>157</v>
      </c>
      <c r="Z286">
        <v>143.1</v>
      </c>
      <c r="AA286">
        <v>146.5</v>
      </c>
      <c r="AB286">
        <v>184.3</v>
      </c>
      <c r="AC286">
        <v>150.4</v>
      </c>
      <c r="AD286">
        <v>156.4</v>
      </c>
    </row>
    <row r="287" spans="1:30" x14ac:dyDescent="0.25">
      <c r="A287" t="s">
        <v>30</v>
      </c>
      <c r="B287">
        <v>2020</v>
      </c>
      <c r="C287" t="s">
        <v>45</v>
      </c>
      <c r="D287">
        <v>145.4</v>
      </c>
      <c r="E287">
        <v>188.6</v>
      </c>
      <c r="F287">
        <v>171.6</v>
      </c>
      <c r="G287">
        <v>153.80000000000001</v>
      </c>
      <c r="H287">
        <v>145.4</v>
      </c>
      <c r="I287">
        <v>146.5</v>
      </c>
      <c r="J287">
        <v>222.2</v>
      </c>
      <c r="K287">
        <v>155.9</v>
      </c>
      <c r="L287">
        <v>114.9</v>
      </c>
      <c r="M287">
        <v>162</v>
      </c>
      <c r="N287">
        <v>150</v>
      </c>
      <c r="O287">
        <v>162.69999999999999</v>
      </c>
      <c r="P287">
        <v>163.4</v>
      </c>
      <c r="Q287">
        <v>151</v>
      </c>
      <c r="R287">
        <v>155.5</v>
      </c>
      <c r="S287">
        <v>156.30000000000001</v>
      </c>
      <c r="T287">
        <v>139.5</v>
      </c>
      <c r="U287">
        <v>152.80000000000001</v>
      </c>
      <c r="V287">
        <v>146.1</v>
      </c>
      <c r="W287">
        <v>161.6</v>
      </c>
      <c r="X287">
        <v>160.4</v>
      </c>
      <c r="Y287">
        <v>156.19999999999999</v>
      </c>
      <c r="Z287">
        <v>147.5</v>
      </c>
      <c r="AA287">
        <v>153.6</v>
      </c>
      <c r="AB287">
        <v>183.4</v>
      </c>
      <c r="AC287">
        <v>154.5</v>
      </c>
      <c r="AD287">
        <v>159.80000000000001</v>
      </c>
    </row>
    <row r="288" spans="1:30" x14ac:dyDescent="0.25">
      <c r="A288" t="s">
        <v>33</v>
      </c>
      <c r="B288">
        <v>2020</v>
      </c>
      <c r="C288" t="s">
        <v>45</v>
      </c>
      <c r="D288">
        <v>149.69999999999999</v>
      </c>
      <c r="E288">
        <v>195.5</v>
      </c>
      <c r="F288">
        <v>176.9</v>
      </c>
      <c r="G288">
        <v>153.9</v>
      </c>
      <c r="H288">
        <v>138</v>
      </c>
      <c r="I288">
        <v>150.5</v>
      </c>
      <c r="J288">
        <v>245.3</v>
      </c>
      <c r="K288">
        <v>158.69999999999999</v>
      </c>
      <c r="L288">
        <v>117.2</v>
      </c>
      <c r="M288">
        <v>161.4</v>
      </c>
      <c r="N288">
        <v>141.5</v>
      </c>
      <c r="O288">
        <v>165.1</v>
      </c>
      <c r="P288">
        <v>167</v>
      </c>
      <c r="Q288">
        <v>136.4</v>
      </c>
      <c r="R288">
        <v>148.80000000000001</v>
      </c>
      <c r="S288">
        <v>151.1</v>
      </c>
      <c r="T288">
        <v>158</v>
      </c>
      <c r="U288">
        <v>145.1</v>
      </c>
      <c r="V288">
        <v>135.19999999999999</v>
      </c>
      <c r="W288">
        <v>156.4</v>
      </c>
      <c r="X288">
        <v>152</v>
      </c>
      <c r="Y288">
        <v>157.9</v>
      </c>
      <c r="Z288">
        <v>137.30000000000001</v>
      </c>
      <c r="AA288">
        <v>144.4</v>
      </c>
      <c r="AB288">
        <v>188.8</v>
      </c>
      <c r="AC288">
        <v>146.6</v>
      </c>
      <c r="AD288">
        <v>156.69999999999999</v>
      </c>
    </row>
    <row r="289" spans="1:30" x14ac:dyDescent="0.25">
      <c r="A289" t="s">
        <v>34</v>
      </c>
      <c r="B289">
        <v>2020</v>
      </c>
      <c r="C289" t="s">
        <v>45</v>
      </c>
      <c r="D289">
        <v>146.80000000000001</v>
      </c>
      <c r="E289">
        <v>191</v>
      </c>
      <c r="F289">
        <v>173.6</v>
      </c>
      <c r="G289">
        <v>153.80000000000001</v>
      </c>
      <c r="H289">
        <v>142.69999999999999</v>
      </c>
      <c r="I289">
        <v>148.4</v>
      </c>
      <c r="J289">
        <v>230</v>
      </c>
      <c r="K289">
        <v>156.80000000000001</v>
      </c>
      <c r="L289">
        <v>115.7</v>
      </c>
      <c r="M289">
        <v>161.80000000000001</v>
      </c>
      <c r="N289">
        <v>146.5</v>
      </c>
      <c r="O289">
        <v>163.80000000000001</v>
      </c>
      <c r="P289">
        <v>164.7</v>
      </c>
      <c r="Q289">
        <v>144.9</v>
      </c>
      <c r="R289">
        <v>152.80000000000001</v>
      </c>
      <c r="S289">
        <v>154.30000000000001</v>
      </c>
      <c r="T289">
        <v>158</v>
      </c>
      <c r="U289">
        <v>149.19999999999999</v>
      </c>
      <c r="V289">
        <v>140.4</v>
      </c>
      <c r="W289">
        <v>158.6</v>
      </c>
      <c r="X289">
        <v>157.19999999999999</v>
      </c>
      <c r="Y289">
        <v>156.9</v>
      </c>
      <c r="Z289">
        <v>143.6</v>
      </c>
      <c r="AA289">
        <v>148.4</v>
      </c>
      <c r="AB289">
        <v>184.8</v>
      </c>
      <c r="AC289">
        <v>150.69999999999999</v>
      </c>
      <c r="AD289">
        <v>158.4</v>
      </c>
    </row>
    <row r="290" spans="1:30" x14ac:dyDescent="0.25">
      <c r="A290" t="s">
        <v>30</v>
      </c>
      <c r="B290">
        <v>2020</v>
      </c>
      <c r="C290" t="s">
        <v>46</v>
      </c>
      <c r="D290">
        <v>144.6</v>
      </c>
      <c r="E290">
        <v>188.5</v>
      </c>
      <c r="F290">
        <v>173.4</v>
      </c>
      <c r="G290">
        <v>154</v>
      </c>
      <c r="H290">
        <v>150</v>
      </c>
      <c r="I290">
        <v>145.9</v>
      </c>
      <c r="J290">
        <v>225.2</v>
      </c>
      <c r="K290">
        <v>159.5</v>
      </c>
      <c r="L290">
        <v>114.4</v>
      </c>
      <c r="M290">
        <v>163.5</v>
      </c>
      <c r="N290">
        <v>153.4</v>
      </c>
      <c r="O290">
        <v>163.6</v>
      </c>
      <c r="P290">
        <v>164.5</v>
      </c>
      <c r="Q290">
        <v>151.6</v>
      </c>
      <c r="R290">
        <v>156.30000000000001</v>
      </c>
      <c r="S290">
        <v>157</v>
      </c>
      <c r="T290">
        <v>139.5</v>
      </c>
      <c r="U290">
        <v>153.4</v>
      </c>
      <c r="V290">
        <v>146.4</v>
      </c>
      <c r="W290">
        <v>162.9</v>
      </c>
      <c r="X290">
        <v>161.6</v>
      </c>
      <c r="Y290">
        <v>156.6</v>
      </c>
      <c r="Z290">
        <v>148.69999999999999</v>
      </c>
      <c r="AA290">
        <v>153.9</v>
      </c>
      <c r="AB290">
        <v>183.6</v>
      </c>
      <c r="AC290">
        <v>155.19999999999999</v>
      </c>
      <c r="AD290">
        <v>160.69999999999999</v>
      </c>
    </row>
    <row r="291" spans="1:30" x14ac:dyDescent="0.25">
      <c r="A291" t="s">
        <v>33</v>
      </c>
      <c r="B291">
        <v>2020</v>
      </c>
      <c r="C291" t="s">
        <v>46</v>
      </c>
      <c r="D291">
        <v>149</v>
      </c>
      <c r="E291">
        <v>195.7</v>
      </c>
      <c r="F291">
        <v>178.3</v>
      </c>
      <c r="G291">
        <v>154.19999999999999</v>
      </c>
      <c r="H291">
        <v>140.69999999999999</v>
      </c>
      <c r="I291">
        <v>149.69999999999999</v>
      </c>
      <c r="J291">
        <v>240.9</v>
      </c>
      <c r="K291">
        <v>161.5</v>
      </c>
      <c r="L291">
        <v>117.1</v>
      </c>
      <c r="M291">
        <v>161.9</v>
      </c>
      <c r="N291">
        <v>143.30000000000001</v>
      </c>
      <c r="O291">
        <v>166.1</v>
      </c>
      <c r="P291">
        <v>167</v>
      </c>
      <c r="Q291">
        <v>136.69999999999999</v>
      </c>
      <c r="R291">
        <v>149.6</v>
      </c>
      <c r="S291">
        <v>151.9</v>
      </c>
      <c r="T291">
        <v>158.4</v>
      </c>
      <c r="U291">
        <v>145.5</v>
      </c>
      <c r="V291">
        <v>135.5</v>
      </c>
      <c r="W291">
        <v>156.9</v>
      </c>
      <c r="X291">
        <v>152.9</v>
      </c>
      <c r="Y291">
        <v>157.9</v>
      </c>
      <c r="Z291">
        <v>137.9</v>
      </c>
      <c r="AA291">
        <v>144.30000000000001</v>
      </c>
      <c r="AB291">
        <v>190.2</v>
      </c>
      <c r="AC291">
        <v>146.9</v>
      </c>
      <c r="AD291">
        <v>156.9</v>
      </c>
    </row>
    <row r="292" spans="1:30" x14ac:dyDescent="0.25">
      <c r="A292" t="s">
        <v>34</v>
      </c>
      <c r="B292">
        <v>2020</v>
      </c>
      <c r="C292" t="s">
        <v>46</v>
      </c>
      <c r="D292">
        <v>146</v>
      </c>
      <c r="E292">
        <v>191</v>
      </c>
      <c r="F292">
        <v>175.3</v>
      </c>
      <c r="G292">
        <v>154.1</v>
      </c>
      <c r="H292">
        <v>146.6</v>
      </c>
      <c r="I292">
        <v>147.69999999999999</v>
      </c>
      <c r="J292">
        <v>230.5</v>
      </c>
      <c r="K292">
        <v>160.19999999999999</v>
      </c>
      <c r="L292">
        <v>115.3</v>
      </c>
      <c r="M292">
        <v>163</v>
      </c>
      <c r="N292">
        <v>149.19999999999999</v>
      </c>
      <c r="O292">
        <v>164.8</v>
      </c>
      <c r="P292">
        <v>165.4</v>
      </c>
      <c r="Q292">
        <v>145.4</v>
      </c>
      <c r="R292">
        <v>153.6</v>
      </c>
      <c r="S292">
        <v>155</v>
      </c>
      <c r="T292">
        <v>158.4</v>
      </c>
      <c r="U292">
        <v>149.69999999999999</v>
      </c>
      <c r="V292">
        <v>140.69999999999999</v>
      </c>
      <c r="W292">
        <v>159.4</v>
      </c>
      <c r="X292">
        <v>158.30000000000001</v>
      </c>
      <c r="Y292">
        <v>157.1</v>
      </c>
      <c r="Z292">
        <v>144.6</v>
      </c>
      <c r="AA292">
        <v>148.5</v>
      </c>
      <c r="AB292">
        <v>185.4</v>
      </c>
      <c r="AC292">
        <v>151.19999999999999</v>
      </c>
      <c r="AD292">
        <v>158.9</v>
      </c>
    </row>
    <row r="293" spans="1:30" x14ac:dyDescent="0.25">
      <c r="A293" t="s">
        <v>30</v>
      </c>
      <c r="B293">
        <v>2021</v>
      </c>
      <c r="C293" t="s">
        <v>31</v>
      </c>
      <c r="D293">
        <v>143.4</v>
      </c>
      <c r="E293">
        <v>187.5</v>
      </c>
      <c r="F293">
        <v>173.4</v>
      </c>
      <c r="G293">
        <v>154</v>
      </c>
      <c r="H293">
        <v>154.80000000000001</v>
      </c>
      <c r="I293">
        <v>147</v>
      </c>
      <c r="J293">
        <v>187.8</v>
      </c>
      <c r="K293">
        <v>159.5</v>
      </c>
      <c r="L293">
        <v>113.8</v>
      </c>
      <c r="M293">
        <v>164.5</v>
      </c>
      <c r="N293">
        <v>156.1</v>
      </c>
      <c r="O293">
        <v>164.3</v>
      </c>
      <c r="P293">
        <v>159.6</v>
      </c>
      <c r="Q293">
        <v>152.4</v>
      </c>
      <c r="R293">
        <v>156.80000000000001</v>
      </c>
      <c r="S293">
        <v>157.5</v>
      </c>
      <c r="T293">
        <v>139.5</v>
      </c>
      <c r="U293">
        <v>153.9</v>
      </c>
      <c r="V293">
        <v>147.5</v>
      </c>
      <c r="W293">
        <v>163.5</v>
      </c>
      <c r="X293">
        <v>162.5</v>
      </c>
      <c r="Y293">
        <v>156.19999999999999</v>
      </c>
      <c r="Z293">
        <v>150.9</v>
      </c>
      <c r="AA293">
        <v>155.1</v>
      </c>
      <c r="AB293">
        <v>184.6</v>
      </c>
      <c r="AC293">
        <v>155.9</v>
      </c>
      <c r="AD293">
        <v>158.5</v>
      </c>
    </row>
    <row r="294" spans="1:30" x14ac:dyDescent="0.25">
      <c r="A294" t="s">
        <v>33</v>
      </c>
      <c r="B294">
        <v>2021</v>
      </c>
      <c r="C294" t="s">
        <v>31</v>
      </c>
      <c r="D294">
        <v>148</v>
      </c>
      <c r="E294">
        <v>194.8</v>
      </c>
      <c r="F294">
        <v>178.4</v>
      </c>
      <c r="G294">
        <v>154.4</v>
      </c>
      <c r="H294">
        <v>144.1</v>
      </c>
      <c r="I294">
        <v>152.6</v>
      </c>
      <c r="J294">
        <v>206.8</v>
      </c>
      <c r="K294">
        <v>162.1</v>
      </c>
      <c r="L294">
        <v>116.3</v>
      </c>
      <c r="M294">
        <v>163</v>
      </c>
      <c r="N294">
        <v>145.9</v>
      </c>
      <c r="O294">
        <v>167.2</v>
      </c>
      <c r="P294">
        <v>163.4</v>
      </c>
      <c r="Q294">
        <v>137.30000000000001</v>
      </c>
      <c r="R294">
        <v>150.19999999999999</v>
      </c>
      <c r="S294">
        <v>152.5</v>
      </c>
      <c r="T294">
        <v>157.69999999999999</v>
      </c>
      <c r="U294">
        <v>145.69999999999999</v>
      </c>
      <c r="V294">
        <v>136.9</v>
      </c>
      <c r="W294">
        <v>156.1</v>
      </c>
      <c r="X294">
        <v>154.1</v>
      </c>
      <c r="Y294">
        <v>157.69999999999999</v>
      </c>
      <c r="Z294">
        <v>142.9</v>
      </c>
      <c r="AA294">
        <v>145.4</v>
      </c>
      <c r="AB294">
        <v>191.8</v>
      </c>
      <c r="AC294">
        <v>147.6</v>
      </c>
      <c r="AD294">
        <v>156</v>
      </c>
    </row>
    <row r="295" spans="1:30" x14ac:dyDescent="0.25">
      <c r="A295" t="s">
        <v>34</v>
      </c>
      <c r="B295">
        <v>2021</v>
      </c>
      <c r="C295" t="s">
        <v>31</v>
      </c>
      <c r="D295">
        <v>144.9</v>
      </c>
      <c r="E295">
        <v>190.1</v>
      </c>
      <c r="F295">
        <v>175.3</v>
      </c>
      <c r="G295">
        <v>154.1</v>
      </c>
      <c r="H295">
        <v>150.9</v>
      </c>
      <c r="I295">
        <v>149.6</v>
      </c>
      <c r="J295">
        <v>194.2</v>
      </c>
      <c r="K295">
        <v>160.4</v>
      </c>
      <c r="L295">
        <v>114.6</v>
      </c>
      <c r="M295">
        <v>164</v>
      </c>
      <c r="N295">
        <v>151.80000000000001</v>
      </c>
      <c r="O295">
        <v>165.6</v>
      </c>
      <c r="P295">
        <v>161</v>
      </c>
      <c r="Q295">
        <v>146.1</v>
      </c>
      <c r="R295">
        <v>154.19999999999999</v>
      </c>
      <c r="S295">
        <v>155.5</v>
      </c>
      <c r="T295">
        <v>157.69999999999999</v>
      </c>
      <c r="U295">
        <v>150</v>
      </c>
      <c r="V295">
        <v>141.9</v>
      </c>
      <c r="W295">
        <v>159.19999999999999</v>
      </c>
      <c r="X295">
        <v>159.30000000000001</v>
      </c>
      <c r="Y295">
        <v>156.80000000000001</v>
      </c>
      <c r="Z295">
        <v>147.9</v>
      </c>
      <c r="AA295">
        <v>149.6</v>
      </c>
      <c r="AB295">
        <v>186.5</v>
      </c>
      <c r="AC295">
        <v>151.9</v>
      </c>
      <c r="AD295">
        <v>157.30000000000001</v>
      </c>
    </row>
    <row r="296" spans="1:30" x14ac:dyDescent="0.25">
      <c r="A296" t="s">
        <v>30</v>
      </c>
      <c r="B296">
        <v>2021</v>
      </c>
      <c r="C296" t="s">
        <v>35</v>
      </c>
      <c r="D296">
        <v>142.80000000000001</v>
      </c>
      <c r="E296">
        <v>184</v>
      </c>
      <c r="F296">
        <v>168</v>
      </c>
      <c r="G296">
        <v>154.4</v>
      </c>
      <c r="H296">
        <v>163</v>
      </c>
      <c r="I296">
        <v>147.80000000000001</v>
      </c>
      <c r="J296">
        <v>149.69999999999999</v>
      </c>
      <c r="K296">
        <v>158.30000000000001</v>
      </c>
      <c r="L296">
        <v>111.8</v>
      </c>
      <c r="M296">
        <v>165</v>
      </c>
      <c r="N296">
        <v>160</v>
      </c>
      <c r="O296">
        <v>165.8</v>
      </c>
      <c r="P296">
        <v>154.69999999999999</v>
      </c>
      <c r="Q296">
        <v>153.9</v>
      </c>
      <c r="R296">
        <v>158.4</v>
      </c>
      <c r="S296">
        <v>159.1</v>
      </c>
      <c r="T296">
        <v>139.5</v>
      </c>
      <c r="U296">
        <v>154.80000000000001</v>
      </c>
      <c r="V296">
        <v>150.19999999999999</v>
      </c>
      <c r="W296">
        <v>163.6</v>
      </c>
      <c r="X296">
        <v>164.3</v>
      </c>
      <c r="Y296">
        <v>155.19999999999999</v>
      </c>
      <c r="Z296">
        <v>154.4</v>
      </c>
      <c r="AA296">
        <v>157</v>
      </c>
      <c r="AB296">
        <v>186.5</v>
      </c>
      <c r="AC296">
        <v>157.19999999999999</v>
      </c>
      <c r="AD296">
        <v>156.69999999999999</v>
      </c>
    </row>
    <row r="297" spans="1:30" x14ac:dyDescent="0.25">
      <c r="A297" t="s">
        <v>33</v>
      </c>
      <c r="B297">
        <v>2021</v>
      </c>
      <c r="C297" t="s">
        <v>35</v>
      </c>
      <c r="D297">
        <v>147.6</v>
      </c>
      <c r="E297">
        <v>191.2</v>
      </c>
      <c r="F297">
        <v>169.9</v>
      </c>
      <c r="G297">
        <v>155.1</v>
      </c>
      <c r="H297">
        <v>151.4</v>
      </c>
      <c r="I297">
        <v>154</v>
      </c>
      <c r="J297">
        <v>180.2</v>
      </c>
      <c r="K297">
        <v>159.80000000000001</v>
      </c>
      <c r="L297">
        <v>114.9</v>
      </c>
      <c r="M297">
        <v>162.5</v>
      </c>
      <c r="N297">
        <v>149.19999999999999</v>
      </c>
      <c r="O297">
        <v>169.4</v>
      </c>
      <c r="P297">
        <v>160.80000000000001</v>
      </c>
      <c r="Q297">
        <v>138.19999999999999</v>
      </c>
      <c r="R297">
        <v>151.80000000000001</v>
      </c>
      <c r="S297">
        <v>154.19999999999999</v>
      </c>
      <c r="T297">
        <v>159.80000000000001</v>
      </c>
      <c r="U297">
        <v>146.5</v>
      </c>
      <c r="V297">
        <v>140.5</v>
      </c>
      <c r="W297">
        <v>156.6</v>
      </c>
      <c r="X297">
        <v>156.30000000000001</v>
      </c>
      <c r="Y297">
        <v>156.69999999999999</v>
      </c>
      <c r="Z297">
        <v>149.1</v>
      </c>
      <c r="AA297">
        <v>147.30000000000001</v>
      </c>
      <c r="AB297">
        <v>193.3</v>
      </c>
      <c r="AC297">
        <v>149.30000000000001</v>
      </c>
      <c r="AD297">
        <v>156.5</v>
      </c>
    </row>
    <row r="298" spans="1:30" x14ac:dyDescent="0.25">
      <c r="A298" t="s">
        <v>34</v>
      </c>
      <c r="B298">
        <v>2021</v>
      </c>
      <c r="C298" t="s">
        <v>35</v>
      </c>
      <c r="D298">
        <v>144.30000000000001</v>
      </c>
      <c r="E298">
        <v>186.5</v>
      </c>
      <c r="F298">
        <v>168.7</v>
      </c>
      <c r="G298">
        <v>154.69999999999999</v>
      </c>
      <c r="H298">
        <v>158.69999999999999</v>
      </c>
      <c r="I298">
        <v>150.69999999999999</v>
      </c>
      <c r="J298">
        <v>160</v>
      </c>
      <c r="K298">
        <v>158.80000000000001</v>
      </c>
      <c r="L298">
        <v>112.8</v>
      </c>
      <c r="M298">
        <v>164.2</v>
      </c>
      <c r="N298">
        <v>155.5</v>
      </c>
      <c r="O298">
        <v>167.5</v>
      </c>
      <c r="P298">
        <v>156.9</v>
      </c>
      <c r="Q298">
        <v>147.4</v>
      </c>
      <c r="R298">
        <v>155.80000000000001</v>
      </c>
      <c r="S298">
        <v>157.19999999999999</v>
      </c>
      <c r="T298">
        <v>159.80000000000001</v>
      </c>
      <c r="U298">
        <v>150.9</v>
      </c>
      <c r="V298">
        <v>145.1</v>
      </c>
      <c r="W298">
        <v>159.5</v>
      </c>
      <c r="X298">
        <v>161.30000000000001</v>
      </c>
      <c r="Y298">
        <v>155.80000000000001</v>
      </c>
      <c r="Z298">
        <v>152.4</v>
      </c>
      <c r="AA298">
        <v>151.5</v>
      </c>
      <c r="AB298">
        <v>188.3</v>
      </c>
      <c r="AC298">
        <v>153.4</v>
      </c>
      <c r="AD298">
        <v>156.6</v>
      </c>
    </row>
    <row r="299" spans="1:30" x14ac:dyDescent="0.25">
      <c r="A299" t="s">
        <v>30</v>
      </c>
      <c r="B299">
        <v>2021</v>
      </c>
      <c r="C299" t="s">
        <v>36</v>
      </c>
      <c r="D299">
        <v>142.5</v>
      </c>
      <c r="E299">
        <v>189.4</v>
      </c>
      <c r="F299">
        <v>163.19999999999999</v>
      </c>
      <c r="G299">
        <v>154.5</v>
      </c>
      <c r="H299">
        <v>168.2</v>
      </c>
      <c r="I299">
        <v>150.5</v>
      </c>
      <c r="J299">
        <v>141</v>
      </c>
      <c r="K299">
        <v>159.19999999999999</v>
      </c>
      <c r="L299">
        <v>111.7</v>
      </c>
      <c r="M299">
        <v>164</v>
      </c>
      <c r="N299">
        <v>160.6</v>
      </c>
      <c r="O299">
        <v>166.4</v>
      </c>
      <c r="P299">
        <v>154.5</v>
      </c>
      <c r="Q299">
        <v>154.4</v>
      </c>
      <c r="R299">
        <v>158.9</v>
      </c>
      <c r="S299">
        <v>159.6</v>
      </c>
      <c r="T299">
        <v>139.5</v>
      </c>
      <c r="U299">
        <v>154.80000000000001</v>
      </c>
      <c r="V299">
        <v>151.30000000000001</v>
      </c>
      <c r="W299">
        <v>163.80000000000001</v>
      </c>
      <c r="X299">
        <v>164.6</v>
      </c>
      <c r="Y299">
        <v>153.1</v>
      </c>
      <c r="Z299">
        <v>156</v>
      </c>
      <c r="AA299">
        <v>157.80000000000001</v>
      </c>
      <c r="AB299">
        <v>186.1</v>
      </c>
      <c r="AC299">
        <v>157.30000000000001</v>
      </c>
      <c r="AD299">
        <v>156.69999999999999</v>
      </c>
    </row>
    <row r="300" spans="1:30" x14ac:dyDescent="0.25">
      <c r="A300" t="s">
        <v>33</v>
      </c>
      <c r="B300">
        <v>2021</v>
      </c>
      <c r="C300" t="s">
        <v>36</v>
      </c>
      <c r="D300">
        <v>147.5</v>
      </c>
      <c r="E300">
        <v>197.5</v>
      </c>
      <c r="F300">
        <v>164.7</v>
      </c>
      <c r="G300">
        <v>155.6</v>
      </c>
      <c r="H300">
        <v>156.4</v>
      </c>
      <c r="I300">
        <v>157.30000000000001</v>
      </c>
      <c r="J300">
        <v>166.1</v>
      </c>
      <c r="K300">
        <v>161.1</v>
      </c>
      <c r="L300">
        <v>114.3</v>
      </c>
      <c r="M300">
        <v>162.6</v>
      </c>
      <c r="N300">
        <v>150.69999999999999</v>
      </c>
      <c r="O300">
        <v>170.3</v>
      </c>
      <c r="P300">
        <v>160.4</v>
      </c>
      <c r="Q300">
        <v>138.69999999999999</v>
      </c>
      <c r="R300">
        <v>152.6</v>
      </c>
      <c r="S300">
        <v>155.1</v>
      </c>
      <c r="T300">
        <v>159.9</v>
      </c>
      <c r="U300">
        <v>147.19999999999999</v>
      </c>
      <c r="V300">
        <v>141.69999999999999</v>
      </c>
      <c r="W300">
        <v>157.6</v>
      </c>
      <c r="X300">
        <v>156.9</v>
      </c>
      <c r="Y300">
        <v>154.9</v>
      </c>
      <c r="Z300">
        <v>154.80000000000001</v>
      </c>
      <c r="AA300">
        <v>148.6</v>
      </c>
      <c r="AB300">
        <v>193.5</v>
      </c>
      <c r="AC300">
        <v>150</v>
      </c>
      <c r="AD300">
        <v>156.9</v>
      </c>
    </row>
    <row r="301" spans="1:30" x14ac:dyDescent="0.25">
      <c r="A301" t="s">
        <v>34</v>
      </c>
      <c r="B301">
        <v>2021</v>
      </c>
      <c r="C301" t="s">
        <v>36</v>
      </c>
      <c r="D301">
        <v>144.1</v>
      </c>
      <c r="E301">
        <v>192.2</v>
      </c>
      <c r="F301">
        <v>163.80000000000001</v>
      </c>
      <c r="G301">
        <v>154.9</v>
      </c>
      <c r="H301">
        <v>163.9</v>
      </c>
      <c r="I301">
        <v>153.69999999999999</v>
      </c>
      <c r="J301">
        <v>149.5</v>
      </c>
      <c r="K301">
        <v>159.80000000000001</v>
      </c>
      <c r="L301">
        <v>112.6</v>
      </c>
      <c r="M301">
        <v>163.5</v>
      </c>
      <c r="N301">
        <v>156.5</v>
      </c>
      <c r="O301">
        <v>168.2</v>
      </c>
      <c r="P301">
        <v>156.69999999999999</v>
      </c>
      <c r="Q301">
        <v>147.9</v>
      </c>
      <c r="R301">
        <v>156.4</v>
      </c>
      <c r="S301">
        <v>157.80000000000001</v>
      </c>
      <c r="T301">
        <v>159.9</v>
      </c>
      <c r="U301">
        <v>151.19999999999999</v>
      </c>
      <c r="V301">
        <v>146.19999999999999</v>
      </c>
      <c r="W301">
        <v>160.19999999999999</v>
      </c>
      <c r="X301">
        <v>161.69999999999999</v>
      </c>
      <c r="Y301">
        <v>153.80000000000001</v>
      </c>
      <c r="Z301">
        <v>155.5</v>
      </c>
      <c r="AA301">
        <v>152.6</v>
      </c>
      <c r="AB301">
        <v>188.1</v>
      </c>
      <c r="AC301">
        <v>153.80000000000001</v>
      </c>
      <c r="AD301">
        <v>156.80000000000001</v>
      </c>
    </row>
    <row r="302" spans="1:30" x14ac:dyDescent="0.25">
      <c r="A302" t="s">
        <v>30</v>
      </c>
      <c r="B302">
        <v>2021</v>
      </c>
      <c r="C302" t="s">
        <v>37</v>
      </c>
      <c r="D302">
        <v>142.69999999999999</v>
      </c>
      <c r="E302">
        <v>195.5</v>
      </c>
      <c r="F302">
        <v>163.4</v>
      </c>
      <c r="G302">
        <v>155</v>
      </c>
      <c r="H302">
        <v>175.2</v>
      </c>
      <c r="I302">
        <v>160.6</v>
      </c>
      <c r="J302">
        <v>135.1</v>
      </c>
      <c r="K302">
        <v>161.1</v>
      </c>
      <c r="L302">
        <v>112.2</v>
      </c>
      <c r="M302">
        <v>164.4</v>
      </c>
      <c r="N302">
        <v>161.9</v>
      </c>
      <c r="O302">
        <v>166.8</v>
      </c>
      <c r="P302">
        <v>155.6</v>
      </c>
      <c r="Q302">
        <v>155.1</v>
      </c>
      <c r="R302">
        <v>159.9</v>
      </c>
      <c r="S302">
        <v>160.69999999999999</v>
      </c>
      <c r="T302">
        <v>139.5</v>
      </c>
      <c r="U302">
        <v>155.5</v>
      </c>
      <c r="V302">
        <v>151.69999999999999</v>
      </c>
      <c r="W302">
        <v>164.1</v>
      </c>
      <c r="X302">
        <v>165.3</v>
      </c>
      <c r="Y302">
        <v>154.6</v>
      </c>
      <c r="Z302">
        <v>156</v>
      </c>
      <c r="AA302">
        <v>158.6</v>
      </c>
      <c r="AB302">
        <v>186.8</v>
      </c>
      <c r="AC302">
        <v>158</v>
      </c>
      <c r="AD302">
        <v>157.6</v>
      </c>
    </row>
    <row r="303" spans="1:30" x14ac:dyDescent="0.25">
      <c r="A303" t="s">
        <v>33</v>
      </c>
      <c r="B303">
        <v>2021</v>
      </c>
      <c r="C303" t="s">
        <v>37</v>
      </c>
      <c r="D303">
        <v>147.6</v>
      </c>
      <c r="E303">
        <v>202.5</v>
      </c>
      <c r="F303">
        <v>166.4</v>
      </c>
      <c r="G303">
        <v>156</v>
      </c>
      <c r="H303">
        <v>161.4</v>
      </c>
      <c r="I303">
        <v>168.8</v>
      </c>
      <c r="J303">
        <v>161.6</v>
      </c>
      <c r="K303">
        <v>162.80000000000001</v>
      </c>
      <c r="L303">
        <v>114.8</v>
      </c>
      <c r="M303">
        <v>162.80000000000001</v>
      </c>
      <c r="N303">
        <v>151.5</v>
      </c>
      <c r="O303">
        <v>171.4</v>
      </c>
      <c r="P303">
        <v>162</v>
      </c>
      <c r="Q303">
        <v>139.30000000000001</v>
      </c>
      <c r="R303">
        <v>153.4</v>
      </c>
      <c r="S303">
        <v>155.9</v>
      </c>
      <c r="T303">
        <v>161.4</v>
      </c>
      <c r="U303">
        <v>147.6</v>
      </c>
      <c r="V303">
        <v>142.1</v>
      </c>
      <c r="W303">
        <v>157.6</v>
      </c>
      <c r="X303">
        <v>157.5</v>
      </c>
      <c r="Y303">
        <v>156.6</v>
      </c>
      <c r="Z303">
        <v>154.9</v>
      </c>
      <c r="AA303">
        <v>149.1</v>
      </c>
      <c r="AB303">
        <v>194.4</v>
      </c>
      <c r="AC303">
        <v>150.5</v>
      </c>
      <c r="AD303">
        <v>158</v>
      </c>
    </row>
    <row r="304" spans="1:30" x14ac:dyDescent="0.25">
      <c r="A304" t="s">
        <v>34</v>
      </c>
      <c r="B304">
        <v>2021</v>
      </c>
      <c r="C304" t="s">
        <v>37</v>
      </c>
      <c r="D304">
        <v>144.30000000000001</v>
      </c>
      <c r="E304">
        <v>198</v>
      </c>
      <c r="F304">
        <v>164.6</v>
      </c>
      <c r="G304">
        <v>155.4</v>
      </c>
      <c r="H304">
        <v>170.1</v>
      </c>
      <c r="I304">
        <v>164.4</v>
      </c>
      <c r="J304">
        <v>144.1</v>
      </c>
      <c r="K304">
        <v>161.69999999999999</v>
      </c>
      <c r="L304">
        <v>113.1</v>
      </c>
      <c r="M304">
        <v>163.9</v>
      </c>
      <c r="N304">
        <v>157.6</v>
      </c>
      <c r="O304">
        <v>168.9</v>
      </c>
      <c r="P304">
        <v>158</v>
      </c>
      <c r="Q304">
        <v>148.5</v>
      </c>
      <c r="R304">
        <v>157.30000000000001</v>
      </c>
      <c r="S304">
        <v>158.80000000000001</v>
      </c>
      <c r="T304">
        <v>161.4</v>
      </c>
      <c r="U304">
        <v>151.80000000000001</v>
      </c>
      <c r="V304">
        <v>146.6</v>
      </c>
      <c r="W304">
        <v>160.30000000000001</v>
      </c>
      <c r="X304">
        <v>162.30000000000001</v>
      </c>
      <c r="Y304">
        <v>155.4</v>
      </c>
      <c r="Z304">
        <v>155.6</v>
      </c>
      <c r="AA304">
        <v>153.19999999999999</v>
      </c>
      <c r="AB304">
        <v>188.8</v>
      </c>
      <c r="AC304">
        <v>154.4</v>
      </c>
      <c r="AD304">
        <v>157.80000000000001</v>
      </c>
    </row>
    <row r="305" spans="1:30" x14ac:dyDescent="0.25">
      <c r="A305" t="s">
        <v>30</v>
      </c>
      <c r="B305">
        <v>2021</v>
      </c>
      <c r="C305" t="s">
        <v>38</v>
      </c>
      <c r="D305">
        <v>145.1</v>
      </c>
      <c r="E305">
        <v>198.5</v>
      </c>
      <c r="F305">
        <v>168.6</v>
      </c>
      <c r="G305">
        <v>155.80000000000001</v>
      </c>
      <c r="H305">
        <v>184.4</v>
      </c>
      <c r="I305">
        <v>162.30000000000001</v>
      </c>
      <c r="J305">
        <v>138.4</v>
      </c>
      <c r="K305">
        <v>165.1</v>
      </c>
      <c r="L305">
        <v>114.3</v>
      </c>
      <c r="M305">
        <v>169.7</v>
      </c>
      <c r="N305">
        <v>164.6</v>
      </c>
      <c r="O305">
        <v>169.8</v>
      </c>
      <c r="P305">
        <v>158.69999999999999</v>
      </c>
      <c r="Q305">
        <v>160.6</v>
      </c>
      <c r="R305">
        <v>164.5</v>
      </c>
      <c r="S305">
        <v>165.3</v>
      </c>
      <c r="T305">
        <v>139.5</v>
      </c>
      <c r="U305">
        <v>158.80000000000001</v>
      </c>
      <c r="V305">
        <v>153.19999999999999</v>
      </c>
      <c r="W305">
        <v>167.6</v>
      </c>
      <c r="X305">
        <v>169.1</v>
      </c>
      <c r="Y305">
        <v>159.30000000000001</v>
      </c>
      <c r="Z305">
        <v>161.69999999999999</v>
      </c>
      <c r="AA305">
        <v>160</v>
      </c>
      <c r="AB305">
        <v>189.6</v>
      </c>
      <c r="AC305">
        <v>161.1</v>
      </c>
      <c r="AD305">
        <v>161.1</v>
      </c>
    </row>
    <row r="306" spans="1:30" x14ac:dyDescent="0.25">
      <c r="A306" t="s">
        <v>33</v>
      </c>
      <c r="B306">
        <v>2021</v>
      </c>
      <c r="C306" t="s">
        <v>38</v>
      </c>
      <c r="D306">
        <v>148.80000000000001</v>
      </c>
      <c r="E306">
        <v>204.3</v>
      </c>
      <c r="F306">
        <v>173</v>
      </c>
      <c r="G306">
        <v>156.5</v>
      </c>
      <c r="H306">
        <v>168.8</v>
      </c>
      <c r="I306">
        <v>172.5</v>
      </c>
      <c r="J306">
        <v>166.5</v>
      </c>
      <c r="K306">
        <v>165.9</v>
      </c>
      <c r="L306">
        <v>115.9</v>
      </c>
      <c r="M306">
        <v>165.2</v>
      </c>
      <c r="N306">
        <v>152</v>
      </c>
      <c r="O306">
        <v>171.1</v>
      </c>
      <c r="P306">
        <v>164.2</v>
      </c>
      <c r="Q306">
        <v>140.19999999999999</v>
      </c>
      <c r="R306">
        <v>154.1</v>
      </c>
      <c r="S306">
        <v>156.5</v>
      </c>
      <c r="T306">
        <v>161.6</v>
      </c>
      <c r="U306">
        <v>150.1</v>
      </c>
      <c r="V306">
        <v>145</v>
      </c>
      <c r="W306">
        <v>156.6</v>
      </c>
      <c r="X306">
        <v>160.4</v>
      </c>
      <c r="Y306">
        <v>157.5</v>
      </c>
      <c r="Z306">
        <v>155.5</v>
      </c>
      <c r="AA306">
        <v>152.6</v>
      </c>
      <c r="AB306">
        <v>198.2</v>
      </c>
      <c r="AC306">
        <v>152.30000000000001</v>
      </c>
      <c r="AD306">
        <v>159.5</v>
      </c>
    </row>
    <row r="307" spans="1:30" x14ac:dyDescent="0.25">
      <c r="A307" t="s">
        <v>34</v>
      </c>
      <c r="B307">
        <v>2021</v>
      </c>
      <c r="C307" t="s">
        <v>38</v>
      </c>
      <c r="D307">
        <v>146.30000000000001</v>
      </c>
      <c r="E307">
        <v>200.5</v>
      </c>
      <c r="F307">
        <v>170.3</v>
      </c>
      <c r="G307">
        <v>156.1</v>
      </c>
      <c r="H307">
        <v>178.7</v>
      </c>
      <c r="I307">
        <v>167.1</v>
      </c>
      <c r="J307">
        <v>147.9</v>
      </c>
      <c r="K307">
        <v>165.4</v>
      </c>
      <c r="L307">
        <v>114.8</v>
      </c>
      <c r="M307">
        <v>168.2</v>
      </c>
      <c r="N307">
        <v>159.30000000000001</v>
      </c>
      <c r="O307">
        <v>170.4</v>
      </c>
      <c r="P307">
        <v>160.69999999999999</v>
      </c>
      <c r="Q307">
        <v>152.1</v>
      </c>
      <c r="R307">
        <v>160.4</v>
      </c>
      <c r="S307">
        <v>161.80000000000001</v>
      </c>
      <c r="T307">
        <v>161.6</v>
      </c>
      <c r="U307">
        <v>154.69999999999999</v>
      </c>
      <c r="V307">
        <v>148.9</v>
      </c>
      <c r="W307">
        <v>161.19999999999999</v>
      </c>
      <c r="X307">
        <v>165.8</v>
      </c>
      <c r="Y307">
        <v>158.6</v>
      </c>
      <c r="Z307">
        <v>159.4</v>
      </c>
      <c r="AA307">
        <v>155.80000000000001</v>
      </c>
      <c r="AB307">
        <v>191.9</v>
      </c>
      <c r="AC307">
        <v>156.80000000000001</v>
      </c>
      <c r="AD307">
        <v>160.4</v>
      </c>
    </row>
    <row r="308" spans="1:30" x14ac:dyDescent="0.25">
      <c r="A308" t="s">
        <v>30</v>
      </c>
      <c r="B308">
        <v>2021</v>
      </c>
      <c r="C308" t="s">
        <v>39</v>
      </c>
      <c r="D308">
        <v>145.6</v>
      </c>
      <c r="E308">
        <v>200.1</v>
      </c>
      <c r="F308">
        <v>179.3</v>
      </c>
      <c r="G308">
        <v>156.1</v>
      </c>
      <c r="H308">
        <v>190.4</v>
      </c>
      <c r="I308">
        <v>158.6</v>
      </c>
      <c r="J308">
        <v>144.69999999999999</v>
      </c>
      <c r="K308">
        <v>165.5</v>
      </c>
      <c r="L308">
        <v>114.6</v>
      </c>
      <c r="M308">
        <v>170</v>
      </c>
      <c r="N308">
        <v>165.5</v>
      </c>
      <c r="O308">
        <v>171.7</v>
      </c>
      <c r="P308">
        <v>160.5</v>
      </c>
      <c r="Q308">
        <v>159.9</v>
      </c>
      <c r="R308">
        <v>164.6</v>
      </c>
      <c r="S308">
        <v>165.3</v>
      </c>
      <c r="T308">
        <v>139.5</v>
      </c>
      <c r="U308">
        <v>159.19999999999999</v>
      </c>
      <c r="V308">
        <v>154.19999999999999</v>
      </c>
      <c r="W308">
        <v>166.8</v>
      </c>
      <c r="X308">
        <v>169.7</v>
      </c>
      <c r="Y308">
        <v>159.4</v>
      </c>
      <c r="Z308">
        <v>162.1</v>
      </c>
      <c r="AA308">
        <v>160.4</v>
      </c>
      <c r="AB308">
        <v>189.1</v>
      </c>
      <c r="AC308">
        <v>161.5</v>
      </c>
      <c r="AD308">
        <v>162.1</v>
      </c>
    </row>
    <row r="309" spans="1:30" x14ac:dyDescent="0.25">
      <c r="A309" t="s">
        <v>33</v>
      </c>
      <c r="B309">
        <v>2021</v>
      </c>
      <c r="C309" t="s">
        <v>39</v>
      </c>
      <c r="D309">
        <v>149.19999999999999</v>
      </c>
      <c r="E309">
        <v>205.5</v>
      </c>
      <c r="F309">
        <v>182.8</v>
      </c>
      <c r="G309">
        <v>156.5</v>
      </c>
      <c r="H309">
        <v>172.2</v>
      </c>
      <c r="I309">
        <v>171.5</v>
      </c>
      <c r="J309">
        <v>176.2</v>
      </c>
      <c r="K309">
        <v>166.9</v>
      </c>
      <c r="L309">
        <v>116.1</v>
      </c>
      <c r="M309">
        <v>165.5</v>
      </c>
      <c r="N309">
        <v>152.30000000000001</v>
      </c>
      <c r="O309">
        <v>173.3</v>
      </c>
      <c r="P309">
        <v>166.2</v>
      </c>
      <c r="Q309">
        <v>140.5</v>
      </c>
      <c r="R309">
        <v>154.80000000000001</v>
      </c>
      <c r="S309">
        <v>157.30000000000001</v>
      </c>
      <c r="T309">
        <v>160.5</v>
      </c>
      <c r="U309">
        <v>149.80000000000001</v>
      </c>
      <c r="V309">
        <v>147.5</v>
      </c>
      <c r="W309">
        <v>158.1</v>
      </c>
      <c r="X309">
        <v>160.80000000000001</v>
      </c>
      <c r="Y309">
        <v>158</v>
      </c>
      <c r="Z309">
        <v>156.1</v>
      </c>
      <c r="AA309">
        <v>150.69999999999999</v>
      </c>
      <c r="AB309">
        <v>195.6</v>
      </c>
      <c r="AC309">
        <v>153.4</v>
      </c>
      <c r="AD309">
        <v>160.4</v>
      </c>
    </row>
    <row r="310" spans="1:30" x14ac:dyDescent="0.25">
      <c r="A310" t="s">
        <v>34</v>
      </c>
      <c r="B310">
        <v>2021</v>
      </c>
      <c r="C310" t="s">
        <v>39</v>
      </c>
      <c r="D310">
        <v>146.69999999999999</v>
      </c>
      <c r="E310">
        <v>202</v>
      </c>
      <c r="F310">
        <v>180.7</v>
      </c>
      <c r="G310">
        <v>156.19999999999999</v>
      </c>
      <c r="H310">
        <v>183.7</v>
      </c>
      <c r="I310">
        <v>164.6</v>
      </c>
      <c r="J310">
        <v>155.4</v>
      </c>
      <c r="K310">
        <v>166</v>
      </c>
      <c r="L310">
        <v>115.1</v>
      </c>
      <c r="M310">
        <v>168.5</v>
      </c>
      <c r="N310">
        <v>160</v>
      </c>
      <c r="O310">
        <v>172.4</v>
      </c>
      <c r="P310">
        <v>162.6</v>
      </c>
      <c r="Q310">
        <v>151.80000000000001</v>
      </c>
      <c r="R310">
        <v>160.69999999999999</v>
      </c>
      <c r="S310">
        <v>162.19999999999999</v>
      </c>
      <c r="T310">
        <v>160.5</v>
      </c>
      <c r="U310">
        <v>154.80000000000001</v>
      </c>
      <c r="V310">
        <v>150.69999999999999</v>
      </c>
      <c r="W310">
        <v>161.69999999999999</v>
      </c>
      <c r="X310">
        <v>166.3</v>
      </c>
      <c r="Y310">
        <v>158.80000000000001</v>
      </c>
      <c r="Z310">
        <v>159.80000000000001</v>
      </c>
      <c r="AA310">
        <v>154.9</v>
      </c>
      <c r="AB310">
        <v>190.8</v>
      </c>
      <c r="AC310">
        <v>157.6</v>
      </c>
      <c r="AD310">
        <v>161.30000000000001</v>
      </c>
    </row>
    <row r="311" spans="1:30" x14ac:dyDescent="0.25">
      <c r="A311" t="s">
        <v>30</v>
      </c>
      <c r="B311">
        <v>2021</v>
      </c>
      <c r="C311" t="s">
        <v>40</v>
      </c>
      <c r="D311">
        <v>145.1</v>
      </c>
      <c r="E311">
        <v>204.5</v>
      </c>
      <c r="F311">
        <v>180.4</v>
      </c>
      <c r="G311">
        <v>157.1</v>
      </c>
      <c r="H311">
        <v>188.7</v>
      </c>
      <c r="I311">
        <v>157.69999999999999</v>
      </c>
      <c r="J311">
        <v>152.80000000000001</v>
      </c>
      <c r="K311">
        <v>163.6</v>
      </c>
      <c r="L311">
        <v>113.9</v>
      </c>
      <c r="M311">
        <v>169.7</v>
      </c>
      <c r="N311">
        <v>166.2</v>
      </c>
      <c r="O311">
        <v>171</v>
      </c>
      <c r="P311">
        <v>161.69999999999999</v>
      </c>
      <c r="Q311">
        <v>161.1</v>
      </c>
      <c r="R311">
        <v>165.3</v>
      </c>
      <c r="S311">
        <v>166</v>
      </c>
      <c r="T311">
        <v>139.5</v>
      </c>
      <c r="U311">
        <v>160.30000000000001</v>
      </c>
      <c r="V311">
        <v>157.1</v>
      </c>
      <c r="W311">
        <v>167.2</v>
      </c>
      <c r="X311">
        <v>170.4</v>
      </c>
      <c r="Y311">
        <v>160.4</v>
      </c>
      <c r="Z311">
        <v>162.5</v>
      </c>
      <c r="AA311">
        <v>160.69999999999999</v>
      </c>
      <c r="AB311">
        <v>189.7</v>
      </c>
      <c r="AC311">
        <v>162.80000000000001</v>
      </c>
      <c r="AD311">
        <v>163.19999999999999</v>
      </c>
    </row>
    <row r="312" spans="1:30" x14ac:dyDescent="0.25">
      <c r="A312" t="s">
        <v>33</v>
      </c>
      <c r="B312">
        <v>2021</v>
      </c>
      <c r="C312" t="s">
        <v>40</v>
      </c>
      <c r="D312">
        <v>149.1</v>
      </c>
      <c r="E312">
        <v>210.9</v>
      </c>
      <c r="F312">
        <v>185</v>
      </c>
      <c r="G312">
        <v>158.19999999999999</v>
      </c>
      <c r="H312">
        <v>170.6</v>
      </c>
      <c r="I312">
        <v>170.9</v>
      </c>
      <c r="J312">
        <v>186.4</v>
      </c>
      <c r="K312">
        <v>164.7</v>
      </c>
      <c r="L312">
        <v>115.7</v>
      </c>
      <c r="M312">
        <v>165.5</v>
      </c>
      <c r="N312">
        <v>153.4</v>
      </c>
      <c r="O312">
        <v>173.5</v>
      </c>
      <c r="P312">
        <v>167.9</v>
      </c>
      <c r="Q312">
        <v>141.9</v>
      </c>
      <c r="R312">
        <v>155.5</v>
      </c>
      <c r="S312">
        <v>157.9</v>
      </c>
      <c r="T312">
        <v>161.5</v>
      </c>
      <c r="U312">
        <v>150.69999999999999</v>
      </c>
      <c r="V312">
        <v>149.5</v>
      </c>
      <c r="W312">
        <v>160.30000000000001</v>
      </c>
      <c r="X312">
        <v>161.5</v>
      </c>
      <c r="Y312">
        <v>159.6</v>
      </c>
      <c r="Z312">
        <v>157.69999999999999</v>
      </c>
      <c r="AA312">
        <v>151.19999999999999</v>
      </c>
      <c r="AB312">
        <v>195.5</v>
      </c>
      <c r="AC312">
        <v>155</v>
      </c>
      <c r="AD312">
        <v>161.80000000000001</v>
      </c>
    </row>
    <row r="313" spans="1:30" x14ac:dyDescent="0.25">
      <c r="A313" t="s">
        <v>34</v>
      </c>
      <c r="B313">
        <v>2021</v>
      </c>
      <c r="C313" t="s">
        <v>40</v>
      </c>
      <c r="D313">
        <v>146.4</v>
      </c>
      <c r="E313">
        <v>206.8</v>
      </c>
      <c r="F313">
        <v>182.2</v>
      </c>
      <c r="G313">
        <v>157.5</v>
      </c>
      <c r="H313">
        <v>182.1</v>
      </c>
      <c r="I313">
        <v>163.9</v>
      </c>
      <c r="J313">
        <v>164.2</v>
      </c>
      <c r="K313">
        <v>164</v>
      </c>
      <c r="L313">
        <v>114.5</v>
      </c>
      <c r="M313">
        <v>168.3</v>
      </c>
      <c r="N313">
        <v>160.9</v>
      </c>
      <c r="O313">
        <v>172.2</v>
      </c>
      <c r="P313">
        <v>164</v>
      </c>
      <c r="Q313">
        <v>153.1</v>
      </c>
      <c r="R313">
        <v>161.4</v>
      </c>
      <c r="S313">
        <v>162.80000000000001</v>
      </c>
      <c r="T313">
        <v>161.5</v>
      </c>
      <c r="U313">
        <v>155.80000000000001</v>
      </c>
      <c r="V313">
        <v>153.1</v>
      </c>
      <c r="W313">
        <v>163.19999999999999</v>
      </c>
      <c r="X313">
        <v>167</v>
      </c>
      <c r="Y313">
        <v>160.1</v>
      </c>
      <c r="Z313">
        <v>160.69999999999999</v>
      </c>
      <c r="AA313">
        <v>155.30000000000001</v>
      </c>
      <c r="AB313">
        <v>191.2</v>
      </c>
      <c r="AC313">
        <v>159</v>
      </c>
      <c r="AD313">
        <v>162.5</v>
      </c>
    </row>
    <row r="314" spans="1:30" x14ac:dyDescent="0.25">
      <c r="A314" t="s">
        <v>30</v>
      </c>
      <c r="B314">
        <v>2021</v>
      </c>
      <c r="C314" t="s">
        <v>41</v>
      </c>
      <c r="D314">
        <v>144.9</v>
      </c>
      <c r="E314">
        <v>202.3</v>
      </c>
      <c r="F314">
        <v>176.5</v>
      </c>
      <c r="G314">
        <v>157.5</v>
      </c>
      <c r="H314">
        <v>190.9</v>
      </c>
      <c r="I314">
        <v>155.69999999999999</v>
      </c>
      <c r="J314">
        <v>153.9</v>
      </c>
      <c r="K314">
        <v>162.80000000000001</v>
      </c>
      <c r="L314">
        <v>115.2</v>
      </c>
      <c r="M314">
        <v>169.8</v>
      </c>
      <c r="N314">
        <v>167.6</v>
      </c>
      <c r="O314">
        <v>171.9</v>
      </c>
      <c r="P314">
        <v>161.80000000000001</v>
      </c>
      <c r="Q314">
        <v>162.6</v>
      </c>
      <c r="R314">
        <v>166.3</v>
      </c>
      <c r="S314">
        <v>167</v>
      </c>
      <c r="T314">
        <v>139.5</v>
      </c>
      <c r="U314">
        <v>160.9</v>
      </c>
      <c r="V314">
        <v>157.69999999999999</v>
      </c>
      <c r="W314">
        <v>167.5</v>
      </c>
      <c r="X314">
        <v>171.1</v>
      </c>
      <c r="Y314">
        <v>160.30000000000001</v>
      </c>
      <c r="Z314">
        <v>163.1</v>
      </c>
      <c r="AA314">
        <v>161.1</v>
      </c>
      <c r="AB314">
        <v>190.2</v>
      </c>
      <c r="AC314">
        <v>163.30000000000001</v>
      </c>
      <c r="AD314">
        <v>163.6</v>
      </c>
    </row>
    <row r="315" spans="1:30" x14ac:dyDescent="0.25">
      <c r="A315" t="s">
        <v>33</v>
      </c>
      <c r="B315">
        <v>2021</v>
      </c>
      <c r="C315" t="s">
        <v>41</v>
      </c>
      <c r="D315">
        <v>149.30000000000001</v>
      </c>
      <c r="E315">
        <v>207.4</v>
      </c>
      <c r="F315">
        <v>174.1</v>
      </c>
      <c r="G315">
        <v>159.19999999999999</v>
      </c>
      <c r="H315">
        <v>175</v>
      </c>
      <c r="I315">
        <v>161.30000000000001</v>
      </c>
      <c r="J315">
        <v>183.3</v>
      </c>
      <c r="K315">
        <v>164.5</v>
      </c>
      <c r="L315">
        <v>120.4</v>
      </c>
      <c r="M315">
        <v>166.2</v>
      </c>
      <c r="N315">
        <v>154.80000000000001</v>
      </c>
      <c r="O315">
        <v>175.1</v>
      </c>
      <c r="P315">
        <v>167.3</v>
      </c>
      <c r="Q315">
        <v>143.6</v>
      </c>
      <c r="R315">
        <v>157.30000000000001</v>
      </c>
      <c r="S315">
        <v>159.80000000000001</v>
      </c>
      <c r="T315">
        <v>162.1</v>
      </c>
      <c r="U315">
        <v>153.19999999999999</v>
      </c>
      <c r="V315">
        <v>150.4</v>
      </c>
      <c r="W315">
        <v>160.4</v>
      </c>
      <c r="X315">
        <v>162.80000000000001</v>
      </c>
      <c r="Y315">
        <v>159.6</v>
      </c>
      <c r="Z315">
        <v>160.69999999999999</v>
      </c>
      <c r="AA315">
        <v>153.69999999999999</v>
      </c>
      <c r="AB315">
        <v>196.5</v>
      </c>
      <c r="AC315">
        <v>156</v>
      </c>
      <c r="AD315">
        <v>162.30000000000001</v>
      </c>
    </row>
    <row r="316" spans="1:30" x14ac:dyDescent="0.25">
      <c r="A316" t="s">
        <v>34</v>
      </c>
      <c r="B316">
        <v>2021</v>
      </c>
      <c r="C316" t="s">
        <v>41</v>
      </c>
      <c r="D316">
        <v>146.6</v>
      </c>
      <c r="E316">
        <v>204</v>
      </c>
      <c r="F316">
        <v>172.8</v>
      </c>
      <c r="G316">
        <v>158.4</v>
      </c>
      <c r="H316">
        <v>188</v>
      </c>
      <c r="I316">
        <v>156.80000000000001</v>
      </c>
      <c r="J316">
        <v>162.19999999999999</v>
      </c>
      <c r="K316">
        <v>164.1</v>
      </c>
      <c r="L316">
        <v>119.7</v>
      </c>
      <c r="M316">
        <v>168.8</v>
      </c>
      <c r="N316">
        <v>162.69999999999999</v>
      </c>
      <c r="O316">
        <v>173.9</v>
      </c>
      <c r="P316">
        <v>164</v>
      </c>
      <c r="Q316">
        <v>155.30000000000001</v>
      </c>
      <c r="R316">
        <v>163.19999999999999</v>
      </c>
      <c r="S316">
        <v>164.5</v>
      </c>
      <c r="T316">
        <v>162.1</v>
      </c>
      <c r="U316">
        <v>157.5</v>
      </c>
      <c r="V316">
        <v>154</v>
      </c>
      <c r="W316">
        <v>163.80000000000001</v>
      </c>
      <c r="X316">
        <v>168.4</v>
      </c>
      <c r="Y316">
        <v>160</v>
      </c>
      <c r="Z316">
        <v>162.6</v>
      </c>
      <c r="AA316">
        <v>157.6</v>
      </c>
      <c r="AB316">
        <v>192.1</v>
      </c>
      <c r="AC316">
        <v>160</v>
      </c>
      <c r="AD316">
        <v>163.19999999999999</v>
      </c>
    </row>
    <row r="317" spans="1:30" x14ac:dyDescent="0.25">
      <c r="A317" t="s">
        <v>30</v>
      </c>
      <c r="B317">
        <v>2021</v>
      </c>
      <c r="C317" t="s">
        <v>42</v>
      </c>
      <c r="D317">
        <v>145.4</v>
      </c>
      <c r="E317">
        <v>202.1</v>
      </c>
      <c r="F317">
        <v>172</v>
      </c>
      <c r="G317">
        <v>158</v>
      </c>
      <c r="H317">
        <v>195.5</v>
      </c>
      <c r="I317">
        <v>152.69999999999999</v>
      </c>
      <c r="J317">
        <v>151.4</v>
      </c>
      <c r="K317">
        <v>163.9</v>
      </c>
      <c r="L317">
        <v>119.3</v>
      </c>
      <c r="M317">
        <v>170.1</v>
      </c>
      <c r="N317">
        <v>168.3</v>
      </c>
      <c r="O317">
        <v>172.8</v>
      </c>
      <c r="P317">
        <v>162.1</v>
      </c>
      <c r="Q317">
        <v>163.6</v>
      </c>
      <c r="R317">
        <v>167.1</v>
      </c>
      <c r="S317">
        <v>167.7</v>
      </c>
      <c r="T317">
        <v>139.5</v>
      </c>
      <c r="U317">
        <v>161.30000000000001</v>
      </c>
      <c r="V317">
        <v>157.80000000000001</v>
      </c>
      <c r="W317">
        <v>168.5</v>
      </c>
      <c r="X317">
        <v>171.9</v>
      </c>
      <c r="Y317">
        <v>160.19999999999999</v>
      </c>
      <c r="Z317">
        <v>163.69999999999999</v>
      </c>
      <c r="AA317">
        <v>162.69999999999999</v>
      </c>
      <c r="AB317">
        <v>190.5</v>
      </c>
      <c r="AC317">
        <v>163.80000000000001</v>
      </c>
      <c r="AD317">
        <v>164</v>
      </c>
    </row>
    <row r="318" spans="1:30" x14ac:dyDescent="0.25">
      <c r="A318" t="s">
        <v>33</v>
      </c>
      <c r="B318">
        <v>2021</v>
      </c>
      <c r="C318" t="s">
        <v>42</v>
      </c>
      <c r="D318">
        <v>149.30000000000001</v>
      </c>
      <c r="E318">
        <v>207.4</v>
      </c>
      <c r="F318">
        <v>174.1</v>
      </c>
      <c r="G318">
        <v>159.1</v>
      </c>
      <c r="H318">
        <v>175</v>
      </c>
      <c r="I318">
        <v>161.19999999999999</v>
      </c>
      <c r="J318">
        <v>183.5</v>
      </c>
      <c r="K318">
        <v>164.5</v>
      </c>
      <c r="L318">
        <v>120.4</v>
      </c>
      <c r="M318">
        <v>166.2</v>
      </c>
      <c r="N318">
        <v>154.80000000000001</v>
      </c>
      <c r="O318">
        <v>175.1</v>
      </c>
      <c r="P318">
        <v>167.3</v>
      </c>
      <c r="Q318">
        <v>143.6</v>
      </c>
      <c r="R318">
        <v>157.4</v>
      </c>
      <c r="S318">
        <v>159.80000000000001</v>
      </c>
      <c r="T318">
        <v>162.1</v>
      </c>
      <c r="U318">
        <v>153.30000000000001</v>
      </c>
      <c r="V318">
        <v>150.5</v>
      </c>
      <c r="W318">
        <v>160.30000000000001</v>
      </c>
      <c r="X318">
        <v>162.80000000000001</v>
      </c>
      <c r="Y318">
        <v>159.6</v>
      </c>
      <c r="Z318">
        <v>160.80000000000001</v>
      </c>
      <c r="AA318">
        <v>153.9</v>
      </c>
      <c r="AB318">
        <v>196.5</v>
      </c>
      <c r="AC318">
        <v>156</v>
      </c>
      <c r="AD318">
        <v>162.30000000000001</v>
      </c>
    </row>
    <row r="319" spans="1:30" x14ac:dyDescent="0.25">
      <c r="A319" t="s">
        <v>34</v>
      </c>
      <c r="B319">
        <v>2021</v>
      </c>
      <c r="C319" t="s">
        <v>42</v>
      </c>
      <c r="D319">
        <v>146.6</v>
      </c>
      <c r="E319">
        <v>204</v>
      </c>
      <c r="F319">
        <v>172.8</v>
      </c>
      <c r="G319">
        <v>158.4</v>
      </c>
      <c r="H319">
        <v>188</v>
      </c>
      <c r="I319">
        <v>156.69999999999999</v>
      </c>
      <c r="J319">
        <v>162.30000000000001</v>
      </c>
      <c r="K319">
        <v>164.1</v>
      </c>
      <c r="L319">
        <v>119.7</v>
      </c>
      <c r="M319">
        <v>168.8</v>
      </c>
      <c r="N319">
        <v>162.69999999999999</v>
      </c>
      <c r="O319">
        <v>173.9</v>
      </c>
      <c r="P319">
        <v>164</v>
      </c>
      <c r="Q319">
        <v>155.30000000000001</v>
      </c>
      <c r="R319">
        <v>163.30000000000001</v>
      </c>
      <c r="S319">
        <v>164.6</v>
      </c>
      <c r="T319">
        <v>162.1</v>
      </c>
      <c r="U319">
        <v>157.5</v>
      </c>
      <c r="V319">
        <v>154</v>
      </c>
      <c r="W319">
        <v>163.69999999999999</v>
      </c>
      <c r="X319">
        <v>168.4</v>
      </c>
      <c r="Y319">
        <v>160</v>
      </c>
      <c r="Z319">
        <v>162.6</v>
      </c>
      <c r="AA319">
        <v>157.69999999999999</v>
      </c>
      <c r="AB319">
        <v>192.1</v>
      </c>
      <c r="AC319">
        <v>160</v>
      </c>
      <c r="AD319">
        <v>163.19999999999999</v>
      </c>
    </row>
    <row r="320" spans="1:30" x14ac:dyDescent="0.25">
      <c r="A320" t="s">
        <v>30</v>
      </c>
      <c r="B320">
        <v>2021</v>
      </c>
      <c r="C320" t="s">
        <v>43</v>
      </c>
      <c r="D320">
        <v>146.1</v>
      </c>
      <c r="E320">
        <v>202.5</v>
      </c>
      <c r="F320">
        <v>170.1</v>
      </c>
      <c r="G320">
        <v>158.4</v>
      </c>
      <c r="H320">
        <v>198.8</v>
      </c>
      <c r="I320">
        <v>152.6</v>
      </c>
      <c r="J320">
        <v>170.4</v>
      </c>
      <c r="K320">
        <v>165.2</v>
      </c>
      <c r="L320">
        <v>121.6</v>
      </c>
      <c r="M320">
        <v>170.6</v>
      </c>
      <c r="N320">
        <v>168.8</v>
      </c>
      <c r="O320">
        <v>173.6</v>
      </c>
      <c r="P320">
        <v>165.5</v>
      </c>
      <c r="Q320">
        <v>164.8</v>
      </c>
      <c r="R320">
        <v>168.3</v>
      </c>
      <c r="S320">
        <v>168.9</v>
      </c>
      <c r="T320">
        <v>139.5</v>
      </c>
      <c r="U320">
        <v>162</v>
      </c>
      <c r="V320">
        <v>159.5</v>
      </c>
      <c r="W320">
        <v>169</v>
      </c>
      <c r="X320">
        <v>172.5</v>
      </c>
      <c r="Y320">
        <v>161.1</v>
      </c>
      <c r="Z320">
        <v>165.5</v>
      </c>
      <c r="AA320">
        <v>163.19999999999999</v>
      </c>
      <c r="AB320">
        <v>191.2</v>
      </c>
      <c r="AC320">
        <v>164.7</v>
      </c>
      <c r="AD320">
        <v>166.3</v>
      </c>
    </row>
    <row r="321" spans="1:30" x14ac:dyDescent="0.25">
      <c r="A321" t="s">
        <v>33</v>
      </c>
      <c r="B321">
        <v>2021</v>
      </c>
      <c r="C321" t="s">
        <v>43</v>
      </c>
      <c r="D321">
        <v>150.1</v>
      </c>
      <c r="E321">
        <v>208.4</v>
      </c>
      <c r="F321">
        <v>173</v>
      </c>
      <c r="G321">
        <v>159.19999999999999</v>
      </c>
      <c r="H321">
        <v>176.6</v>
      </c>
      <c r="I321">
        <v>159.30000000000001</v>
      </c>
      <c r="J321">
        <v>214.4</v>
      </c>
      <c r="K321">
        <v>165.3</v>
      </c>
      <c r="L321">
        <v>122.5</v>
      </c>
      <c r="M321">
        <v>166.8</v>
      </c>
      <c r="N321">
        <v>155.4</v>
      </c>
      <c r="O321">
        <v>175.9</v>
      </c>
      <c r="P321">
        <v>171.5</v>
      </c>
      <c r="Q321">
        <v>144.4</v>
      </c>
      <c r="R321">
        <v>158.30000000000001</v>
      </c>
      <c r="S321">
        <v>160.80000000000001</v>
      </c>
      <c r="T321">
        <v>163.6</v>
      </c>
      <c r="U321">
        <v>154.30000000000001</v>
      </c>
      <c r="V321">
        <v>152.19999999999999</v>
      </c>
      <c r="W321">
        <v>160.30000000000001</v>
      </c>
      <c r="X321">
        <v>163.5</v>
      </c>
      <c r="Y321">
        <v>160.30000000000001</v>
      </c>
      <c r="Z321">
        <v>162.19999999999999</v>
      </c>
      <c r="AA321">
        <v>155.1</v>
      </c>
      <c r="AB321">
        <v>197</v>
      </c>
      <c r="AC321">
        <v>157</v>
      </c>
      <c r="AD321">
        <v>164.6</v>
      </c>
    </row>
    <row r="322" spans="1:30" x14ac:dyDescent="0.25">
      <c r="A322" t="s">
        <v>34</v>
      </c>
      <c r="B322">
        <v>2021</v>
      </c>
      <c r="C322" t="s">
        <v>43</v>
      </c>
      <c r="D322">
        <v>147.4</v>
      </c>
      <c r="E322">
        <v>204.6</v>
      </c>
      <c r="F322">
        <v>171.2</v>
      </c>
      <c r="G322">
        <v>158.69999999999999</v>
      </c>
      <c r="H322">
        <v>190.6</v>
      </c>
      <c r="I322">
        <v>155.69999999999999</v>
      </c>
      <c r="J322">
        <v>185.3</v>
      </c>
      <c r="K322">
        <v>165.2</v>
      </c>
      <c r="L322">
        <v>121.9</v>
      </c>
      <c r="M322">
        <v>169.3</v>
      </c>
      <c r="N322">
        <v>163.19999999999999</v>
      </c>
      <c r="O322">
        <v>174.7</v>
      </c>
      <c r="P322">
        <v>167.7</v>
      </c>
      <c r="Q322">
        <v>156.30000000000001</v>
      </c>
      <c r="R322">
        <v>164.3</v>
      </c>
      <c r="S322">
        <v>165.7</v>
      </c>
      <c r="T322">
        <v>163.6</v>
      </c>
      <c r="U322">
        <v>158.4</v>
      </c>
      <c r="V322">
        <v>155.69999999999999</v>
      </c>
      <c r="W322">
        <v>163.9</v>
      </c>
      <c r="X322">
        <v>169.1</v>
      </c>
      <c r="Y322">
        <v>160.80000000000001</v>
      </c>
      <c r="Z322">
        <v>164.2</v>
      </c>
      <c r="AA322">
        <v>158.6</v>
      </c>
      <c r="AB322">
        <v>192.7</v>
      </c>
      <c r="AC322">
        <v>161</v>
      </c>
      <c r="AD322">
        <v>165.5</v>
      </c>
    </row>
    <row r="323" spans="1:30" x14ac:dyDescent="0.25">
      <c r="A323" t="s">
        <v>30</v>
      </c>
      <c r="B323">
        <v>2021</v>
      </c>
      <c r="C323" t="s">
        <v>45</v>
      </c>
      <c r="D323">
        <v>146.9</v>
      </c>
      <c r="E323">
        <v>199.8</v>
      </c>
      <c r="F323">
        <v>171.5</v>
      </c>
      <c r="G323">
        <v>159.1</v>
      </c>
      <c r="H323">
        <v>198.4</v>
      </c>
      <c r="I323">
        <v>153.19999999999999</v>
      </c>
      <c r="J323">
        <v>183.9</v>
      </c>
      <c r="K323">
        <v>165.4</v>
      </c>
      <c r="L323">
        <v>122.1</v>
      </c>
      <c r="M323">
        <v>170.8</v>
      </c>
      <c r="N323">
        <v>169.1</v>
      </c>
      <c r="O323">
        <v>174.3</v>
      </c>
      <c r="P323">
        <v>167.5</v>
      </c>
      <c r="Q323">
        <v>166</v>
      </c>
      <c r="R323">
        <v>169.8</v>
      </c>
      <c r="S323">
        <v>170.4</v>
      </c>
      <c r="T323">
        <v>139.5</v>
      </c>
      <c r="U323">
        <v>162.9</v>
      </c>
      <c r="V323">
        <v>158.9</v>
      </c>
      <c r="W323">
        <v>169.3</v>
      </c>
      <c r="X323">
        <v>173.4</v>
      </c>
      <c r="Y323">
        <v>162.4</v>
      </c>
      <c r="Z323">
        <v>165.3</v>
      </c>
      <c r="AA323">
        <v>163.80000000000001</v>
      </c>
      <c r="AB323">
        <v>191.4</v>
      </c>
      <c r="AC323">
        <v>165.2</v>
      </c>
      <c r="AD323">
        <v>167.6</v>
      </c>
    </row>
    <row r="324" spans="1:30" x14ac:dyDescent="0.25">
      <c r="A324" t="s">
        <v>33</v>
      </c>
      <c r="B324">
        <v>2021</v>
      </c>
      <c r="C324" t="s">
        <v>45</v>
      </c>
      <c r="D324">
        <v>151</v>
      </c>
      <c r="E324">
        <v>204.9</v>
      </c>
      <c r="F324">
        <v>175.4</v>
      </c>
      <c r="G324">
        <v>159.6</v>
      </c>
      <c r="H324">
        <v>175.8</v>
      </c>
      <c r="I324">
        <v>160.30000000000001</v>
      </c>
      <c r="J324">
        <v>229.1</v>
      </c>
      <c r="K324">
        <v>165.1</v>
      </c>
      <c r="L324">
        <v>123.1</v>
      </c>
      <c r="M324">
        <v>167.2</v>
      </c>
      <c r="N324">
        <v>156.1</v>
      </c>
      <c r="O324">
        <v>176.8</v>
      </c>
      <c r="P324">
        <v>173.5</v>
      </c>
      <c r="Q324">
        <v>145.30000000000001</v>
      </c>
      <c r="R324">
        <v>159.69999999999999</v>
      </c>
      <c r="S324">
        <v>162.30000000000001</v>
      </c>
      <c r="T324">
        <v>164.2</v>
      </c>
      <c r="U324">
        <v>155.19999999999999</v>
      </c>
      <c r="V324">
        <v>151.19999999999999</v>
      </c>
      <c r="W324">
        <v>160.80000000000001</v>
      </c>
      <c r="X324">
        <v>164.2</v>
      </c>
      <c r="Y324">
        <v>161.80000000000001</v>
      </c>
      <c r="Z324">
        <v>161.6</v>
      </c>
      <c r="AA324">
        <v>156.69999999999999</v>
      </c>
      <c r="AB324">
        <v>197</v>
      </c>
      <c r="AC324">
        <v>157.30000000000001</v>
      </c>
      <c r="AD324">
        <v>165.6</v>
      </c>
    </row>
    <row r="325" spans="1:30" x14ac:dyDescent="0.25">
      <c r="A325" t="s">
        <v>34</v>
      </c>
      <c r="B325">
        <v>2021</v>
      </c>
      <c r="C325" t="s">
        <v>45</v>
      </c>
      <c r="D325">
        <v>148.19999999999999</v>
      </c>
      <c r="E325">
        <v>201.6</v>
      </c>
      <c r="F325">
        <v>173</v>
      </c>
      <c r="G325">
        <v>159.30000000000001</v>
      </c>
      <c r="H325">
        <v>190.1</v>
      </c>
      <c r="I325">
        <v>156.5</v>
      </c>
      <c r="J325">
        <v>199.2</v>
      </c>
      <c r="K325">
        <v>165.3</v>
      </c>
      <c r="L325">
        <v>122.4</v>
      </c>
      <c r="M325">
        <v>169.6</v>
      </c>
      <c r="N325">
        <v>163.69999999999999</v>
      </c>
      <c r="O325">
        <v>175.5</v>
      </c>
      <c r="P325">
        <v>169.7</v>
      </c>
      <c r="Q325">
        <v>157.4</v>
      </c>
      <c r="R325">
        <v>165.8</v>
      </c>
      <c r="S325">
        <v>167.2</v>
      </c>
      <c r="T325">
        <v>164.2</v>
      </c>
      <c r="U325">
        <v>159.30000000000001</v>
      </c>
      <c r="V325">
        <v>154.80000000000001</v>
      </c>
      <c r="W325">
        <v>164.3</v>
      </c>
      <c r="X325">
        <v>169.9</v>
      </c>
      <c r="Y325">
        <v>162.19999999999999</v>
      </c>
      <c r="Z325">
        <v>163.9</v>
      </c>
      <c r="AA325">
        <v>159.80000000000001</v>
      </c>
      <c r="AB325">
        <v>192.9</v>
      </c>
      <c r="AC325">
        <v>161.4</v>
      </c>
      <c r="AD325">
        <v>166.7</v>
      </c>
    </row>
    <row r="326" spans="1:30" x14ac:dyDescent="0.25">
      <c r="A326" t="s">
        <v>30</v>
      </c>
      <c r="B326">
        <v>2021</v>
      </c>
      <c r="C326" t="s">
        <v>46</v>
      </c>
      <c r="D326">
        <v>147.4</v>
      </c>
      <c r="E326">
        <v>197</v>
      </c>
      <c r="F326">
        <v>176.5</v>
      </c>
      <c r="G326">
        <v>159.80000000000001</v>
      </c>
      <c r="H326">
        <v>195.8</v>
      </c>
      <c r="I326">
        <v>152</v>
      </c>
      <c r="J326">
        <v>172.3</v>
      </c>
      <c r="K326">
        <v>164.5</v>
      </c>
      <c r="L326">
        <v>120.6</v>
      </c>
      <c r="M326">
        <v>171.7</v>
      </c>
      <c r="N326">
        <v>169.7</v>
      </c>
      <c r="O326">
        <v>175.1</v>
      </c>
      <c r="P326">
        <v>165.8</v>
      </c>
      <c r="Q326">
        <v>167.3</v>
      </c>
      <c r="R326">
        <v>171.2</v>
      </c>
      <c r="S326">
        <v>171.8</v>
      </c>
      <c r="T326">
        <v>139.5</v>
      </c>
      <c r="U326">
        <v>163.9</v>
      </c>
      <c r="V326">
        <v>160.1</v>
      </c>
      <c r="W326">
        <v>169.7</v>
      </c>
      <c r="X326">
        <v>174</v>
      </c>
      <c r="Y326">
        <v>162.80000000000001</v>
      </c>
      <c r="Z326">
        <v>165.6</v>
      </c>
      <c r="AA326">
        <v>164.5</v>
      </c>
      <c r="AB326">
        <v>190.8</v>
      </c>
      <c r="AC326">
        <v>166</v>
      </c>
      <c r="AD326">
        <v>167</v>
      </c>
    </row>
    <row r="327" spans="1:30" x14ac:dyDescent="0.25">
      <c r="A327" t="s">
        <v>33</v>
      </c>
      <c r="B327">
        <v>2021</v>
      </c>
      <c r="C327" t="s">
        <v>46</v>
      </c>
      <c r="D327">
        <v>151.6</v>
      </c>
      <c r="E327">
        <v>202.2</v>
      </c>
      <c r="F327">
        <v>180</v>
      </c>
      <c r="G327">
        <v>160</v>
      </c>
      <c r="H327">
        <v>173.5</v>
      </c>
      <c r="I327">
        <v>158.30000000000001</v>
      </c>
      <c r="J327">
        <v>219.5</v>
      </c>
      <c r="K327">
        <v>164.2</v>
      </c>
      <c r="L327">
        <v>121.9</v>
      </c>
      <c r="M327">
        <v>168.2</v>
      </c>
      <c r="N327">
        <v>156.5</v>
      </c>
      <c r="O327">
        <v>178.2</v>
      </c>
      <c r="P327">
        <v>172.2</v>
      </c>
      <c r="Q327">
        <v>146.69999999999999</v>
      </c>
      <c r="R327">
        <v>160.69999999999999</v>
      </c>
      <c r="S327">
        <v>163.30000000000001</v>
      </c>
      <c r="T327">
        <v>163.4</v>
      </c>
      <c r="U327">
        <v>156</v>
      </c>
      <c r="V327">
        <v>151.80000000000001</v>
      </c>
      <c r="W327">
        <v>160.6</v>
      </c>
      <c r="X327">
        <v>165.1</v>
      </c>
      <c r="Y327">
        <v>162.4</v>
      </c>
      <c r="Z327">
        <v>161.69999999999999</v>
      </c>
      <c r="AA327">
        <v>157.6</v>
      </c>
      <c r="AB327">
        <v>196.8</v>
      </c>
      <c r="AC327">
        <v>157.80000000000001</v>
      </c>
      <c r="AD327">
        <v>165.2</v>
      </c>
    </row>
    <row r="328" spans="1:30" x14ac:dyDescent="0.25">
      <c r="A328" t="s">
        <v>34</v>
      </c>
      <c r="B328">
        <v>2021</v>
      </c>
      <c r="C328" t="s">
        <v>46</v>
      </c>
      <c r="D328">
        <v>148.69999999999999</v>
      </c>
      <c r="E328">
        <v>198.8</v>
      </c>
      <c r="F328">
        <v>177.9</v>
      </c>
      <c r="G328">
        <v>159.9</v>
      </c>
      <c r="H328">
        <v>187.6</v>
      </c>
      <c r="I328">
        <v>154.9</v>
      </c>
      <c r="J328">
        <v>188.3</v>
      </c>
      <c r="K328">
        <v>164.4</v>
      </c>
      <c r="L328">
        <v>121</v>
      </c>
      <c r="M328">
        <v>170.5</v>
      </c>
      <c r="N328">
        <v>164.2</v>
      </c>
      <c r="O328">
        <v>176.5</v>
      </c>
      <c r="P328">
        <v>168.2</v>
      </c>
      <c r="Q328">
        <v>158.69999999999999</v>
      </c>
      <c r="R328">
        <v>167</v>
      </c>
      <c r="S328">
        <v>168.5</v>
      </c>
      <c r="T328">
        <v>163.4</v>
      </c>
      <c r="U328">
        <v>160.19999999999999</v>
      </c>
      <c r="V328">
        <v>155.69999999999999</v>
      </c>
      <c r="W328">
        <v>164.4</v>
      </c>
      <c r="X328">
        <v>170.6</v>
      </c>
      <c r="Y328">
        <v>162.6</v>
      </c>
      <c r="Z328">
        <v>164.1</v>
      </c>
      <c r="AA328">
        <v>160.6</v>
      </c>
      <c r="AB328">
        <v>192.4</v>
      </c>
      <c r="AC328">
        <v>162</v>
      </c>
      <c r="AD328">
        <v>166.2</v>
      </c>
    </row>
    <row r="329" spans="1:30" x14ac:dyDescent="0.25">
      <c r="A329" t="s">
        <v>30</v>
      </c>
      <c r="B329">
        <v>2022</v>
      </c>
      <c r="C329" t="s">
        <v>31</v>
      </c>
      <c r="D329">
        <v>148.30000000000001</v>
      </c>
      <c r="E329">
        <v>196.9</v>
      </c>
      <c r="F329">
        <v>178</v>
      </c>
      <c r="G329">
        <v>160.5</v>
      </c>
      <c r="H329">
        <v>192.6</v>
      </c>
      <c r="I329">
        <v>151.19999999999999</v>
      </c>
      <c r="J329">
        <v>159.19999999999999</v>
      </c>
      <c r="K329">
        <v>164</v>
      </c>
      <c r="L329">
        <v>119.3</v>
      </c>
      <c r="M329">
        <v>173.3</v>
      </c>
      <c r="N329">
        <v>169.8</v>
      </c>
      <c r="O329">
        <v>175.8</v>
      </c>
      <c r="P329">
        <v>164.1</v>
      </c>
      <c r="Q329">
        <v>169.3</v>
      </c>
      <c r="R329">
        <v>172.7</v>
      </c>
      <c r="S329">
        <v>173.2</v>
      </c>
      <c r="T329">
        <v>139.5</v>
      </c>
      <c r="U329">
        <v>164.9</v>
      </c>
      <c r="V329">
        <v>160.80000000000001</v>
      </c>
      <c r="W329">
        <v>169.9</v>
      </c>
      <c r="X329">
        <v>174.7</v>
      </c>
      <c r="Y329">
        <v>163.19999999999999</v>
      </c>
      <c r="Z329">
        <v>165.8</v>
      </c>
      <c r="AA329">
        <v>164.9</v>
      </c>
      <c r="AB329">
        <v>190.7</v>
      </c>
      <c r="AC329">
        <v>166.6</v>
      </c>
      <c r="AD329">
        <v>166.4</v>
      </c>
    </row>
    <row r="330" spans="1:30" x14ac:dyDescent="0.25">
      <c r="A330" t="s">
        <v>33</v>
      </c>
      <c r="B330">
        <v>2022</v>
      </c>
      <c r="C330" t="s">
        <v>31</v>
      </c>
      <c r="D330">
        <v>152.19999999999999</v>
      </c>
      <c r="E330">
        <v>202.1</v>
      </c>
      <c r="F330">
        <v>180.1</v>
      </c>
      <c r="G330">
        <v>160.4</v>
      </c>
      <c r="H330">
        <v>171</v>
      </c>
      <c r="I330">
        <v>156.5</v>
      </c>
      <c r="J330">
        <v>203.6</v>
      </c>
      <c r="K330">
        <v>163.80000000000001</v>
      </c>
      <c r="L330">
        <v>121.3</v>
      </c>
      <c r="M330">
        <v>169.8</v>
      </c>
      <c r="N330">
        <v>156.6</v>
      </c>
      <c r="O330">
        <v>179</v>
      </c>
      <c r="P330">
        <v>170.3</v>
      </c>
      <c r="Q330">
        <v>148.5</v>
      </c>
      <c r="R330">
        <v>162.19999999999999</v>
      </c>
      <c r="S330">
        <v>164.7</v>
      </c>
      <c r="T330">
        <v>164.5</v>
      </c>
      <c r="U330">
        <v>156.80000000000001</v>
      </c>
      <c r="V330">
        <v>152.69999999999999</v>
      </c>
      <c r="W330">
        <v>161</v>
      </c>
      <c r="X330">
        <v>166.1</v>
      </c>
      <c r="Y330">
        <v>162.80000000000001</v>
      </c>
      <c r="Z330">
        <v>161.6</v>
      </c>
      <c r="AA330">
        <v>158.4</v>
      </c>
      <c r="AB330">
        <v>196.4</v>
      </c>
      <c r="AC330">
        <v>158.6</v>
      </c>
      <c r="AD330">
        <v>165</v>
      </c>
    </row>
    <row r="331" spans="1:30" x14ac:dyDescent="0.25">
      <c r="A331" t="s">
        <v>34</v>
      </c>
      <c r="B331">
        <v>2022</v>
      </c>
      <c r="C331" t="s">
        <v>31</v>
      </c>
      <c r="D331">
        <v>149.5</v>
      </c>
      <c r="E331">
        <v>198.7</v>
      </c>
      <c r="F331">
        <v>178.8</v>
      </c>
      <c r="G331">
        <v>160.5</v>
      </c>
      <c r="H331">
        <v>184.7</v>
      </c>
      <c r="I331">
        <v>153.69999999999999</v>
      </c>
      <c r="J331">
        <v>174.3</v>
      </c>
      <c r="K331">
        <v>163.9</v>
      </c>
      <c r="L331">
        <v>120</v>
      </c>
      <c r="M331">
        <v>172.1</v>
      </c>
      <c r="N331">
        <v>164.3</v>
      </c>
      <c r="O331">
        <v>177.3</v>
      </c>
      <c r="P331">
        <v>166.4</v>
      </c>
      <c r="Q331">
        <v>160.69999999999999</v>
      </c>
      <c r="R331">
        <v>168.5</v>
      </c>
      <c r="S331">
        <v>169.9</v>
      </c>
      <c r="T331">
        <v>164.5</v>
      </c>
      <c r="U331">
        <v>161.1</v>
      </c>
      <c r="V331">
        <v>156.5</v>
      </c>
      <c r="W331">
        <v>164.7</v>
      </c>
      <c r="X331">
        <v>171.4</v>
      </c>
      <c r="Y331">
        <v>163</v>
      </c>
      <c r="Z331">
        <v>164.2</v>
      </c>
      <c r="AA331">
        <v>161.19999999999999</v>
      </c>
      <c r="AB331">
        <v>192.2</v>
      </c>
      <c r="AC331">
        <v>162.69999999999999</v>
      </c>
      <c r="AD331">
        <v>165.7</v>
      </c>
    </row>
    <row r="332" spans="1:30" x14ac:dyDescent="0.25">
      <c r="A332" t="s">
        <v>30</v>
      </c>
      <c r="B332">
        <v>2022</v>
      </c>
      <c r="C332" t="s">
        <v>35</v>
      </c>
      <c r="D332">
        <v>148.80000000000001</v>
      </c>
      <c r="E332">
        <v>198.1</v>
      </c>
      <c r="F332">
        <v>175.5</v>
      </c>
      <c r="G332">
        <v>160.69999999999999</v>
      </c>
      <c r="H332">
        <v>192.6</v>
      </c>
      <c r="I332">
        <v>151.4</v>
      </c>
      <c r="J332">
        <v>155.19999999999999</v>
      </c>
      <c r="K332">
        <v>163.9</v>
      </c>
      <c r="L332">
        <v>118.1</v>
      </c>
      <c r="M332">
        <v>175.4</v>
      </c>
      <c r="N332">
        <v>170.5</v>
      </c>
      <c r="O332">
        <v>176.3</v>
      </c>
      <c r="P332">
        <v>163.9</v>
      </c>
      <c r="Q332">
        <v>171</v>
      </c>
      <c r="R332">
        <v>173.7</v>
      </c>
      <c r="S332">
        <v>174.1</v>
      </c>
      <c r="T332">
        <v>139.5</v>
      </c>
      <c r="U332">
        <v>165.7</v>
      </c>
      <c r="V332">
        <v>161.19999999999999</v>
      </c>
      <c r="W332">
        <v>170.3</v>
      </c>
      <c r="X332">
        <v>175.3</v>
      </c>
      <c r="Y332">
        <v>164.5</v>
      </c>
      <c r="Z332">
        <v>167.4</v>
      </c>
      <c r="AA332">
        <v>165.5</v>
      </c>
      <c r="AB332">
        <v>191.5</v>
      </c>
      <c r="AC332">
        <v>167.3</v>
      </c>
      <c r="AD332">
        <v>166.7</v>
      </c>
    </row>
    <row r="333" spans="1:30" x14ac:dyDescent="0.25">
      <c r="A333" t="s">
        <v>33</v>
      </c>
      <c r="B333">
        <v>2022</v>
      </c>
      <c r="C333" t="s">
        <v>35</v>
      </c>
      <c r="D333">
        <v>152.5</v>
      </c>
      <c r="E333">
        <v>205.2</v>
      </c>
      <c r="F333">
        <v>176.4</v>
      </c>
      <c r="G333">
        <v>160.6</v>
      </c>
      <c r="H333">
        <v>171.5</v>
      </c>
      <c r="I333">
        <v>156.4</v>
      </c>
      <c r="J333">
        <v>198</v>
      </c>
      <c r="K333">
        <v>163.19999999999999</v>
      </c>
      <c r="L333">
        <v>120.6</v>
      </c>
      <c r="M333">
        <v>172.2</v>
      </c>
      <c r="N333">
        <v>156.69999999999999</v>
      </c>
      <c r="O333">
        <v>180</v>
      </c>
      <c r="P333">
        <v>170.2</v>
      </c>
      <c r="Q333">
        <v>150.4</v>
      </c>
      <c r="R333">
        <v>163.4</v>
      </c>
      <c r="S333">
        <v>165.7</v>
      </c>
      <c r="T333">
        <v>165.5</v>
      </c>
      <c r="U333">
        <v>157.4</v>
      </c>
      <c r="V333">
        <v>153.1</v>
      </c>
      <c r="W333">
        <v>162</v>
      </c>
      <c r="X333">
        <v>167.2</v>
      </c>
      <c r="Y333">
        <v>164.2</v>
      </c>
      <c r="Z333">
        <v>163</v>
      </c>
      <c r="AA333">
        <v>159.5</v>
      </c>
      <c r="AB333">
        <v>196.5</v>
      </c>
      <c r="AC333">
        <v>159.4</v>
      </c>
      <c r="AD333">
        <v>165.5</v>
      </c>
    </row>
    <row r="334" spans="1:30" x14ac:dyDescent="0.25">
      <c r="A334" t="s">
        <v>34</v>
      </c>
      <c r="B334">
        <v>2022</v>
      </c>
      <c r="C334" t="s">
        <v>35</v>
      </c>
      <c r="D334">
        <v>150</v>
      </c>
      <c r="E334">
        <v>200.6</v>
      </c>
      <c r="F334">
        <v>175.8</v>
      </c>
      <c r="G334">
        <v>160.69999999999999</v>
      </c>
      <c r="H334">
        <v>184.9</v>
      </c>
      <c r="I334">
        <v>153.69999999999999</v>
      </c>
      <c r="J334">
        <v>169.7</v>
      </c>
      <c r="K334">
        <v>163.69999999999999</v>
      </c>
      <c r="L334">
        <v>118.9</v>
      </c>
      <c r="M334">
        <v>174.3</v>
      </c>
      <c r="N334">
        <v>164.7</v>
      </c>
      <c r="O334">
        <v>178</v>
      </c>
      <c r="P334">
        <v>166.2</v>
      </c>
      <c r="Q334">
        <v>162.4</v>
      </c>
      <c r="R334">
        <v>169.6</v>
      </c>
      <c r="S334">
        <v>170.8</v>
      </c>
      <c r="T334">
        <v>165.5</v>
      </c>
      <c r="U334">
        <v>161.80000000000001</v>
      </c>
      <c r="V334">
        <v>156.9</v>
      </c>
      <c r="W334">
        <v>165.4</v>
      </c>
      <c r="X334">
        <v>172.2</v>
      </c>
      <c r="Y334">
        <v>164.4</v>
      </c>
      <c r="Z334">
        <v>165.7</v>
      </c>
      <c r="AA334">
        <v>162.1</v>
      </c>
      <c r="AB334">
        <v>192.8</v>
      </c>
      <c r="AC334">
        <v>163.5</v>
      </c>
      <c r="AD334">
        <v>166.1</v>
      </c>
    </row>
    <row r="335" spans="1:30" x14ac:dyDescent="0.25">
      <c r="A335" t="s">
        <v>30</v>
      </c>
      <c r="B335">
        <v>2022</v>
      </c>
      <c r="C335" t="s">
        <v>36</v>
      </c>
      <c r="D335">
        <v>150.19999999999999</v>
      </c>
      <c r="E335">
        <v>208</v>
      </c>
      <c r="F335">
        <v>167.9</v>
      </c>
      <c r="G335">
        <v>162</v>
      </c>
      <c r="H335">
        <v>203.1</v>
      </c>
      <c r="I335">
        <v>155.9</v>
      </c>
      <c r="J335">
        <v>155.80000000000001</v>
      </c>
      <c r="K335">
        <v>164.2</v>
      </c>
      <c r="L335">
        <v>118.1</v>
      </c>
      <c r="M335">
        <v>178.7</v>
      </c>
      <c r="N335">
        <v>171.2</v>
      </c>
      <c r="O335">
        <v>177.4</v>
      </c>
      <c r="P335">
        <v>166.6</v>
      </c>
      <c r="Q335">
        <v>173.2</v>
      </c>
      <c r="R335">
        <v>175.1</v>
      </c>
      <c r="S335">
        <v>175.4</v>
      </c>
      <c r="T335">
        <v>139.5</v>
      </c>
      <c r="U335">
        <v>166.5</v>
      </c>
      <c r="V335">
        <v>162</v>
      </c>
      <c r="W335">
        <v>170.6</v>
      </c>
      <c r="X335">
        <v>176</v>
      </c>
      <c r="Y335">
        <v>167.4</v>
      </c>
      <c r="Z335">
        <v>168.9</v>
      </c>
      <c r="AA335">
        <v>166.6</v>
      </c>
      <c r="AB335">
        <v>192.3</v>
      </c>
      <c r="AC335">
        <v>168.3</v>
      </c>
      <c r="AD335">
        <v>168.7</v>
      </c>
    </row>
    <row r="336" spans="1:30" x14ac:dyDescent="0.25">
      <c r="A336" t="s">
        <v>33</v>
      </c>
      <c r="B336">
        <v>2022</v>
      </c>
      <c r="C336" t="s">
        <v>36</v>
      </c>
      <c r="D336">
        <v>153.69999999999999</v>
      </c>
      <c r="E336">
        <v>215.8</v>
      </c>
      <c r="F336">
        <v>167.7</v>
      </c>
      <c r="G336">
        <v>162.6</v>
      </c>
      <c r="H336">
        <v>180</v>
      </c>
      <c r="I336">
        <v>159.6</v>
      </c>
      <c r="J336">
        <v>188.4</v>
      </c>
      <c r="K336">
        <v>163.4</v>
      </c>
      <c r="L336">
        <v>120.3</v>
      </c>
      <c r="M336">
        <v>174.7</v>
      </c>
      <c r="N336">
        <v>157.1</v>
      </c>
      <c r="O336">
        <v>181.5</v>
      </c>
      <c r="P336">
        <v>171.5</v>
      </c>
      <c r="Q336">
        <v>152.6</v>
      </c>
      <c r="R336">
        <v>164.9</v>
      </c>
      <c r="S336">
        <v>167.1</v>
      </c>
      <c r="T336">
        <v>165.3</v>
      </c>
      <c r="U336">
        <v>158.6</v>
      </c>
      <c r="V336">
        <v>154.19999999999999</v>
      </c>
      <c r="W336">
        <v>162.69999999999999</v>
      </c>
      <c r="X336">
        <v>168.2</v>
      </c>
      <c r="Y336">
        <v>166.8</v>
      </c>
      <c r="Z336">
        <v>164.5</v>
      </c>
      <c r="AA336">
        <v>160.80000000000001</v>
      </c>
      <c r="AB336">
        <v>197.5</v>
      </c>
      <c r="AC336">
        <v>160.6</v>
      </c>
      <c r="AD336">
        <v>166.5</v>
      </c>
    </row>
    <row r="337" spans="1:30" x14ac:dyDescent="0.25">
      <c r="A337" t="s">
        <v>34</v>
      </c>
      <c r="B337">
        <v>2022</v>
      </c>
      <c r="C337" t="s">
        <v>36</v>
      </c>
      <c r="D337">
        <v>151.30000000000001</v>
      </c>
      <c r="E337">
        <v>210.7</v>
      </c>
      <c r="F337">
        <v>167.8</v>
      </c>
      <c r="G337">
        <v>162.19999999999999</v>
      </c>
      <c r="H337">
        <v>194.6</v>
      </c>
      <c r="I337">
        <v>157.6</v>
      </c>
      <c r="J337">
        <v>166.9</v>
      </c>
      <c r="K337">
        <v>163.9</v>
      </c>
      <c r="L337">
        <v>118.8</v>
      </c>
      <c r="M337">
        <v>177.4</v>
      </c>
      <c r="N337">
        <v>165.3</v>
      </c>
      <c r="O337">
        <v>179.3</v>
      </c>
      <c r="P337">
        <v>168.4</v>
      </c>
      <c r="Q337">
        <v>164.6</v>
      </c>
      <c r="R337">
        <v>171.1</v>
      </c>
      <c r="S337">
        <v>172.1</v>
      </c>
      <c r="T337">
        <v>165.3</v>
      </c>
      <c r="U337">
        <v>162.80000000000001</v>
      </c>
      <c r="V337">
        <v>157.9</v>
      </c>
      <c r="W337">
        <v>166</v>
      </c>
      <c r="X337">
        <v>173</v>
      </c>
      <c r="Y337">
        <v>167.2</v>
      </c>
      <c r="Z337">
        <v>167.2</v>
      </c>
      <c r="AA337">
        <v>163.30000000000001</v>
      </c>
      <c r="AB337">
        <v>193.7</v>
      </c>
      <c r="AC337">
        <v>164.6</v>
      </c>
      <c r="AD337">
        <v>167.7</v>
      </c>
    </row>
    <row r="338" spans="1:30" x14ac:dyDescent="0.25">
      <c r="A338" t="s">
        <v>30</v>
      </c>
      <c r="B338">
        <v>2022</v>
      </c>
      <c r="C338" t="s">
        <v>37</v>
      </c>
      <c r="D338">
        <v>151.80000000000001</v>
      </c>
      <c r="E338">
        <v>209.7</v>
      </c>
      <c r="F338">
        <v>164.5</v>
      </c>
      <c r="G338">
        <v>163.80000000000001</v>
      </c>
      <c r="H338">
        <v>207.4</v>
      </c>
      <c r="I338">
        <v>169.7</v>
      </c>
      <c r="J338">
        <v>153.6</v>
      </c>
      <c r="K338">
        <v>165.1</v>
      </c>
      <c r="L338">
        <v>118.2</v>
      </c>
      <c r="M338">
        <v>182.9</v>
      </c>
      <c r="N338">
        <v>172.4</v>
      </c>
      <c r="O338">
        <v>178.9</v>
      </c>
      <c r="P338">
        <v>168.6</v>
      </c>
      <c r="Q338">
        <v>175.1</v>
      </c>
      <c r="R338">
        <v>177.1</v>
      </c>
      <c r="S338">
        <v>177.5</v>
      </c>
      <c r="T338">
        <v>139.5</v>
      </c>
      <c r="U338">
        <v>167.7</v>
      </c>
      <c r="V338">
        <v>166.2</v>
      </c>
      <c r="W338">
        <v>170.9</v>
      </c>
      <c r="X338">
        <v>177</v>
      </c>
      <c r="Y338">
        <v>169</v>
      </c>
      <c r="Z338">
        <v>173.3</v>
      </c>
      <c r="AA338">
        <v>167.2</v>
      </c>
      <c r="AB338">
        <v>192.8</v>
      </c>
      <c r="AC338">
        <v>170.2</v>
      </c>
      <c r="AD338">
        <v>170.8</v>
      </c>
    </row>
    <row r="339" spans="1:30" x14ac:dyDescent="0.25">
      <c r="A339" t="s">
        <v>33</v>
      </c>
      <c r="B339">
        <v>2022</v>
      </c>
      <c r="C339" t="s">
        <v>37</v>
      </c>
      <c r="D339">
        <v>155.4</v>
      </c>
      <c r="E339">
        <v>215.8</v>
      </c>
      <c r="F339">
        <v>164.6</v>
      </c>
      <c r="G339">
        <v>164.2</v>
      </c>
      <c r="H339">
        <v>186</v>
      </c>
      <c r="I339">
        <v>175.9</v>
      </c>
      <c r="J339">
        <v>190.7</v>
      </c>
      <c r="K339">
        <v>164</v>
      </c>
      <c r="L339">
        <v>120.5</v>
      </c>
      <c r="M339">
        <v>178</v>
      </c>
      <c r="N339">
        <v>157.5</v>
      </c>
      <c r="O339">
        <v>183.3</v>
      </c>
      <c r="P339">
        <v>174.5</v>
      </c>
      <c r="Q339">
        <v>154.5</v>
      </c>
      <c r="R339">
        <v>166.3</v>
      </c>
      <c r="S339">
        <v>168.4</v>
      </c>
      <c r="T339">
        <v>167</v>
      </c>
      <c r="U339">
        <v>159.80000000000001</v>
      </c>
      <c r="V339">
        <v>159.30000000000001</v>
      </c>
      <c r="W339">
        <v>164</v>
      </c>
      <c r="X339">
        <v>169</v>
      </c>
      <c r="Y339">
        <v>168.4</v>
      </c>
      <c r="Z339">
        <v>170.5</v>
      </c>
      <c r="AA339">
        <v>162.19999999999999</v>
      </c>
      <c r="AB339">
        <v>197.1</v>
      </c>
      <c r="AC339">
        <v>163.1</v>
      </c>
      <c r="AD339">
        <v>169.2</v>
      </c>
    </row>
    <row r="340" spans="1:30" x14ac:dyDescent="0.25">
      <c r="A340" t="s">
        <v>34</v>
      </c>
      <c r="B340">
        <v>2022</v>
      </c>
      <c r="C340" t="s">
        <v>37</v>
      </c>
      <c r="D340">
        <v>152.9</v>
      </c>
      <c r="E340">
        <v>211.8</v>
      </c>
      <c r="F340">
        <v>164.5</v>
      </c>
      <c r="G340">
        <v>163.9</v>
      </c>
      <c r="H340">
        <v>199.5</v>
      </c>
      <c r="I340">
        <v>172.6</v>
      </c>
      <c r="J340">
        <v>166.2</v>
      </c>
      <c r="K340">
        <v>164.7</v>
      </c>
      <c r="L340">
        <v>119</v>
      </c>
      <c r="M340">
        <v>181.3</v>
      </c>
      <c r="N340">
        <v>166.2</v>
      </c>
      <c r="O340">
        <v>180.9</v>
      </c>
      <c r="P340">
        <v>170.8</v>
      </c>
      <c r="Q340">
        <v>166.5</v>
      </c>
      <c r="R340">
        <v>172.8</v>
      </c>
      <c r="S340">
        <v>173.9</v>
      </c>
      <c r="T340">
        <v>167</v>
      </c>
      <c r="U340">
        <v>164</v>
      </c>
      <c r="V340">
        <v>162.6</v>
      </c>
      <c r="W340">
        <v>166.9</v>
      </c>
      <c r="X340">
        <v>174</v>
      </c>
      <c r="Y340">
        <v>168.8</v>
      </c>
      <c r="Z340">
        <v>172.2</v>
      </c>
      <c r="AA340">
        <v>164.4</v>
      </c>
      <c r="AB340">
        <v>193.9</v>
      </c>
      <c r="AC340">
        <v>166.8</v>
      </c>
      <c r="AD340">
        <v>170.1</v>
      </c>
    </row>
    <row r="341" spans="1:30" x14ac:dyDescent="0.25">
      <c r="A341" t="s">
        <v>30</v>
      </c>
      <c r="B341">
        <v>2022</v>
      </c>
      <c r="C341" t="s">
        <v>38</v>
      </c>
      <c r="D341">
        <v>152.9</v>
      </c>
      <c r="E341">
        <v>214.7</v>
      </c>
      <c r="F341">
        <v>161.4</v>
      </c>
      <c r="G341">
        <v>164.6</v>
      </c>
      <c r="H341">
        <v>209.9</v>
      </c>
      <c r="I341">
        <v>168</v>
      </c>
      <c r="J341">
        <v>160.4</v>
      </c>
      <c r="K341">
        <v>165</v>
      </c>
      <c r="L341">
        <v>118.9</v>
      </c>
      <c r="M341">
        <v>186.6</v>
      </c>
      <c r="N341">
        <v>173.2</v>
      </c>
      <c r="O341">
        <v>180.4</v>
      </c>
      <c r="P341">
        <v>170.8</v>
      </c>
      <c r="Q341">
        <v>177.2</v>
      </c>
      <c r="R341">
        <v>179</v>
      </c>
      <c r="S341">
        <v>179.3</v>
      </c>
      <c r="T341">
        <v>139.5</v>
      </c>
      <c r="U341">
        <v>168.9</v>
      </c>
      <c r="V341">
        <v>167.1</v>
      </c>
      <c r="W341">
        <v>171.8</v>
      </c>
      <c r="X341">
        <v>177.7</v>
      </c>
      <c r="Y341">
        <v>168.5</v>
      </c>
      <c r="Z341">
        <v>175.3</v>
      </c>
      <c r="AA341">
        <v>167.6</v>
      </c>
      <c r="AB341">
        <v>192.9</v>
      </c>
      <c r="AC341">
        <v>170.9</v>
      </c>
      <c r="AD341">
        <v>172.5</v>
      </c>
    </row>
    <row r="342" spans="1:30" x14ac:dyDescent="0.25">
      <c r="A342" t="s">
        <v>33</v>
      </c>
      <c r="B342">
        <v>2022</v>
      </c>
      <c r="C342" t="s">
        <v>38</v>
      </c>
      <c r="D342">
        <v>156.69999999999999</v>
      </c>
      <c r="E342">
        <v>221.2</v>
      </c>
      <c r="F342">
        <v>164.1</v>
      </c>
      <c r="G342">
        <v>165.4</v>
      </c>
      <c r="H342">
        <v>189.5</v>
      </c>
      <c r="I342">
        <v>174.5</v>
      </c>
      <c r="J342">
        <v>203.2</v>
      </c>
      <c r="K342">
        <v>164.1</v>
      </c>
      <c r="L342">
        <v>121.2</v>
      </c>
      <c r="M342">
        <v>181.4</v>
      </c>
      <c r="N342">
        <v>158.5</v>
      </c>
      <c r="O342">
        <v>184.9</v>
      </c>
      <c r="P342">
        <v>177.5</v>
      </c>
      <c r="Q342">
        <v>155.9</v>
      </c>
      <c r="R342">
        <v>167.8</v>
      </c>
      <c r="S342">
        <v>170</v>
      </c>
      <c r="T342">
        <v>167.5</v>
      </c>
      <c r="U342">
        <v>161.1</v>
      </c>
      <c r="V342">
        <v>159.4</v>
      </c>
      <c r="W342">
        <v>165.2</v>
      </c>
      <c r="X342">
        <v>170.1</v>
      </c>
      <c r="Y342">
        <v>168.2</v>
      </c>
      <c r="Z342">
        <v>173.5</v>
      </c>
      <c r="AA342">
        <v>163.19999999999999</v>
      </c>
      <c r="AB342">
        <v>197.5</v>
      </c>
      <c r="AC342">
        <v>163.80000000000001</v>
      </c>
      <c r="AD342">
        <v>170.8</v>
      </c>
    </row>
    <row r="343" spans="1:30" x14ac:dyDescent="0.25">
      <c r="A343" t="s">
        <v>34</v>
      </c>
      <c r="B343">
        <v>2022</v>
      </c>
      <c r="C343" t="s">
        <v>38</v>
      </c>
      <c r="D343">
        <v>154.1</v>
      </c>
      <c r="E343">
        <v>217</v>
      </c>
      <c r="F343">
        <v>162.4</v>
      </c>
      <c r="G343">
        <v>164.9</v>
      </c>
      <c r="H343">
        <v>202.4</v>
      </c>
      <c r="I343">
        <v>171</v>
      </c>
      <c r="J343">
        <v>174.9</v>
      </c>
      <c r="K343">
        <v>164.7</v>
      </c>
      <c r="L343">
        <v>119.7</v>
      </c>
      <c r="M343">
        <v>184.9</v>
      </c>
      <c r="N343">
        <v>167.1</v>
      </c>
      <c r="O343">
        <v>182.5</v>
      </c>
      <c r="P343">
        <v>173.3</v>
      </c>
      <c r="Q343">
        <v>168.4</v>
      </c>
      <c r="R343">
        <v>174.6</v>
      </c>
      <c r="S343">
        <v>175.6</v>
      </c>
      <c r="T343">
        <v>167.5</v>
      </c>
      <c r="U343">
        <v>165.2</v>
      </c>
      <c r="V343">
        <v>163</v>
      </c>
      <c r="W343">
        <v>167.9</v>
      </c>
      <c r="X343">
        <v>174.8</v>
      </c>
      <c r="Y343">
        <v>168.4</v>
      </c>
      <c r="Z343">
        <v>174.6</v>
      </c>
      <c r="AA343">
        <v>165.1</v>
      </c>
      <c r="AB343">
        <v>194.1</v>
      </c>
      <c r="AC343">
        <v>167.5</v>
      </c>
      <c r="AD343">
        <v>171.7</v>
      </c>
    </row>
    <row r="344" spans="1:30" x14ac:dyDescent="0.25">
      <c r="A344" t="s">
        <v>30</v>
      </c>
      <c r="B344">
        <v>2022</v>
      </c>
      <c r="C344" t="s">
        <v>39</v>
      </c>
      <c r="D344">
        <v>153.80000000000001</v>
      </c>
      <c r="E344">
        <v>217.2</v>
      </c>
      <c r="F344">
        <v>169.6</v>
      </c>
      <c r="G344">
        <v>165.4</v>
      </c>
      <c r="H344">
        <v>208.1</v>
      </c>
      <c r="I344">
        <v>165.8</v>
      </c>
      <c r="J344">
        <v>167.3</v>
      </c>
      <c r="K344">
        <v>164.6</v>
      </c>
      <c r="L344">
        <v>119.1</v>
      </c>
      <c r="M344">
        <v>188.9</v>
      </c>
      <c r="N344">
        <v>174.2</v>
      </c>
      <c r="O344">
        <v>181.9</v>
      </c>
      <c r="P344">
        <v>172.4</v>
      </c>
      <c r="Q344">
        <v>178.7</v>
      </c>
      <c r="R344">
        <v>180.4</v>
      </c>
      <c r="S344">
        <v>180.7</v>
      </c>
      <c r="T344">
        <v>139.5</v>
      </c>
      <c r="U344">
        <v>170.3</v>
      </c>
      <c r="V344">
        <v>165.5</v>
      </c>
      <c r="W344">
        <v>172.6</v>
      </c>
      <c r="X344">
        <v>178.2</v>
      </c>
      <c r="Y344">
        <v>169.5</v>
      </c>
      <c r="Z344">
        <v>176.7</v>
      </c>
      <c r="AA344">
        <v>168</v>
      </c>
      <c r="AB344">
        <v>192.9</v>
      </c>
      <c r="AC344">
        <v>171</v>
      </c>
      <c r="AD344">
        <v>173.6</v>
      </c>
    </row>
    <row r="345" spans="1:30" x14ac:dyDescent="0.25">
      <c r="A345" t="s">
        <v>33</v>
      </c>
      <c r="B345">
        <v>2022</v>
      </c>
      <c r="C345" t="s">
        <v>39</v>
      </c>
      <c r="D345">
        <v>157.5</v>
      </c>
      <c r="E345">
        <v>223.4</v>
      </c>
      <c r="F345">
        <v>172.8</v>
      </c>
      <c r="G345">
        <v>166.4</v>
      </c>
      <c r="H345">
        <v>188.6</v>
      </c>
      <c r="I345">
        <v>174.1</v>
      </c>
      <c r="J345">
        <v>211.5</v>
      </c>
      <c r="K345">
        <v>163.6</v>
      </c>
      <c r="L345">
        <v>121.4</v>
      </c>
      <c r="M345">
        <v>183.5</v>
      </c>
      <c r="N345">
        <v>159.1</v>
      </c>
      <c r="O345">
        <v>186.3</v>
      </c>
      <c r="P345">
        <v>179.3</v>
      </c>
      <c r="Q345">
        <v>157.4</v>
      </c>
      <c r="R345">
        <v>169.4</v>
      </c>
      <c r="S345">
        <v>171.6</v>
      </c>
      <c r="T345">
        <v>166.8</v>
      </c>
      <c r="U345">
        <v>162.1</v>
      </c>
      <c r="V345">
        <v>157.19999999999999</v>
      </c>
      <c r="W345">
        <v>166.5</v>
      </c>
      <c r="X345">
        <v>170.9</v>
      </c>
      <c r="Y345">
        <v>169.2</v>
      </c>
      <c r="Z345">
        <v>174.9</v>
      </c>
      <c r="AA345">
        <v>164.1</v>
      </c>
      <c r="AB345">
        <v>198.3</v>
      </c>
      <c r="AC345">
        <v>163.80000000000001</v>
      </c>
      <c r="AD345">
        <v>171.4</v>
      </c>
    </row>
    <row r="346" spans="1:30" x14ac:dyDescent="0.25">
      <c r="A346" t="s">
        <v>34</v>
      </c>
      <c r="B346">
        <v>2022</v>
      </c>
      <c r="C346" t="s">
        <v>39</v>
      </c>
      <c r="D346">
        <v>155</v>
      </c>
      <c r="E346">
        <v>219.4</v>
      </c>
      <c r="F346">
        <v>170.8</v>
      </c>
      <c r="G346">
        <v>165.8</v>
      </c>
      <c r="H346">
        <v>200.9</v>
      </c>
      <c r="I346">
        <v>169.7</v>
      </c>
      <c r="J346">
        <v>182.3</v>
      </c>
      <c r="K346">
        <v>164.3</v>
      </c>
      <c r="L346">
        <v>119.9</v>
      </c>
      <c r="M346">
        <v>187.1</v>
      </c>
      <c r="N346">
        <v>167.9</v>
      </c>
      <c r="O346">
        <v>183.9</v>
      </c>
      <c r="P346">
        <v>174.9</v>
      </c>
      <c r="Q346">
        <v>169.9</v>
      </c>
      <c r="R346">
        <v>176</v>
      </c>
      <c r="S346">
        <v>177.1</v>
      </c>
      <c r="T346">
        <v>166.8</v>
      </c>
      <c r="U346">
        <v>166.4</v>
      </c>
      <c r="V346">
        <v>161.1</v>
      </c>
      <c r="W346">
        <v>169</v>
      </c>
      <c r="X346">
        <v>175.4</v>
      </c>
      <c r="Y346">
        <v>169.4</v>
      </c>
      <c r="Z346">
        <v>176</v>
      </c>
      <c r="AA346">
        <v>165.8</v>
      </c>
      <c r="AB346">
        <v>194.3</v>
      </c>
      <c r="AC346">
        <v>167.5</v>
      </c>
      <c r="AD346">
        <v>172.6</v>
      </c>
    </row>
    <row r="347" spans="1:30" x14ac:dyDescent="0.25">
      <c r="A347" t="s">
        <v>30</v>
      </c>
      <c r="B347">
        <v>2022</v>
      </c>
      <c r="C347" t="s">
        <v>40</v>
      </c>
      <c r="D347">
        <v>155.19999999999999</v>
      </c>
      <c r="E347">
        <v>210.8</v>
      </c>
      <c r="F347">
        <v>174.3</v>
      </c>
      <c r="G347">
        <v>166.3</v>
      </c>
      <c r="H347">
        <v>202.2</v>
      </c>
      <c r="I347">
        <v>169.6</v>
      </c>
      <c r="J347">
        <v>168.6</v>
      </c>
      <c r="K347">
        <v>164.4</v>
      </c>
      <c r="L347">
        <v>119.2</v>
      </c>
      <c r="M347">
        <v>191.8</v>
      </c>
      <c r="N347">
        <v>174.5</v>
      </c>
      <c r="O347">
        <v>183.1</v>
      </c>
      <c r="P347">
        <v>172.5</v>
      </c>
      <c r="Q347">
        <v>180.3</v>
      </c>
      <c r="R347">
        <v>181.7</v>
      </c>
      <c r="S347">
        <v>182</v>
      </c>
      <c r="T347">
        <v>139.5</v>
      </c>
      <c r="U347">
        <v>171.3</v>
      </c>
      <c r="V347">
        <v>166.3</v>
      </c>
      <c r="W347">
        <v>174.7</v>
      </c>
      <c r="X347">
        <v>178.8</v>
      </c>
      <c r="Y347">
        <v>169.7</v>
      </c>
      <c r="Z347">
        <v>179.6</v>
      </c>
      <c r="AA347">
        <v>168.6</v>
      </c>
      <c r="AB347">
        <v>193.2</v>
      </c>
      <c r="AC347">
        <v>171.8</v>
      </c>
      <c r="AD347">
        <v>174.3</v>
      </c>
    </row>
    <row r="348" spans="1:30" x14ac:dyDescent="0.25">
      <c r="A348" t="s">
        <v>33</v>
      </c>
      <c r="B348">
        <v>2022</v>
      </c>
      <c r="C348" t="s">
        <v>40</v>
      </c>
      <c r="D348">
        <v>159.30000000000001</v>
      </c>
      <c r="E348">
        <v>217.1</v>
      </c>
      <c r="F348">
        <v>176.6</v>
      </c>
      <c r="G348">
        <v>167.1</v>
      </c>
      <c r="H348">
        <v>184.8</v>
      </c>
      <c r="I348">
        <v>179.5</v>
      </c>
      <c r="J348">
        <v>208.5</v>
      </c>
      <c r="K348">
        <v>164</v>
      </c>
      <c r="L348">
        <v>121.5</v>
      </c>
      <c r="M348">
        <v>186.3</v>
      </c>
      <c r="N348">
        <v>159.80000000000001</v>
      </c>
      <c r="O348">
        <v>187.7</v>
      </c>
      <c r="P348">
        <v>179.4</v>
      </c>
      <c r="Q348">
        <v>158.69999999999999</v>
      </c>
      <c r="R348">
        <v>170.6</v>
      </c>
      <c r="S348">
        <v>172.7</v>
      </c>
      <c r="T348">
        <v>167.8</v>
      </c>
      <c r="U348">
        <v>163.1</v>
      </c>
      <c r="V348">
        <v>157.4</v>
      </c>
      <c r="W348">
        <v>169.1</v>
      </c>
      <c r="X348">
        <v>171.7</v>
      </c>
      <c r="Y348">
        <v>169.8</v>
      </c>
      <c r="Z348">
        <v>179.5</v>
      </c>
      <c r="AA348">
        <v>164.6</v>
      </c>
      <c r="AB348">
        <v>198.6</v>
      </c>
      <c r="AC348">
        <v>164.7</v>
      </c>
      <c r="AD348">
        <v>172.3</v>
      </c>
    </row>
    <row r="349" spans="1:30" x14ac:dyDescent="0.25">
      <c r="A349" t="s">
        <v>34</v>
      </c>
      <c r="B349">
        <v>2022</v>
      </c>
      <c r="C349" t="s">
        <v>40</v>
      </c>
      <c r="D349">
        <v>156.5</v>
      </c>
      <c r="E349">
        <v>213</v>
      </c>
      <c r="F349">
        <v>175.2</v>
      </c>
      <c r="G349">
        <v>166.6</v>
      </c>
      <c r="H349">
        <v>195.8</v>
      </c>
      <c r="I349">
        <v>174.2</v>
      </c>
      <c r="J349">
        <v>182.1</v>
      </c>
      <c r="K349">
        <v>164.3</v>
      </c>
      <c r="L349">
        <v>120</v>
      </c>
      <c r="M349">
        <v>190</v>
      </c>
      <c r="N349">
        <v>168.4</v>
      </c>
      <c r="O349">
        <v>185.2</v>
      </c>
      <c r="P349">
        <v>175</v>
      </c>
      <c r="Q349">
        <v>171.3</v>
      </c>
      <c r="R349">
        <v>177.3</v>
      </c>
      <c r="S349">
        <v>178.3</v>
      </c>
      <c r="T349">
        <v>167.8</v>
      </c>
      <c r="U349">
        <v>167.4</v>
      </c>
      <c r="V349">
        <v>161.6</v>
      </c>
      <c r="W349">
        <v>171.4</v>
      </c>
      <c r="X349">
        <v>176.1</v>
      </c>
      <c r="Y349">
        <v>169.7</v>
      </c>
      <c r="Z349">
        <v>179.6</v>
      </c>
      <c r="AA349">
        <v>166.3</v>
      </c>
      <c r="AB349">
        <v>194.6</v>
      </c>
      <c r="AC349">
        <v>168.4</v>
      </c>
      <c r="AD349">
        <v>173.4</v>
      </c>
    </row>
    <row r="350" spans="1:30" x14ac:dyDescent="0.25">
      <c r="A350" t="s">
        <v>30</v>
      </c>
      <c r="B350">
        <v>2022</v>
      </c>
      <c r="C350" t="s">
        <v>41</v>
      </c>
      <c r="D350">
        <v>159.5</v>
      </c>
      <c r="E350">
        <v>204.1</v>
      </c>
      <c r="F350">
        <v>168.3</v>
      </c>
      <c r="G350">
        <v>167.9</v>
      </c>
      <c r="H350">
        <v>198.1</v>
      </c>
      <c r="I350">
        <v>169.2</v>
      </c>
      <c r="J350">
        <v>173.1</v>
      </c>
      <c r="K350">
        <v>167.1</v>
      </c>
      <c r="L350">
        <v>120.2</v>
      </c>
      <c r="M350">
        <v>195.6</v>
      </c>
      <c r="N350">
        <v>174.8</v>
      </c>
      <c r="O350">
        <v>184</v>
      </c>
      <c r="P350">
        <v>173.9</v>
      </c>
      <c r="Q350">
        <v>181.7</v>
      </c>
      <c r="R350">
        <v>183</v>
      </c>
      <c r="S350">
        <v>183.2</v>
      </c>
      <c r="T350">
        <v>139.5</v>
      </c>
      <c r="U350">
        <v>172.3</v>
      </c>
      <c r="V350">
        <v>166.6</v>
      </c>
      <c r="W350">
        <v>175.7</v>
      </c>
      <c r="X350">
        <v>179.4</v>
      </c>
      <c r="Y350">
        <v>171.1</v>
      </c>
      <c r="Z350">
        <v>179.1</v>
      </c>
      <c r="AA350">
        <v>169.3</v>
      </c>
      <c r="AB350">
        <v>193.7</v>
      </c>
      <c r="AC350">
        <v>172.6</v>
      </c>
      <c r="AD350">
        <v>175.3</v>
      </c>
    </row>
    <row r="351" spans="1:30" x14ac:dyDescent="0.25">
      <c r="A351" t="s">
        <v>33</v>
      </c>
      <c r="B351">
        <v>2022</v>
      </c>
      <c r="C351" t="s">
        <v>41</v>
      </c>
      <c r="D351">
        <v>162.1</v>
      </c>
      <c r="E351">
        <v>210.9</v>
      </c>
      <c r="F351">
        <v>170.6</v>
      </c>
      <c r="G351">
        <v>168.4</v>
      </c>
      <c r="H351">
        <v>182.5</v>
      </c>
      <c r="I351">
        <v>177.1</v>
      </c>
      <c r="J351">
        <v>213.1</v>
      </c>
      <c r="K351">
        <v>167.3</v>
      </c>
      <c r="L351">
        <v>122.2</v>
      </c>
      <c r="M351">
        <v>189.7</v>
      </c>
      <c r="N351">
        <v>160.5</v>
      </c>
      <c r="O351">
        <v>188.9</v>
      </c>
      <c r="P351">
        <v>180.4</v>
      </c>
      <c r="Q351">
        <v>160</v>
      </c>
      <c r="R351">
        <v>171.6</v>
      </c>
      <c r="S351">
        <v>173.7</v>
      </c>
      <c r="T351">
        <v>169</v>
      </c>
      <c r="U351">
        <v>164.2</v>
      </c>
      <c r="V351">
        <v>157.69999999999999</v>
      </c>
      <c r="W351">
        <v>169.9</v>
      </c>
      <c r="X351">
        <v>172.6</v>
      </c>
      <c r="Y351">
        <v>171.4</v>
      </c>
      <c r="Z351">
        <v>178.4</v>
      </c>
      <c r="AA351">
        <v>165.1</v>
      </c>
      <c r="AB351">
        <v>198.7</v>
      </c>
      <c r="AC351">
        <v>165.4</v>
      </c>
      <c r="AD351">
        <v>173.1</v>
      </c>
    </row>
    <row r="352" spans="1:30" x14ac:dyDescent="0.25">
      <c r="A352" t="s">
        <v>34</v>
      </c>
      <c r="B352">
        <v>2022</v>
      </c>
      <c r="C352" t="s">
        <v>41</v>
      </c>
      <c r="D352">
        <v>160.30000000000001</v>
      </c>
      <c r="E352">
        <v>206.5</v>
      </c>
      <c r="F352">
        <v>169.2</v>
      </c>
      <c r="G352">
        <v>168.1</v>
      </c>
      <c r="H352">
        <v>192.4</v>
      </c>
      <c r="I352">
        <v>172.9</v>
      </c>
      <c r="J352">
        <v>186.7</v>
      </c>
      <c r="K352">
        <v>167.2</v>
      </c>
      <c r="L352">
        <v>120.9</v>
      </c>
      <c r="M352">
        <v>193.6</v>
      </c>
      <c r="N352">
        <v>168.8</v>
      </c>
      <c r="O352">
        <v>186.3</v>
      </c>
      <c r="P352">
        <v>176.3</v>
      </c>
      <c r="Q352">
        <v>172.7</v>
      </c>
      <c r="R352">
        <v>178.5</v>
      </c>
      <c r="S352">
        <v>179.5</v>
      </c>
      <c r="T352">
        <v>169</v>
      </c>
      <c r="U352">
        <v>168.5</v>
      </c>
      <c r="V352">
        <v>161.9</v>
      </c>
      <c r="W352">
        <v>172.3</v>
      </c>
      <c r="X352">
        <v>176.8</v>
      </c>
      <c r="Y352">
        <v>171.2</v>
      </c>
      <c r="Z352">
        <v>178.8</v>
      </c>
      <c r="AA352">
        <v>166.9</v>
      </c>
      <c r="AB352">
        <v>195</v>
      </c>
      <c r="AC352">
        <v>169.1</v>
      </c>
      <c r="AD352">
        <v>174.3</v>
      </c>
    </row>
    <row r="353" spans="1:30" x14ac:dyDescent="0.25">
      <c r="A353" t="s">
        <v>30</v>
      </c>
      <c r="B353">
        <v>2022</v>
      </c>
      <c r="C353" t="s">
        <v>42</v>
      </c>
      <c r="D353">
        <v>162.9</v>
      </c>
      <c r="E353">
        <v>206.7</v>
      </c>
      <c r="F353">
        <v>169</v>
      </c>
      <c r="G353">
        <v>169.5</v>
      </c>
      <c r="H353">
        <v>194.1</v>
      </c>
      <c r="I353">
        <v>164.1</v>
      </c>
      <c r="J353">
        <v>176.9</v>
      </c>
      <c r="K353">
        <v>169</v>
      </c>
      <c r="L353">
        <v>120.8</v>
      </c>
      <c r="M353">
        <v>199.1</v>
      </c>
      <c r="N353">
        <v>175.4</v>
      </c>
      <c r="O353">
        <v>184.8</v>
      </c>
      <c r="P353">
        <v>175.5</v>
      </c>
      <c r="Q353">
        <v>183.3</v>
      </c>
      <c r="R353">
        <v>184.5</v>
      </c>
      <c r="S353">
        <v>184.7</v>
      </c>
      <c r="T353">
        <v>139.5</v>
      </c>
      <c r="U353">
        <v>173.6</v>
      </c>
      <c r="V353">
        <v>166.9</v>
      </c>
      <c r="W353">
        <v>176.2</v>
      </c>
      <c r="X353">
        <v>180.2</v>
      </c>
      <c r="Y353">
        <v>170.8</v>
      </c>
      <c r="Z353">
        <v>179.7</v>
      </c>
      <c r="AA353">
        <v>170</v>
      </c>
      <c r="AB353">
        <v>194.5</v>
      </c>
      <c r="AC353">
        <v>173.1</v>
      </c>
      <c r="AD353">
        <v>176.4</v>
      </c>
    </row>
    <row r="354" spans="1:30" x14ac:dyDescent="0.25">
      <c r="A354" t="s">
        <v>33</v>
      </c>
      <c r="B354">
        <v>2022</v>
      </c>
      <c r="C354" t="s">
        <v>42</v>
      </c>
      <c r="D354">
        <v>164.9</v>
      </c>
      <c r="E354">
        <v>213.7</v>
      </c>
      <c r="F354">
        <v>170.9</v>
      </c>
      <c r="G354">
        <v>170.1</v>
      </c>
      <c r="H354">
        <v>179.3</v>
      </c>
      <c r="I354">
        <v>167.5</v>
      </c>
      <c r="J354">
        <v>220.8</v>
      </c>
      <c r="K354">
        <v>169.2</v>
      </c>
      <c r="L354">
        <v>123.1</v>
      </c>
      <c r="M354">
        <v>193.6</v>
      </c>
      <c r="N354">
        <v>161.1</v>
      </c>
      <c r="O354">
        <v>190.4</v>
      </c>
      <c r="P354">
        <v>181.8</v>
      </c>
      <c r="Q354">
        <v>161.69999999999999</v>
      </c>
      <c r="R354">
        <v>173</v>
      </c>
      <c r="S354">
        <v>175</v>
      </c>
      <c r="T354">
        <v>169.5</v>
      </c>
      <c r="U354">
        <v>165</v>
      </c>
      <c r="V354">
        <v>158.19999999999999</v>
      </c>
      <c r="W354">
        <v>170.9</v>
      </c>
      <c r="X354">
        <v>173.8</v>
      </c>
      <c r="Y354">
        <v>171.1</v>
      </c>
      <c r="Z354">
        <v>179.2</v>
      </c>
      <c r="AA354">
        <v>165.8</v>
      </c>
      <c r="AB354">
        <v>199.7</v>
      </c>
      <c r="AC354">
        <v>166.1</v>
      </c>
      <c r="AD354">
        <v>174.1</v>
      </c>
    </row>
    <row r="355" spans="1:30" x14ac:dyDescent="0.25">
      <c r="A355" t="s">
        <v>34</v>
      </c>
      <c r="B355">
        <v>2022</v>
      </c>
      <c r="C355" t="s">
        <v>42</v>
      </c>
      <c r="D355">
        <v>163.5</v>
      </c>
      <c r="E355">
        <v>209.2</v>
      </c>
      <c r="F355">
        <v>169.7</v>
      </c>
      <c r="G355">
        <v>169.7</v>
      </c>
      <c r="H355">
        <v>188.7</v>
      </c>
      <c r="I355">
        <v>165.7</v>
      </c>
      <c r="J355">
        <v>191.8</v>
      </c>
      <c r="K355">
        <v>169.1</v>
      </c>
      <c r="L355">
        <v>121.6</v>
      </c>
      <c r="M355">
        <v>197.3</v>
      </c>
      <c r="N355">
        <v>169.4</v>
      </c>
      <c r="O355">
        <v>187.4</v>
      </c>
      <c r="P355">
        <v>177.8</v>
      </c>
      <c r="Q355">
        <v>174.3</v>
      </c>
      <c r="R355">
        <v>179.9</v>
      </c>
      <c r="S355">
        <v>180.9</v>
      </c>
      <c r="T355">
        <v>169.5</v>
      </c>
      <c r="U355">
        <v>169.5</v>
      </c>
      <c r="V355">
        <v>162.30000000000001</v>
      </c>
      <c r="W355">
        <v>173.1</v>
      </c>
      <c r="X355">
        <v>177.8</v>
      </c>
      <c r="Y355">
        <v>170.9</v>
      </c>
      <c r="Z355">
        <v>179.5</v>
      </c>
      <c r="AA355">
        <v>167.6</v>
      </c>
      <c r="AB355">
        <v>195.9</v>
      </c>
      <c r="AC355">
        <v>169.7</v>
      </c>
      <c r="AD355">
        <v>175.3</v>
      </c>
    </row>
    <row r="356" spans="1:30" x14ac:dyDescent="0.25">
      <c r="A356" t="s">
        <v>30</v>
      </c>
      <c r="B356">
        <v>2022</v>
      </c>
      <c r="C356" t="s">
        <v>43</v>
      </c>
      <c r="D356">
        <v>164.7</v>
      </c>
      <c r="E356">
        <v>208.8</v>
      </c>
      <c r="F356">
        <v>170.3</v>
      </c>
      <c r="G356">
        <v>170.9</v>
      </c>
      <c r="H356">
        <v>191.6</v>
      </c>
      <c r="I356">
        <v>162.19999999999999</v>
      </c>
      <c r="J356">
        <v>184.8</v>
      </c>
      <c r="K356">
        <v>169.7</v>
      </c>
      <c r="L356">
        <v>121.1</v>
      </c>
      <c r="M356">
        <v>201.6</v>
      </c>
      <c r="N356">
        <v>175.8</v>
      </c>
      <c r="O356">
        <v>185.6</v>
      </c>
      <c r="P356">
        <v>177.4</v>
      </c>
      <c r="Q356">
        <v>184.4</v>
      </c>
      <c r="R356">
        <v>185.9</v>
      </c>
      <c r="S356">
        <v>186.1</v>
      </c>
      <c r="T356">
        <v>139.5</v>
      </c>
      <c r="U356">
        <v>174.4</v>
      </c>
      <c r="V356">
        <v>167.4</v>
      </c>
      <c r="W356">
        <v>176.5</v>
      </c>
      <c r="X356">
        <v>181.2</v>
      </c>
      <c r="Y356">
        <v>172</v>
      </c>
      <c r="Z356">
        <v>180.8</v>
      </c>
      <c r="AA356">
        <v>170.6</v>
      </c>
      <c r="AB356">
        <v>194.9</v>
      </c>
      <c r="AC356">
        <v>173.9</v>
      </c>
      <c r="AD356">
        <v>177.9</v>
      </c>
    </row>
    <row r="357" spans="1:30" x14ac:dyDescent="0.25">
      <c r="A357" t="s">
        <v>33</v>
      </c>
      <c r="B357">
        <v>2022</v>
      </c>
      <c r="C357" t="s">
        <v>43</v>
      </c>
      <c r="D357">
        <v>166.4</v>
      </c>
      <c r="E357">
        <v>214.9</v>
      </c>
      <c r="F357">
        <v>171.9</v>
      </c>
      <c r="G357">
        <v>171</v>
      </c>
      <c r="H357">
        <v>177.7</v>
      </c>
      <c r="I357">
        <v>165.7</v>
      </c>
      <c r="J357">
        <v>228.6</v>
      </c>
      <c r="K357">
        <v>169.9</v>
      </c>
      <c r="L357">
        <v>123.4</v>
      </c>
      <c r="M357">
        <v>196.4</v>
      </c>
      <c r="N357">
        <v>161.6</v>
      </c>
      <c r="O357">
        <v>191.5</v>
      </c>
      <c r="P357">
        <v>183.3</v>
      </c>
      <c r="Q357">
        <v>162.6</v>
      </c>
      <c r="R357">
        <v>173.6</v>
      </c>
      <c r="S357">
        <v>175.5</v>
      </c>
      <c r="T357">
        <v>171.2</v>
      </c>
      <c r="U357">
        <v>166</v>
      </c>
      <c r="V357">
        <v>158.80000000000001</v>
      </c>
      <c r="W357">
        <v>171.2</v>
      </c>
      <c r="X357">
        <v>174.7</v>
      </c>
      <c r="Y357">
        <v>172.3</v>
      </c>
      <c r="Z357">
        <v>180</v>
      </c>
      <c r="AA357">
        <v>166.3</v>
      </c>
      <c r="AB357">
        <v>200.1</v>
      </c>
      <c r="AC357">
        <v>166.8</v>
      </c>
      <c r="AD357">
        <v>175.3</v>
      </c>
    </row>
    <row r="358" spans="1:30" x14ac:dyDescent="0.25">
      <c r="A358" t="s">
        <v>34</v>
      </c>
      <c r="B358">
        <v>2022</v>
      </c>
      <c r="C358" t="s">
        <v>43</v>
      </c>
      <c r="D358">
        <v>165.2</v>
      </c>
      <c r="E358">
        <v>210.9</v>
      </c>
      <c r="F358">
        <v>170.9</v>
      </c>
      <c r="G358">
        <v>170.9</v>
      </c>
      <c r="H358">
        <v>186.5</v>
      </c>
      <c r="I358">
        <v>163.80000000000001</v>
      </c>
      <c r="J358">
        <v>199.7</v>
      </c>
      <c r="K358">
        <v>169.8</v>
      </c>
      <c r="L358">
        <v>121.9</v>
      </c>
      <c r="M358">
        <v>199.9</v>
      </c>
      <c r="N358">
        <v>169.9</v>
      </c>
      <c r="O358">
        <v>188.3</v>
      </c>
      <c r="P358">
        <v>179.6</v>
      </c>
      <c r="Q358">
        <v>175.3</v>
      </c>
      <c r="R358">
        <v>181</v>
      </c>
      <c r="S358">
        <v>181.9</v>
      </c>
      <c r="T358">
        <v>171.2</v>
      </c>
      <c r="U358">
        <v>170.4</v>
      </c>
      <c r="V358">
        <v>162.9</v>
      </c>
      <c r="W358">
        <v>173.4</v>
      </c>
      <c r="X358">
        <v>178.7</v>
      </c>
      <c r="Y358">
        <v>172.1</v>
      </c>
      <c r="Z358">
        <v>180.5</v>
      </c>
      <c r="AA358">
        <v>168.2</v>
      </c>
      <c r="AB358">
        <v>196.3</v>
      </c>
      <c r="AC358">
        <v>170.5</v>
      </c>
      <c r="AD358">
        <v>176.7</v>
      </c>
    </row>
    <row r="359" spans="1:30" x14ac:dyDescent="0.25">
      <c r="A359" t="s">
        <v>30</v>
      </c>
      <c r="B359">
        <v>2022</v>
      </c>
      <c r="C359" t="s">
        <v>45</v>
      </c>
      <c r="D359">
        <v>166.9</v>
      </c>
      <c r="E359">
        <v>207.2</v>
      </c>
      <c r="F359">
        <v>180.2</v>
      </c>
      <c r="G359">
        <v>172.3</v>
      </c>
      <c r="H359">
        <v>194</v>
      </c>
      <c r="I359">
        <v>159.1</v>
      </c>
      <c r="J359">
        <v>171.6</v>
      </c>
      <c r="K359">
        <v>170.2</v>
      </c>
      <c r="L359">
        <v>121.5</v>
      </c>
      <c r="M359">
        <v>204.8</v>
      </c>
      <c r="N359">
        <v>176.4</v>
      </c>
      <c r="O359">
        <v>186.9</v>
      </c>
      <c r="P359">
        <v>176.6</v>
      </c>
      <c r="Q359">
        <v>185.2</v>
      </c>
      <c r="R359">
        <v>186.9</v>
      </c>
      <c r="S359">
        <v>187.2</v>
      </c>
      <c r="T359">
        <v>139.5</v>
      </c>
      <c r="U359">
        <v>175.5</v>
      </c>
      <c r="V359">
        <v>167.5</v>
      </c>
      <c r="W359">
        <v>176.9</v>
      </c>
      <c r="X359">
        <v>182.3</v>
      </c>
      <c r="Y359">
        <v>173.4</v>
      </c>
      <c r="Z359">
        <v>181.9</v>
      </c>
      <c r="AA359">
        <v>170.8</v>
      </c>
      <c r="AB359">
        <v>195.5</v>
      </c>
      <c r="AC359">
        <v>174.6</v>
      </c>
      <c r="AD359">
        <v>177.8</v>
      </c>
    </row>
    <row r="360" spans="1:30" x14ac:dyDescent="0.25">
      <c r="A360" t="s">
        <v>33</v>
      </c>
      <c r="B360">
        <v>2022</v>
      </c>
      <c r="C360" t="s">
        <v>45</v>
      </c>
      <c r="D360">
        <v>168.4</v>
      </c>
      <c r="E360">
        <v>213.4</v>
      </c>
      <c r="F360">
        <v>183.2</v>
      </c>
      <c r="G360">
        <v>172.3</v>
      </c>
      <c r="H360">
        <v>180</v>
      </c>
      <c r="I360">
        <v>162.6</v>
      </c>
      <c r="J360">
        <v>205.5</v>
      </c>
      <c r="K360">
        <v>171</v>
      </c>
      <c r="L360">
        <v>123.4</v>
      </c>
      <c r="M360">
        <v>198.8</v>
      </c>
      <c r="N360">
        <v>162.1</v>
      </c>
      <c r="O360">
        <v>192.4</v>
      </c>
      <c r="P360">
        <v>181.3</v>
      </c>
      <c r="Q360">
        <v>163.5</v>
      </c>
      <c r="R360">
        <v>174.7</v>
      </c>
      <c r="S360">
        <v>176.7</v>
      </c>
      <c r="T360">
        <v>171.8</v>
      </c>
      <c r="U360">
        <v>166.9</v>
      </c>
      <c r="V360">
        <v>158.9</v>
      </c>
      <c r="W360">
        <v>171.5</v>
      </c>
      <c r="X360">
        <v>175.8</v>
      </c>
      <c r="Y360">
        <v>173.8</v>
      </c>
      <c r="Z360">
        <v>180.3</v>
      </c>
      <c r="AA360">
        <v>166.7</v>
      </c>
      <c r="AB360">
        <v>200.6</v>
      </c>
      <c r="AC360">
        <v>167.4</v>
      </c>
      <c r="AD360">
        <v>174.1</v>
      </c>
    </row>
    <row r="361" spans="1:30" x14ac:dyDescent="0.25">
      <c r="A361" t="s">
        <v>34</v>
      </c>
      <c r="B361">
        <v>2022</v>
      </c>
      <c r="C361" t="s">
        <v>45</v>
      </c>
      <c r="D361">
        <v>167.4</v>
      </c>
      <c r="E361">
        <v>209.4</v>
      </c>
      <c r="F361">
        <v>181.4</v>
      </c>
      <c r="G361">
        <v>172.3</v>
      </c>
      <c r="H361">
        <v>188.9</v>
      </c>
      <c r="I361">
        <v>160.69999999999999</v>
      </c>
      <c r="J361">
        <v>183.1</v>
      </c>
      <c r="K361">
        <v>170.5</v>
      </c>
      <c r="L361">
        <v>122.1</v>
      </c>
      <c r="M361">
        <v>202.8</v>
      </c>
      <c r="N361">
        <v>170.4</v>
      </c>
      <c r="O361">
        <v>189.5</v>
      </c>
      <c r="P361">
        <v>178.3</v>
      </c>
      <c r="Q361">
        <v>176.2</v>
      </c>
      <c r="R361">
        <v>182.1</v>
      </c>
      <c r="S361">
        <v>183.1</v>
      </c>
      <c r="T361">
        <v>171.8</v>
      </c>
      <c r="U361">
        <v>171.4</v>
      </c>
      <c r="V361">
        <v>163</v>
      </c>
      <c r="W361">
        <v>173.7</v>
      </c>
      <c r="X361">
        <v>179.8</v>
      </c>
      <c r="Y361">
        <v>173.6</v>
      </c>
      <c r="Z361">
        <v>181.3</v>
      </c>
      <c r="AA361">
        <v>168.5</v>
      </c>
      <c r="AB361">
        <v>196.9</v>
      </c>
      <c r="AC361">
        <v>171.1</v>
      </c>
      <c r="AD361">
        <v>176.5</v>
      </c>
    </row>
    <row r="362" spans="1:30" x14ac:dyDescent="0.25">
      <c r="A362" t="s">
        <v>30</v>
      </c>
      <c r="B362">
        <v>2022</v>
      </c>
      <c r="C362" t="s">
        <v>46</v>
      </c>
      <c r="D362">
        <v>168.8</v>
      </c>
      <c r="E362">
        <v>206.9</v>
      </c>
      <c r="F362">
        <v>189.1</v>
      </c>
      <c r="G362">
        <v>173.4</v>
      </c>
      <c r="H362">
        <v>193.9</v>
      </c>
      <c r="I362">
        <v>156.69999999999999</v>
      </c>
      <c r="J362">
        <v>150.19999999999999</v>
      </c>
      <c r="K362">
        <v>170.5</v>
      </c>
      <c r="L362">
        <v>121.2</v>
      </c>
      <c r="M362">
        <v>207.5</v>
      </c>
      <c r="N362">
        <v>176.8</v>
      </c>
      <c r="O362">
        <v>187.7</v>
      </c>
      <c r="P362">
        <v>174.4</v>
      </c>
      <c r="Q362">
        <v>185.9</v>
      </c>
      <c r="R362">
        <v>187.8</v>
      </c>
      <c r="S362">
        <v>188.1</v>
      </c>
      <c r="T362">
        <v>139.5</v>
      </c>
      <c r="U362">
        <v>176.4</v>
      </c>
      <c r="V362">
        <v>167.8</v>
      </c>
      <c r="W362">
        <v>177.3</v>
      </c>
      <c r="X362">
        <v>183.5</v>
      </c>
      <c r="Y362">
        <v>175.7</v>
      </c>
      <c r="Z362">
        <v>182.8</v>
      </c>
      <c r="AA362">
        <v>171.2</v>
      </c>
      <c r="AB362">
        <v>195.9</v>
      </c>
      <c r="AC362">
        <v>175.5</v>
      </c>
      <c r="AD362">
        <v>177.1</v>
      </c>
    </row>
    <row r="363" spans="1:30" x14ac:dyDescent="0.25">
      <c r="A363" t="s">
        <v>33</v>
      </c>
      <c r="B363">
        <v>2022</v>
      </c>
      <c r="C363" t="s">
        <v>46</v>
      </c>
      <c r="D363">
        <v>170.2</v>
      </c>
      <c r="E363">
        <v>212.9</v>
      </c>
      <c r="F363">
        <v>191.9</v>
      </c>
      <c r="G363">
        <v>173.9</v>
      </c>
      <c r="H363">
        <v>179.1</v>
      </c>
      <c r="I363">
        <v>159.5</v>
      </c>
      <c r="J363">
        <v>178.7</v>
      </c>
      <c r="K363">
        <v>171.3</v>
      </c>
      <c r="L363">
        <v>123.1</v>
      </c>
      <c r="M363">
        <v>200.5</v>
      </c>
      <c r="N363">
        <v>162.80000000000001</v>
      </c>
      <c r="O363">
        <v>193.3</v>
      </c>
      <c r="P363">
        <v>178.6</v>
      </c>
      <c r="Q363">
        <v>164.5</v>
      </c>
      <c r="R363">
        <v>175.7</v>
      </c>
      <c r="S363">
        <v>177.7</v>
      </c>
      <c r="T363">
        <v>170.7</v>
      </c>
      <c r="U363">
        <v>167.3</v>
      </c>
      <c r="V363">
        <v>159.4</v>
      </c>
      <c r="W363">
        <v>171.8</v>
      </c>
      <c r="X363">
        <v>177.2</v>
      </c>
      <c r="Y363">
        <v>176</v>
      </c>
      <c r="Z363">
        <v>180.6</v>
      </c>
      <c r="AA363">
        <v>167.1</v>
      </c>
      <c r="AB363">
        <v>201.1</v>
      </c>
      <c r="AC363">
        <v>168.2</v>
      </c>
      <c r="AD363">
        <v>174.1</v>
      </c>
    </row>
    <row r="364" spans="1:30" x14ac:dyDescent="0.25">
      <c r="A364" t="s">
        <v>34</v>
      </c>
      <c r="B364">
        <v>2022</v>
      </c>
      <c r="C364" t="s">
        <v>46</v>
      </c>
      <c r="D364">
        <v>169.2</v>
      </c>
      <c r="E364">
        <v>209</v>
      </c>
      <c r="F364">
        <v>190.2</v>
      </c>
      <c r="G364">
        <v>173.6</v>
      </c>
      <c r="H364">
        <v>188.5</v>
      </c>
      <c r="I364">
        <v>158</v>
      </c>
      <c r="J364">
        <v>159.9</v>
      </c>
      <c r="K364">
        <v>170.8</v>
      </c>
      <c r="L364">
        <v>121.8</v>
      </c>
      <c r="M364">
        <v>205.2</v>
      </c>
      <c r="N364">
        <v>171</v>
      </c>
      <c r="O364">
        <v>190.3</v>
      </c>
      <c r="P364">
        <v>175.9</v>
      </c>
      <c r="Q364">
        <v>177</v>
      </c>
      <c r="R364">
        <v>183</v>
      </c>
      <c r="S364">
        <v>184</v>
      </c>
      <c r="T364">
        <v>170.7</v>
      </c>
      <c r="U364">
        <v>172.1</v>
      </c>
      <c r="V364">
        <v>163.4</v>
      </c>
      <c r="W364">
        <v>174.1</v>
      </c>
      <c r="X364">
        <v>181.1</v>
      </c>
      <c r="Y364">
        <v>175.8</v>
      </c>
      <c r="Z364">
        <v>182</v>
      </c>
      <c r="AA364">
        <v>168.9</v>
      </c>
      <c r="AB364">
        <v>197.3</v>
      </c>
      <c r="AC364">
        <v>172</v>
      </c>
      <c r="AD364">
        <v>175.7</v>
      </c>
    </row>
    <row r="365" spans="1:30" x14ac:dyDescent="0.25">
      <c r="A365" t="s">
        <v>30</v>
      </c>
      <c r="B365">
        <v>2023</v>
      </c>
      <c r="C365" t="s">
        <v>31</v>
      </c>
      <c r="D365">
        <v>174</v>
      </c>
      <c r="E365">
        <v>208.3</v>
      </c>
      <c r="F365">
        <v>192.9</v>
      </c>
      <c r="G365">
        <v>174.3</v>
      </c>
      <c r="H365">
        <v>192.6</v>
      </c>
      <c r="I365">
        <v>156.30000000000001</v>
      </c>
      <c r="J365">
        <v>142.9</v>
      </c>
      <c r="K365">
        <v>170.7</v>
      </c>
      <c r="L365">
        <v>120.3</v>
      </c>
      <c r="M365">
        <v>210.5</v>
      </c>
      <c r="N365">
        <v>176.9</v>
      </c>
      <c r="O365">
        <v>188.5</v>
      </c>
      <c r="P365">
        <v>175</v>
      </c>
      <c r="Q365">
        <v>186.3</v>
      </c>
      <c r="R365">
        <v>188.6</v>
      </c>
      <c r="S365">
        <v>189</v>
      </c>
      <c r="T365">
        <v>139.5</v>
      </c>
      <c r="U365">
        <v>177.2</v>
      </c>
      <c r="V365">
        <v>168.2</v>
      </c>
      <c r="W365">
        <v>177.8</v>
      </c>
      <c r="X365">
        <v>184.7</v>
      </c>
      <c r="Y365">
        <v>178.4</v>
      </c>
      <c r="Z365">
        <v>183.2</v>
      </c>
      <c r="AA365">
        <v>171.8</v>
      </c>
      <c r="AB365">
        <v>196.9</v>
      </c>
      <c r="AC365">
        <v>176.5</v>
      </c>
      <c r="AD365">
        <v>177.8</v>
      </c>
    </row>
    <row r="366" spans="1:30" x14ac:dyDescent="0.25">
      <c r="A366" t="s">
        <v>33</v>
      </c>
      <c r="B366">
        <v>2023</v>
      </c>
      <c r="C366" t="s">
        <v>31</v>
      </c>
      <c r="D366">
        <v>173.3</v>
      </c>
      <c r="E366">
        <v>215.2</v>
      </c>
      <c r="F366">
        <v>197</v>
      </c>
      <c r="G366">
        <v>175.2</v>
      </c>
      <c r="H366">
        <v>178</v>
      </c>
      <c r="I366">
        <v>160.5</v>
      </c>
      <c r="J366">
        <v>175.3</v>
      </c>
      <c r="K366">
        <v>171.2</v>
      </c>
      <c r="L366">
        <v>122.7</v>
      </c>
      <c r="M366">
        <v>204.3</v>
      </c>
      <c r="N366">
        <v>163.69999999999999</v>
      </c>
      <c r="O366">
        <v>194.3</v>
      </c>
      <c r="P366">
        <v>179.5</v>
      </c>
      <c r="Q366">
        <v>165.3</v>
      </c>
      <c r="R366">
        <v>176.6</v>
      </c>
      <c r="S366">
        <v>178.7</v>
      </c>
      <c r="T366">
        <v>172.1</v>
      </c>
      <c r="U366">
        <v>168</v>
      </c>
      <c r="V366">
        <v>159.5</v>
      </c>
      <c r="W366">
        <v>171.8</v>
      </c>
      <c r="X366">
        <v>178.5</v>
      </c>
      <c r="Y366">
        <v>178.8</v>
      </c>
      <c r="Z366">
        <v>180.1</v>
      </c>
      <c r="AA366">
        <v>167.8</v>
      </c>
      <c r="AB366">
        <v>201.6</v>
      </c>
      <c r="AC366">
        <v>168.9</v>
      </c>
      <c r="AD366">
        <v>174.9</v>
      </c>
    </row>
    <row r="367" spans="1:30" x14ac:dyDescent="0.25">
      <c r="A367" t="s">
        <v>34</v>
      </c>
      <c r="B367">
        <v>2023</v>
      </c>
      <c r="C367" t="s">
        <v>31</v>
      </c>
      <c r="D367">
        <v>173.8</v>
      </c>
      <c r="E367">
        <v>210.7</v>
      </c>
      <c r="F367">
        <v>194.5</v>
      </c>
      <c r="G367">
        <v>174.6</v>
      </c>
      <c r="H367">
        <v>187.2</v>
      </c>
      <c r="I367">
        <v>158.30000000000001</v>
      </c>
      <c r="J367">
        <v>153.9</v>
      </c>
      <c r="K367">
        <v>170.9</v>
      </c>
      <c r="L367">
        <v>121.1</v>
      </c>
      <c r="M367">
        <v>208.4</v>
      </c>
      <c r="N367">
        <v>171.4</v>
      </c>
      <c r="O367">
        <v>191.2</v>
      </c>
      <c r="P367">
        <v>176.7</v>
      </c>
      <c r="Q367">
        <v>177.6</v>
      </c>
      <c r="R367">
        <v>183.8</v>
      </c>
      <c r="S367">
        <v>184.9</v>
      </c>
      <c r="T367">
        <v>172.1</v>
      </c>
      <c r="U367">
        <v>172.9</v>
      </c>
      <c r="V367">
        <v>163.6</v>
      </c>
      <c r="W367">
        <v>174.3</v>
      </c>
      <c r="X367">
        <v>182.3</v>
      </c>
      <c r="Y367">
        <v>178.6</v>
      </c>
      <c r="Z367">
        <v>182</v>
      </c>
      <c r="AA367">
        <v>169.5</v>
      </c>
      <c r="AB367">
        <v>198.2</v>
      </c>
      <c r="AC367">
        <v>172.8</v>
      </c>
      <c r="AD367">
        <v>176.5</v>
      </c>
    </row>
    <row r="368" spans="1:30" x14ac:dyDescent="0.25">
      <c r="A368" t="s">
        <v>30</v>
      </c>
      <c r="B368">
        <v>2023</v>
      </c>
      <c r="C368" t="s">
        <v>35</v>
      </c>
      <c r="D368">
        <v>174.2</v>
      </c>
      <c r="E368">
        <v>205.2</v>
      </c>
      <c r="F368">
        <v>173.9</v>
      </c>
      <c r="G368">
        <v>177</v>
      </c>
      <c r="H368">
        <v>183.4</v>
      </c>
      <c r="I368">
        <v>167.2</v>
      </c>
      <c r="J368">
        <v>140.9</v>
      </c>
      <c r="K368">
        <v>170.4</v>
      </c>
      <c r="L368">
        <v>119.1</v>
      </c>
      <c r="M368">
        <v>212.1</v>
      </c>
      <c r="N368">
        <v>177.6</v>
      </c>
      <c r="O368">
        <v>189.9</v>
      </c>
      <c r="P368">
        <v>174.8</v>
      </c>
      <c r="Q368">
        <v>187</v>
      </c>
      <c r="R368">
        <v>189.6</v>
      </c>
      <c r="S368">
        <v>190</v>
      </c>
      <c r="T368">
        <v>139.5</v>
      </c>
      <c r="U368">
        <v>178.6</v>
      </c>
      <c r="V368">
        <v>169</v>
      </c>
      <c r="W368">
        <v>178.5</v>
      </c>
      <c r="X368">
        <v>186.6</v>
      </c>
      <c r="Y368">
        <v>180.7</v>
      </c>
      <c r="Z368">
        <v>181.6</v>
      </c>
      <c r="AA368">
        <v>172.8</v>
      </c>
      <c r="AB368">
        <v>198.3</v>
      </c>
      <c r="AC368">
        <v>177.9</v>
      </c>
      <c r="AD368">
        <v>178</v>
      </c>
    </row>
    <row r="369" spans="1:30" x14ac:dyDescent="0.25">
      <c r="A369" t="s">
        <v>33</v>
      </c>
      <c r="B369">
        <v>2023</v>
      </c>
      <c r="C369" t="s">
        <v>35</v>
      </c>
      <c r="D369">
        <v>174.7</v>
      </c>
      <c r="E369">
        <v>212.2</v>
      </c>
      <c r="F369">
        <v>177.2</v>
      </c>
      <c r="G369">
        <v>177.9</v>
      </c>
      <c r="H369">
        <v>172.2</v>
      </c>
      <c r="I369">
        <v>172.1</v>
      </c>
      <c r="J369">
        <v>175.8</v>
      </c>
      <c r="K369">
        <v>172.2</v>
      </c>
      <c r="L369">
        <v>121.9</v>
      </c>
      <c r="M369">
        <v>204.8</v>
      </c>
      <c r="N369">
        <v>164.9</v>
      </c>
      <c r="O369">
        <v>196.6</v>
      </c>
      <c r="P369">
        <v>180.7</v>
      </c>
      <c r="Q369">
        <v>167</v>
      </c>
      <c r="R369">
        <v>178.2</v>
      </c>
      <c r="S369">
        <v>180.3</v>
      </c>
      <c r="T369">
        <v>173.5</v>
      </c>
      <c r="U369">
        <v>169.2</v>
      </c>
      <c r="V369">
        <v>159.80000000000001</v>
      </c>
      <c r="W369">
        <v>172.5</v>
      </c>
      <c r="X369">
        <v>180.8</v>
      </c>
      <c r="Y369">
        <v>181.4</v>
      </c>
      <c r="Z369">
        <v>182.8</v>
      </c>
      <c r="AA369">
        <v>168.4</v>
      </c>
      <c r="AB369">
        <v>202.7</v>
      </c>
      <c r="AC369">
        <v>170</v>
      </c>
      <c r="AD369">
        <v>176.3</v>
      </c>
    </row>
    <row r="370" spans="1:30" x14ac:dyDescent="0.25">
      <c r="A370" t="s">
        <v>34</v>
      </c>
      <c r="B370">
        <v>2023</v>
      </c>
      <c r="C370" t="s">
        <v>35</v>
      </c>
      <c r="D370">
        <v>174.4</v>
      </c>
      <c r="E370">
        <v>207.7</v>
      </c>
      <c r="F370">
        <v>175.2</v>
      </c>
      <c r="G370">
        <v>177.3</v>
      </c>
      <c r="H370">
        <v>179.3</v>
      </c>
      <c r="I370">
        <v>169.5</v>
      </c>
      <c r="J370">
        <v>152.69999999999999</v>
      </c>
      <c r="K370">
        <v>171</v>
      </c>
      <c r="L370">
        <v>120</v>
      </c>
      <c r="M370">
        <v>209.7</v>
      </c>
      <c r="N370">
        <v>172.3</v>
      </c>
      <c r="O370">
        <v>193</v>
      </c>
      <c r="P370">
        <v>177</v>
      </c>
      <c r="Q370">
        <v>178.7</v>
      </c>
      <c r="R370">
        <v>185.1</v>
      </c>
      <c r="S370">
        <v>186.2</v>
      </c>
      <c r="T370">
        <v>173.5</v>
      </c>
      <c r="U370">
        <v>174.2</v>
      </c>
      <c r="V370">
        <v>164.2</v>
      </c>
      <c r="W370">
        <v>175</v>
      </c>
      <c r="X370">
        <v>184.4</v>
      </c>
      <c r="Y370">
        <v>181</v>
      </c>
      <c r="Z370">
        <v>182.1</v>
      </c>
      <c r="AA370">
        <v>170.3</v>
      </c>
      <c r="AB370">
        <v>199.5</v>
      </c>
      <c r="AC370">
        <v>174.1</v>
      </c>
      <c r="AD370">
        <v>177.2</v>
      </c>
    </row>
    <row r="371" spans="1:30" x14ac:dyDescent="0.25">
      <c r="A371" t="s">
        <v>30</v>
      </c>
      <c r="B371">
        <v>2023</v>
      </c>
      <c r="C371" t="s">
        <v>36</v>
      </c>
      <c r="D371">
        <v>174.3</v>
      </c>
      <c r="E371">
        <v>205.2</v>
      </c>
      <c r="F371">
        <v>173.9</v>
      </c>
      <c r="G371">
        <v>177</v>
      </c>
      <c r="H371">
        <v>183.3</v>
      </c>
      <c r="I371">
        <v>167.2</v>
      </c>
      <c r="J371">
        <v>140.9</v>
      </c>
      <c r="K371">
        <v>170.5</v>
      </c>
      <c r="L371">
        <v>119.1</v>
      </c>
      <c r="M371">
        <v>212.1</v>
      </c>
      <c r="N371">
        <v>177.6</v>
      </c>
      <c r="O371">
        <v>189.9</v>
      </c>
      <c r="P371">
        <v>174.8</v>
      </c>
      <c r="Q371">
        <v>187</v>
      </c>
      <c r="R371">
        <v>189.6</v>
      </c>
      <c r="S371">
        <v>190</v>
      </c>
      <c r="T371">
        <v>139.5</v>
      </c>
      <c r="U371">
        <v>178.6</v>
      </c>
      <c r="V371">
        <v>169</v>
      </c>
      <c r="W371">
        <v>178.5</v>
      </c>
      <c r="X371">
        <v>186.6</v>
      </c>
      <c r="Y371">
        <v>180.7</v>
      </c>
      <c r="Z371">
        <v>181.4</v>
      </c>
      <c r="AA371">
        <v>172.8</v>
      </c>
      <c r="AB371">
        <v>198.4</v>
      </c>
      <c r="AC371">
        <v>177.9</v>
      </c>
      <c r="AD371">
        <v>178</v>
      </c>
    </row>
    <row r="372" spans="1:30" x14ac:dyDescent="0.25">
      <c r="A372" t="s">
        <v>33</v>
      </c>
      <c r="B372">
        <v>2023</v>
      </c>
      <c r="C372" t="s">
        <v>36</v>
      </c>
      <c r="D372">
        <v>174.7</v>
      </c>
      <c r="E372">
        <v>212.2</v>
      </c>
      <c r="F372">
        <v>177.2</v>
      </c>
      <c r="G372">
        <v>177.9</v>
      </c>
      <c r="H372">
        <v>172.2</v>
      </c>
      <c r="I372">
        <v>172.1</v>
      </c>
      <c r="J372">
        <v>175.9</v>
      </c>
      <c r="K372">
        <v>172.2</v>
      </c>
      <c r="L372">
        <v>121.9</v>
      </c>
      <c r="M372">
        <v>204.8</v>
      </c>
      <c r="N372">
        <v>164.9</v>
      </c>
      <c r="O372">
        <v>196.6</v>
      </c>
      <c r="P372">
        <v>180.8</v>
      </c>
      <c r="Q372">
        <v>167</v>
      </c>
      <c r="R372">
        <v>178.2</v>
      </c>
      <c r="S372">
        <v>180.2</v>
      </c>
      <c r="T372">
        <v>173.5</v>
      </c>
      <c r="U372">
        <v>169.2</v>
      </c>
      <c r="V372">
        <v>159.80000000000001</v>
      </c>
      <c r="W372">
        <v>172.5</v>
      </c>
      <c r="X372">
        <v>180.8</v>
      </c>
      <c r="Y372">
        <v>181.5</v>
      </c>
      <c r="Z372">
        <v>182.6</v>
      </c>
      <c r="AA372">
        <v>168.4</v>
      </c>
      <c r="AB372">
        <v>202.7</v>
      </c>
      <c r="AC372">
        <v>170</v>
      </c>
      <c r="AD372">
        <v>176.3</v>
      </c>
    </row>
    <row r="373" spans="1:30" x14ac:dyDescent="0.25">
      <c r="A373" t="s">
        <v>34</v>
      </c>
      <c r="B373">
        <v>2023</v>
      </c>
      <c r="C373" t="s">
        <v>36</v>
      </c>
      <c r="D373">
        <v>174.4</v>
      </c>
      <c r="E373">
        <v>207.7</v>
      </c>
      <c r="F373">
        <v>175.2</v>
      </c>
      <c r="G373">
        <v>177.3</v>
      </c>
      <c r="H373">
        <v>179.2</v>
      </c>
      <c r="I373">
        <v>169.5</v>
      </c>
      <c r="J373">
        <v>152.80000000000001</v>
      </c>
      <c r="K373">
        <v>171.1</v>
      </c>
      <c r="L373">
        <v>120</v>
      </c>
      <c r="M373">
        <v>209.7</v>
      </c>
      <c r="N373">
        <v>172.3</v>
      </c>
      <c r="O373">
        <v>193</v>
      </c>
      <c r="P373">
        <v>177</v>
      </c>
      <c r="Q373">
        <v>178.7</v>
      </c>
      <c r="R373">
        <v>185.1</v>
      </c>
      <c r="S373">
        <v>186.1</v>
      </c>
      <c r="T373">
        <v>173.5</v>
      </c>
      <c r="U373">
        <v>174.2</v>
      </c>
      <c r="V373">
        <v>164.2</v>
      </c>
      <c r="W373">
        <v>175</v>
      </c>
      <c r="X373">
        <v>184.4</v>
      </c>
      <c r="Y373">
        <v>181</v>
      </c>
      <c r="Z373">
        <v>181.9</v>
      </c>
      <c r="AA373">
        <v>170.3</v>
      </c>
      <c r="AB373">
        <v>199.5</v>
      </c>
      <c r="AC373">
        <v>174.1</v>
      </c>
      <c r="AD373">
        <v>177.2</v>
      </c>
    </row>
    <row r="374" spans="1:30" x14ac:dyDescent="0.25">
      <c r="A374" t="s">
        <v>30</v>
      </c>
      <c r="B374">
        <v>2023</v>
      </c>
      <c r="C374" t="s">
        <v>37</v>
      </c>
      <c r="D374">
        <v>173.3</v>
      </c>
      <c r="E374">
        <v>206.9</v>
      </c>
      <c r="F374">
        <v>167.9</v>
      </c>
      <c r="G374">
        <v>178.2</v>
      </c>
      <c r="H374">
        <v>178.5</v>
      </c>
      <c r="I374">
        <v>173.7</v>
      </c>
      <c r="J374">
        <v>142.80000000000001</v>
      </c>
      <c r="K374">
        <v>172.8</v>
      </c>
      <c r="L374">
        <v>120.4</v>
      </c>
      <c r="M374">
        <v>215.5</v>
      </c>
      <c r="N374">
        <v>178.2</v>
      </c>
      <c r="O374">
        <v>190.5</v>
      </c>
      <c r="P374">
        <v>175.5</v>
      </c>
      <c r="Q374">
        <v>187.3</v>
      </c>
      <c r="R374">
        <v>190.2</v>
      </c>
      <c r="S374">
        <v>190.7</v>
      </c>
      <c r="T374">
        <v>139.5</v>
      </c>
      <c r="U374">
        <v>179.1</v>
      </c>
      <c r="V374">
        <v>169.4</v>
      </c>
      <c r="W374">
        <v>179.4</v>
      </c>
      <c r="X374">
        <v>187.2</v>
      </c>
      <c r="Y374">
        <v>183.8</v>
      </c>
      <c r="Z374">
        <v>181.5</v>
      </c>
      <c r="AA374">
        <v>173.2</v>
      </c>
      <c r="AB374">
        <v>199.5</v>
      </c>
      <c r="AC374">
        <v>178.9</v>
      </c>
      <c r="AD374">
        <v>178.8</v>
      </c>
    </row>
    <row r="375" spans="1:30" x14ac:dyDescent="0.25">
      <c r="A375" t="s">
        <v>33</v>
      </c>
      <c r="B375">
        <v>2023</v>
      </c>
      <c r="C375" t="s">
        <v>37</v>
      </c>
      <c r="D375">
        <v>174.8</v>
      </c>
      <c r="E375">
        <v>213.7</v>
      </c>
      <c r="F375">
        <v>172.4</v>
      </c>
      <c r="G375">
        <v>178.8</v>
      </c>
      <c r="H375">
        <v>168.7</v>
      </c>
      <c r="I375">
        <v>179.2</v>
      </c>
      <c r="J375">
        <v>179.9</v>
      </c>
      <c r="K375">
        <v>174.7</v>
      </c>
      <c r="L375">
        <v>123.1</v>
      </c>
      <c r="M375">
        <v>207.8</v>
      </c>
      <c r="N375">
        <v>165.5</v>
      </c>
      <c r="O375">
        <v>197</v>
      </c>
      <c r="P375">
        <v>182.1</v>
      </c>
      <c r="Q375">
        <v>167.7</v>
      </c>
      <c r="R375">
        <v>178.9</v>
      </c>
      <c r="S375">
        <v>181</v>
      </c>
      <c r="T375">
        <v>175.2</v>
      </c>
      <c r="U375">
        <v>169.6</v>
      </c>
      <c r="V375">
        <v>160.1</v>
      </c>
      <c r="W375">
        <v>174.2</v>
      </c>
      <c r="X375">
        <v>181.5</v>
      </c>
      <c r="Y375">
        <v>184.4</v>
      </c>
      <c r="Z375">
        <v>182.1</v>
      </c>
      <c r="AA375">
        <v>168.8</v>
      </c>
      <c r="AB375">
        <v>203.5</v>
      </c>
      <c r="AC375">
        <v>170.9</v>
      </c>
      <c r="AD375">
        <v>177.4</v>
      </c>
    </row>
    <row r="376" spans="1:30" x14ac:dyDescent="0.25">
      <c r="A376" t="s">
        <v>34</v>
      </c>
      <c r="B376">
        <v>2023</v>
      </c>
      <c r="C376" t="s">
        <v>37</v>
      </c>
      <c r="D376">
        <v>173.8</v>
      </c>
      <c r="E376">
        <v>209.3</v>
      </c>
      <c r="F376">
        <v>169.6</v>
      </c>
      <c r="G376">
        <v>178.4</v>
      </c>
      <c r="H376">
        <v>174.9</v>
      </c>
      <c r="I376">
        <v>176.3</v>
      </c>
      <c r="J376">
        <v>155.4</v>
      </c>
      <c r="K376">
        <v>173.4</v>
      </c>
      <c r="L376">
        <v>121.3</v>
      </c>
      <c r="M376">
        <v>212.9</v>
      </c>
      <c r="N376">
        <v>172.9</v>
      </c>
      <c r="O376">
        <v>193.5</v>
      </c>
      <c r="P376">
        <v>177.9</v>
      </c>
      <c r="Q376">
        <v>179.2</v>
      </c>
      <c r="R376">
        <v>185.7</v>
      </c>
      <c r="S376">
        <v>186.9</v>
      </c>
      <c r="T376">
        <v>175.2</v>
      </c>
      <c r="U376">
        <v>174.6</v>
      </c>
      <c r="V376">
        <v>164.5</v>
      </c>
      <c r="W376">
        <v>176.4</v>
      </c>
      <c r="X376">
        <v>185</v>
      </c>
      <c r="Y376">
        <v>184</v>
      </c>
      <c r="Z376">
        <v>181.7</v>
      </c>
      <c r="AA376">
        <v>170.7</v>
      </c>
      <c r="AB376">
        <v>200.6</v>
      </c>
      <c r="AC376">
        <v>175</v>
      </c>
      <c r="AD376">
        <v>178.1</v>
      </c>
    </row>
    <row r="377" spans="1:30" x14ac:dyDescent="0.25">
      <c r="A377" t="s">
        <v>30</v>
      </c>
      <c r="B377">
        <v>2023</v>
      </c>
      <c r="C377" t="s">
        <v>38</v>
      </c>
      <c r="D377">
        <v>173.2</v>
      </c>
      <c r="E377">
        <v>211.5</v>
      </c>
      <c r="F377">
        <v>171</v>
      </c>
      <c r="G377">
        <v>179.6</v>
      </c>
      <c r="H377">
        <v>173.3</v>
      </c>
      <c r="I377">
        <v>169</v>
      </c>
      <c r="J377">
        <v>148.69999999999999</v>
      </c>
      <c r="K377">
        <v>174.9</v>
      </c>
      <c r="L377">
        <v>121.9</v>
      </c>
      <c r="M377">
        <v>221</v>
      </c>
      <c r="N377">
        <v>178.7</v>
      </c>
      <c r="O377">
        <v>191.1</v>
      </c>
      <c r="P377">
        <v>176.8</v>
      </c>
      <c r="Q377">
        <v>187.9</v>
      </c>
      <c r="R377">
        <v>190.8</v>
      </c>
      <c r="S377">
        <v>191.2</v>
      </c>
      <c r="T377">
        <v>139.5</v>
      </c>
      <c r="U377">
        <v>179.8</v>
      </c>
      <c r="V377">
        <v>169.7</v>
      </c>
      <c r="W377">
        <v>180.3</v>
      </c>
      <c r="X377">
        <v>187.8</v>
      </c>
      <c r="Y377">
        <v>184.9</v>
      </c>
      <c r="Z377">
        <v>182.5</v>
      </c>
      <c r="AA377">
        <v>173.8</v>
      </c>
      <c r="AB377">
        <v>199.9</v>
      </c>
      <c r="AC377">
        <v>179.5</v>
      </c>
      <c r="AD377">
        <v>179.8</v>
      </c>
    </row>
    <row r="378" spans="1:30" x14ac:dyDescent="0.25">
      <c r="A378" t="s">
        <v>33</v>
      </c>
      <c r="B378">
        <v>2023</v>
      </c>
      <c r="C378" t="s">
        <v>38</v>
      </c>
      <c r="D378">
        <v>174.7</v>
      </c>
      <c r="E378">
        <v>219.4</v>
      </c>
      <c r="F378">
        <v>176.7</v>
      </c>
      <c r="G378">
        <v>179.4</v>
      </c>
      <c r="H378">
        <v>164.4</v>
      </c>
      <c r="I378">
        <v>175.8</v>
      </c>
      <c r="J378">
        <v>185</v>
      </c>
      <c r="K378">
        <v>176.9</v>
      </c>
      <c r="L378">
        <v>124.2</v>
      </c>
      <c r="M378">
        <v>211.9</v>
      </c>
      <c r="N378">
        <v>165.9</v>
      </c>
      <c r="O378">
        <v>197.7</v>
      </c>
      <c r="P378">
        <v>183.1</v>
      </c>
      <c r="Q378">
        <v>168.1</v>
      </c>
      <c r="R378">
        <v>179.3</v>
      </c>
      <c r="S378">
        <v>181.3</v>
      </c>
      <c r="T378">
        <v>175.6</v>
      </c>
      <c r="U378">
        <v>170.1</v>
      </c>
      <c r="V378">
        <v>160.4</v>
      </c>
      <c r="W378">
        <v>174.8</v>
      </c>
      <c r="X378">
        <v>182.2</v>
      </c>
      <c r="Y378">
        <v>185.6</v>
      </c>
      <c r="Z378">
        <v>183.4</v>
      </c>
      <c r="AA378">
        <v>169.2</v>
      </c>
      <c r="AB378">
        <v>204.2</v>
      </c>
      <c r="AC378">
        <v>171.6</v>
      </c>
      <c r="AD378">
        <v>178.2</v>
      </c>
    </row>
    <row r="379" spans="1:30" x14ac:dyDescent="0.25">
      <c r="A379" t="s">
        <v>34</v>
      </c>
      <c r="B379">
        <v>2023</v>
      </c>
      <c r="C379" t="s">
        <v>38</v>
      </c>
      <c r="D379">
        <v>173.7</v>
      </c>
      <c r="E379">
        <v>214.3</v>
      </c>
      <c r="F379">
        <v>173.2</v>
      </c>
      <c r="G379">
        <v>179.5</v>
      </c>
      <c r="H379">
        <v>170</v>
      </c>
      <c r="I379">
        <v>172.2</v>
      </c>
      <c r="J379">
        <v>161</v>
      </c>
      <c r="K379">
        <v>175.6</v>
      </c>
      <c r="L379">
        <v>122.7</v>
      </c>
      <c r="M379">
        <v>218</v>
      </c>
      <c r="N379">
        <v>173.4</v>
      </c>
      <c r="O379">
        <v>194.2</v>
      </c>
      <c r="P379">
        <v>179.1</v>
      </c>
      <c r="Q379">
        <v>179.7</v>
      </c>
      <c r="R379">
        <v>186.2</v>
      </c>
      <c r="S379">
        <v>187.3</v>
      </c>
      <c r="T379">
        <v>175.6</v>
      </c>
      <c r="U379">
        <v>175.2</v>
      </c>
      <c r="V379">
        <v>164.8</v>
      </c>
      <c r="W379">
        <v>177.1</v>
      </c>
      <c r="X379">
        <v>185.7</v>
      </c>
      <c r="Y379">
        <v>185.2</v>
      </c>
      <c r="Z379">
        <v>182.8</v>
      </c>
      <c r="AA379">
        <v>171.2</v>
      </c>
      <c r="AB379">
        <v>201</v>
      </c>
      <c r="AC379">
        <v>175.7</v>
      </c>
      <c r="AD379">
        <v>179.1</v>
      </c>
    </row>
  </sheetData>
  <mergeCells count="10">
    <mergeCell ref="Q6:R6"/>
    <mergeCell ref="S6:W6"/>
    <mergeCell ref="X6:Y6"/>
    <mergeCell ref="AA6:AC6"/>
    <mergeCell ref="A6:C6"/>
    <mergeCell ref="A4:C4"/>
    <mergeCell ref="D6:P6"/>
    <mergeCell ref="A1:C1"/>
    <mergeCell ref="A2:C2"/>
    <mergeCell ref="A3:C3"/>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A3FD9-C146-480F-9F56-DDB49AE6AA71}">
  <dimension ref="A1:AL373"/>
  <sheetViews>
    <sheetView topLeftCell="A2" workbookViewId="0">
      <selection activeCell="C10" sqref="C10"/>
    </sheetView>
  </sheetViews>
  <sheetFormatPr defaultRowHeight="15" x14ac:dyDescent="0.25"/>
  <cols>
    <col min="1" max="1" width="11.85546875" bestFit="1" customWidth="1"/>
    <col min="2" max="2" width="10.85546875" bestFit="1" customWidth="1"/>
    <col min="3" max="3" width="7.28515625" bestFit="1" customWidth="1"/>
    <col min="4" max="4" width="22" bestFit="1" customWidth="1"/>
    <col min="5" max="5" width="15.5703125" bestFit="1" customWidth="1"/>
    <col min="6" max="6" width="12" bestFit="1" customWidth="1"/>
    <col min="7" max="7" width="19.28515625" bestFit="1" customWidth="1"/>
    <col min="8" max="8" width="14.140625" bestFit="1" customWidth="1"/>
    <col min="9" max="9" width="12" bestFit="1" customWidth="1"/>
    <col min="10" max="10" width="13.28515625" bestFit="1" customWidth="1"/>
    <col min="11" max="11" width="21.140625" bestFit="1" customWidth="1"/>
    <col min="12" max="12" width="25.28515625" bestFit="1" customWidth="1"/>
    <col min="13" max="13" width="12" bestFit="1" customWidth="1"/>
    <col min="14" max="14" width="25.5703125" bestFit="1" customWidth="1"/>
    <col min="15" max="15" width="35.5703125" bestFit="1" customWidth="1"/>
    <col min="16" max="16" width="21.28515625" bestFit="1" customWidth="1"/>
    <col min="17" max="18" width="12" bestFit="1" customWidth="1"/>
    <col min="19" max="19" width="23.28515625" bestFit="1" customWidth="1"/>
    <col min="20" max="20" width="12" bestFit="1" customWidth="1"/>
    <col min="21" max="21" width="30.42578125" bestFit="1" customWidth="1"/>
    <col min="22" max="22" width="12" bestFit="1" customWidth="1"/>
    <col min="23" max="23" width="25.85546875" bestFit="1" customWidth="1"/>
    <col min="24" max="24" width="30.140625" bestFit="1" customWidth="1"/>
    <col min="25" max="25" width="28.140625" bestFit="1" customWidth="1"/>
    <col min="26" max="26" width="28.85546875" bestFit="1" customWidth="1"/>
    <col min="27" max="27" width="15.42578125" bestFit="1" customWidth="1"/>
    <col min="28" max="28" width="12" bestFit="1" customWidth="1"/>
    <col min="29" max="29" width="16.28515625" customWidth="1"/>
    <col min="30" max="30" width="16" bestFit="1" customWidth="1"/>
    <col min="31" max="31" width="12" bestFit="1" customWidth="1"/>
    <col min="32" max="32" width="21.85546875" bestFit="1" customWidth="1"/>
    <col min="33" max="33" width="21.140625" bestFit="1" customWidth="1"/>
    <col min="34" max="34" width="12.85546875" bestFit="1" customWidth="1"/>
    <col min="35" max="35" width="21.85546875" bestFit="1" customWidth="1"/>
    <col min="36" max="37" width="12" bestFit="1" customWidth="1"/>
    <col min="38" max="38" width="24.42578125" bestFit="1" customWidth="1"/>
    <col min="39" max="39" width="21.85546875" customWidth="1"/>
    <col min="40" max="40" width="22.42578125" customWidth="1"/>
    <col min="41" max="41" width="12.7109375" customWidth="1"/>
    <col min="42" max="42" width="13.5703125" customWidth="1"/>
  </cols>
  <sheetData>
    <row r="1" spans="1:38" x14ac:dyDescent="0.25">
      <c r="A1" t="s">
        <v>0</v>
      </c>
      <c r="B1" t="s">
        <v>2</v>
      </c>
      <c r="C1" t="s">
        <v>1</v>
      </c>
      <c r="D1" t="s">
        <v>3</v>
      </c>
      <c r="E1" t="s">
        <v>4</v>
      </c>
      <c r="F1" t="s">
        <v>5</v>
      </c>
      <c r="G1" t="s">
        <v>6</v>
      </c>
      <c r="H1" t="s">
        <v>7</v>
      </c>
      <c r="I1" t="s">
        <v>8</v>
      </c>
      <c r="J1" t="s">
        <v>9</v>
      </c>
      <c r="K1" t="s">
        <v>10</v>
      </c>
      <c r="L1" t="s">
        <v>11</v>
      </c>
      <c r="M1" t="s">
        <v>12</v>
      </c>
      <c r="N1" t="s">
        <v>13</v>
      </c>
      <c r="O1" t="s">
        <v>14</v>
      </c>
      <c r="P1" t="s">
        <v>15</v>
      </c>
      <c r="Q1" t="s">
        <v>17</v>
      </c>
      <c r="R1" t="s">
        <v>18</v>
      </c>
      <c r="S1" t="s">
        <v>19</v>
      </c>
      <c r="T1" t="s">
        <v>20</v>
      </c>
      <c r="U1" t="s">
        <v>22</v>
      </c>
      <c r="V1" t="s">
        <v>23</v>
      </c>
      <c r="W1" t="s">
        <v>27</v>
      </c>
      <c r="X1" t="s">
        <v>24</v>
      </c>
      <c r="Y1" t="s">
        <v>25</v>
      </c>
      <c r="Z1" t="s">
        <v>16</v>
      </c>
      <c r="AA1" t="s">
        <v>21</v>
      </c>
      <c r="AB1" t="s">
        <v>26</v>
      </c>
      <c r="AC1" t="s">
        <v>28</v>
      </c>
      <c r="AD1" t="s">
        <v>29</v>
      </c>
      <c r="AE1" s="3" t="s">
        <v>53</v>
      </c>
      <c r="AF1" t="s">
        <v>54</v>
      </c>
      <c r="AG1" s="3" t="s">
        <v>55</v>
      </c>
      <c r="AH1" t="s">
        <v>57</v>
      </c>
      <c r="AI1" t="s">
        <v>65</v>
      </c>
      <c r="AJ1" s="3" t="s">
        <v>56</v>
      </c>
      <c r="AK1" t="s">
        <v>104</v>
      </c>
      <c r="AL1" t="s">
        <v>135</v>
      </c>
    </row>
    <row r="2" spans="1:38" x14ac:dyDescent="0.25">
      <c r="A2" t="s">
        <v>30</v>
      </c>
      <c r="B2" t="s">
        <v>42</v>
      </c>
      <c r="C2">
        <v>2013</v>
      </c>
      <c r="D2">
        <v>115.4</v>
      </c>
      <c r="E2">
        <v>115.7</v>
      </c>
      <c r="F2">
        <v>111.7</v>
      </c>
      <c r="G2">
        <v>111</v>
      </c>
      <c r="H2">
        <v>107.4</v>
      </c>
      <c r="I2">
        <v>110.9</v>
      </c>
      <c r="J2">
        <v>154</v>
      </c>
      <c r="K2">
        <v>108.1</v>
      </c>
      <c r="L2">
        <v>104.2</v>
      </c>
      <c r="M2">
        <v>107.9</v>
      </c>
      <c r="N2">
        <v>110.4</v>
      </c>
      <c r="O2">
        <v>114</v>
      </c>
      <c r="P2">
        <v>117.8</v>
      </c>
      <c r="Q2">
        <v>112.7</v>
      </c>
      <c r="R2">
        <v>111.4</v>
      </c>
      <c r="S2">
        <v>112.5</v>
      </c>
      <c r="T2">
        <v>139.5</v>
      </c>
      <c r="U2">
        <v>109.6</v>
      </c>
      <c r="V2">
        <v>108.3</v>
      </c>
      <c r="W2">
        <v>106.7</v>
      </c>
      <c r="X2">
        <v>109.3</v>
      </c>
      <c r="Y2">
        <v>107.7</v>
      </c>
      <c r="Z2">
        <v>111.7</v>
      </c>
      <c r="AA2">
        <v>111.1</v>
      </c>
      <c r="AB2">
        <v>109.8</v>
      </c>
      <c r="AC2">
        <v>108.7</v>
      </c>
      <c r="AD2">
        <v>114.2</v>
      </c>
      <c r="AE2">
        <f>SUM(Table1_1[[#This Row],[Cereals and products]:[Food and beverages]])</f>
        <v>1488.5000000000002</v>
      </c>
      <c r="AF2">
        <f>SUM(Table1_1[[#This Row],[Clothing and footwear]:[Clothing]])</f>
        <v>336.6</v>
      </c>
      <c r="AG2">
        <f>SUM(Table1_1[[#This Row],[Clothing]:[Education]])</f>
        <v>1350.3</v>
      </c>
      <c r="AH2">
        <f>SUM(Table1_1[[#This Row],[Health]:[Personal care and effects]])</f>
        <v>215</v>
      </c>
      <c r="AI2">
        <f>SUM(Table1_1[[#This Row],[Recreation and amusement]:[Miscellaneous]])</f>
        <v>549</v>
      </c>
      <c r="AJ2">
        <f>SUM(Table1_1[[#This Row],[Fuel and light]])</f>
        <v>111.1</v>
      </c>
      <c r="AK2">
        <f>SUM(Table1_1[[#This Row],[Food]:[Luxury &amp;Other Thing]])</f>
        <v>3939.4000000000005</v>
      </c>
      <c r="AL2">
        <f>SUM(Table1_1[[#This Row],[Food]:[Luxury &amp;Other Thing]])</f>
        <v>3939.4000000000005</v>
      </c>
    </row>
    <row r="3" spans="1:38" x14ac:dyDescent="0.25">
      <c r="A3" t="s">
        <v>33</v>
      </c>
      <c r="B3" t="s">
        <v>42</v>
      </c>
      <c r="C3">
        <v>2013</v>
      </c>
      <c r="D3">
        <v>118.6</v>
      </c>
      <c r="E3">
        <v>119.1</v>
      </c>
      <c r="F3">
        <v>113.2</v>
      </c>
      <c r="G3">
        <v>109.6</v>
      </c>
      <c r="H3">
        <v>101.7</v>
      </c>
      <c r="I3">
        <v>103.2</v>
      </c>
      <c r="J3">
        <v>174.3</v>
      </c>
      <c r="K3">
        <v>105.1</v>
      </c>
      <c r="L3">
        <v>100.8</v>
      </c>
      <c r="M3">
        <v>109.1</v>
      </c>
      <c r="N3">
        <v>111.1</v>
      </c>
      <c r="O3">
        <v>115.4</v>
      </c>
      <c r="P3">
        <v>119.2</v>
      </c>
      <c r="Q3">
        <v>111.4</v>
      </c>
      <c r="R3">
        <v>109</v>
      </c>
      <c r="S3">
        <v>111.1</v>
      </c>
      <c r="T3">
        <v>109.7</v>
      </c>
      <c r="U3">
        <v>109.6</v>
      </c>
      <c r="V3">
        <v>107.9</v>
      </c>
      <c r="W3">
        <v>106.9</v>
      </c>
      <c r="X3">
        <v>110.4</v>
      </c>
      <c r="Y3">
        <v>107.4</v>
      </c>
      <c r="Z3">
        <v>112.9</v>
      </c>
      <c r="AA3">
        <v>109.5</v>
      </c>
      <c r="AB3">
        <v>111.2</v>
      </c>
      <c r="AC3">
        <v>109.4</v>
      </c>
      <c r="AD3">
        <v>113.2</v>
      </c>
      <c r="AE3">
        <f>SUM(Table1_1[[#This Row],[Cereals and products]:[Food and beverages]])</f>
        <v>1500.4</v>
      </c>
      <c r="AF3">
        <f>SUM(Table1_1[[#This Row],[Clothing and footwear]:[Clothing]])</f>
        <v>331.5</v>
      </c>
      <c r="AG3">
        <f>SUM(Table1_1[[#This Row],[Clothing]:[Education]])</f>
        <v>1317</v>
      </c>
      <c r="AH3">
        <f>SUM(Table1_1[[#This Row],[Health]:[Personal care and effects]])</f>
        <v>214.8</v>
      </c>
      <c r="AI3">
        <f>SUM(Table1_1[[#This Row],[Recreation and amusement]:[Miscellaneous]])</f>
        <v>550.4</v>
      </c>
      <c r="AJ3">
        <f>SUM(Table1_1[[#This Row],[Fuel and light]])</f>
        <v>109.5</v>
      </c>
      <c r="AK3">
        <f>SUM(Table1_1[[#This Row],[Food]:[Luxury &amp;Other Thing]])</f>
        <v>3914.1000000000004</v>
      </c>
      <c r="AL3">
        <f>SUM(Table1_1[[#This Row],[Food]:[Luxury &amp;Other Thing]])</f>
        <v>3914.1000000000004</v>
      </c>
    </row>
    <row r="4" spans="1:38" x14ac:dyDescent="0.25">
      <c r="A4" t="s">
        <v>34</v>
      </c>
      <c r="B4" t="s">
        <v>42</v>
      </c>
      <c r="C4">
        <v>2013</v>
      </c>
      <c r="D4">
        <v>116.4</v>
      </c>
      <c r="E4">
        <v>116.9</v>
      </c>
      <c r="F4">
        <v>112.3</v>
      </c>
      <c r="G4">
        <v>110.5</v>
      </c>
      <c r="H4">
        <v>105.3</v>
      </c>
      <c r="I4">
        <v>107.3</v>
      </c>
      <c r="J4">
        <v>160.9</v>
      </c>
      <c r="K4">
        <v>107.1</v>
      </c>
      <c r="L4">
        <v>103.1</v>
      </c>
      <c r="M4">
        <v>108.3</v>
      </c>
      <c r="N4">
        <v>110.7</v>
      </c>
      <c r="O4">
        <v>114.6</v>
      </c>
      <c r="P4">
        <v>118.3</v>
      </c>
      <c r="Q4">
        <v>112.2</v>
      </c>
      <c r="R4">
        <v>110.4</v>
      </c>
      <c r="S4">
        <v>111.9</v>
      </c>
      <c r="T4">
        <v>109.7</v>
      </c>
      <c r="U4">
        <v>109.6</v>
      </c>
      <c r="V4">
        <v>108.1</v>
      </c>
      <c r="W4">
        <v>106.8</v>
      </c>
      <c r="X4">
        <v>109.9</v>
      </c>
      <c r="Y4">
        <v>107.5</v>
      </c>
      <c r="Z4">
        <v>112</v>
      </c>
      <c r="AA4">
        <v>110.5</v>
      </c>
      <c r="AB4">
        <v>110.6</v>
      </c>
      <c r="AC4">
        <v>109</v>
      </c>
      <c r="AD4">
        <v>113.7</v>
      </c>
      <c r="AE4">
        <f>SUM(Table1_1[[#This Row],[Cereals and products]:[Food and beverages]])</f>
        <v>1491.6999999999998</v>
      </c>
      <c r="AF4">
        <f>SUM(Table1_1[[#This Row],[Clothing and footwear]:[Clothing]])</f>
        <v>334.5</v>
      </c>
      <c r="AG4">
        <f>SUM(Table1_1[[#This Row],[Clothing]:[Education]])</f>
        <v>1319.1999999999998</v>
      </c>
      <c r="AH4">
        <f>SUM(Table1_1[[#This Row],[Health]:[Personal care and effects]])</f>
        <v>214.89999999999998</v>
      </c>
      <c r="AI4">
        <f>SUM(Table1_1[[#This Row],[Recreation and amusement]:[Miscellaneous]])</f>
        <v>549.6</v>
      </c>
      <c r="AJ4">
        <f>SUM(Table1_1[[#This Row],[Fuel and light]])</f>
        <v>110.5</v>
      </c>
      <c r="AK4">
        <f>SUM(Table1_1[[#This Row],[Food]:[Luxury &amp;Other Thing]])</f>
        <v>3909.8999999999996</v>
      </c>
      <c r="AL4">
        <f>SUM(Table1_1[[#This Row],[Food]:[Luxury &amp;Other Thing]])</f>
        <v>3909.8999999999996</v>
      </c>
    </row>
    <row r="5" spans="1:38" x14ac:dyDescent="0.25">
      <c r="A5" t="s">
        <v>30</v>
      </c>
      <c r="B5" t="s">
        <v>42</v>
      </c>
      <c r="C5">
        <v>2014</v>
      </c>
      <c r="D5">
        <v>122.3</v>
      </c>
      <c r="E5">
        <v>122.4</v>
      </c>
      <c r="F5">
        <v>117.8</v>
      </c>
      <c r="G5">
        <v>122.7</v>
      </c>
      <c r="H5">
        <v>110.4</v>
      </c>
      <c r="I5">
        <v>129.80000000000001</v>
      </c>
      <c r="J5">
        <v>158.80000000000001</v>
      </c>
      <c r="K5">
        <v>115</v>
      </c>
      <c r="L5">
        <v>104.7</v>
      </c>
      <c r="M5">
        <v>114.9</v>
      </c>
      <c r="N5">
        <v>116.5</v>
      </c>
      <c r="O5">
        <v>122.6</v>
      </c>
      <c r="P5">
        <v>125.3</v>
      </c>
      <c r="Q5">
        <v>121.7</v>
      </c>
      <c r="R5">
        <v>119.2</v>
      </c>
      <c r="S5">
        <v>121.3</v>
      </c>
      <c r="T5">
        <v>139.5</v>
      </c>
      <c r="U5">
        <v>116.7</v>
      </c>
      <c r="V5">
        <v>114.5</v>
      </c>
      <c r="W5">
        <v>109.1</v>
      </c>
      <c r="X5">
        <v>112.8</v>
      </c>
      <c r="Y5">
        <v>112.6</v>
      </c>
      <c r="Z5">
        <v>119.5</v>
      </c>
      <c r="AA5">
        <v>115.8</v>
      </c>
      <c r="AB5">
        <v>116.6</v>
      </c>
      <c r="AC5">
        <v>113.7</v>
      </c>
      <c r="AD5">
        <v>120.9</v>
      </c>
      <c r="AE5">
        <f>SUM(Table1_1[[#This Row],[Cereals and products]:[Food and beverages]])</f>
        <v>1583.2</v>
      </c>
      <c r="AF5">
        <f>SUM(Table1_1[[#This Row],[Clothing and footwear]:[Clothing]])</f>
        <v>362.2</v>
      </c>
      <c r="AG5">
        <f>SUM(Table1_1[[#This Row],[Clothing]:[Education]])</f>
        <v>1419.2999999999997</v>
      </c>
      <c r="AH5">
        <f>SUM(Table1_1[[#This Row],[Health]:[Personal care and effects]])</f>
        <v>223.6</v>
      </c>
      <c r="AI5">
        <f>SUM(Table1_1[[#This Row],[Recreation and amusement]:[Miscellaneous]])</f>
        <v>578.20000000000005</v>
      </c>
      <c r="AJ5">
        <f>SUM(Table1_1[[#This Row],[Fuel and light]])</f>
        <v>115.8</v>
      </c>
      <c r="AK5">
        <f>SUM(Table1_1[[#This Row],[Food]:[Luxury &amp;Other Thing]])</f>
        <v>4166.5</v>
      </c>
      <c r="AL5">
        <f>SUM(Table1_1[[#This Row],[Food]:[Luxury &amp;Other Thing]])</f>
        <v>4166.5</v>
      </c>
    </row>
    <row r="6" spans="1:38" x14ac:dyDescent="0.25">
      <c r="A6" t="s">
        <v>33</v>
      </c>
      <c r="B6" t="s">
        <v>42</v>
      </c>
      <c r="C6">
        <v>2014</v>
      </c>
      <c r="D6">
        <v>124.2</v>
      </c>
      <c r="E6">
        <v>125.4</v>
      </c>
      <c r="F6">
        <v>116.4</v>
      </c>
      <c r="G6">
        <v>122.7</v>
      </c>
      <c r="H6">
        <v>103.5</v>
      </c>
      <c r="I6">
        <v>124.5</v>
      </c>
      <c r="J6">
        <v>168.6</v>
      </c>
      <c r="K6">
        <v>116.9</v>
      </c>
      <c r="L6">
        <v>101.9</v>
      </c>
      <c r="M6">
        <v>122.9</v>
      </c>
      <c r="N6">
        <v>114.8</v>
      </c>
      <c r="O6">
        <v>125.2</v>
      </c>
      <c r="P6">
        <v>126.7</v>
      </c>
      <c r="Q6">
        <v>119.2</v>
      </c>
      <c r="R6">
        <v>114.5</v>
      </c>
      <c r="S6">
        <v>118.4</v>
      </c>
      <c r="T6">
        <v>116.1</v>
      </c>
      <c r="U6">
        <v>115.5</v>
      </c>
      <c r="V6">
        <v>112.3</v>
      </c>
      <c r="W6">
        <v>110</v>
      </c>
      <c r="X6">
        <v>111.2</v>
      </c>
      <c r="Y6">
        <v>113.4</v>
      </c>
      <c r="Z6">
        <v>124.3</v>
      </c>
      <c r="AA6">
        <v>111.8</v>
      </c>
      <c r="AB6">
        <v>120</v>
      </c>
      <c r="AC6">
        <v>113.6</v>
      </c>
      <c r="AD6">
        <v>119.2</v>
      </c>
      <c r="AE6">
        <f>SUM(Table1_1[[#This Row],[Cereals and products]:[Food and beverages]])</f>
        <v>1593.7000000000003</v>
      </c>
      <c r="AF6">
        <f>SUM(Table1_1[[#This Row],[Clothing and footwear]:[Clothing]])</f>
        <v>352.1</v>
      </c>
      <c r="AG6">
        <f>SUM(Table1_1[[#This Row],[Clothing]:[Education]])</f>
        <v>1386.7</v>
      </c>
      <c r="AH6">
        <f>SUM(Table1_1[[#This Row],[Health]:[Personal care and effects]])</f>
        <v>222.3</v>
      </c>
      <c r="AI6">
        <f>SUM(Table1_1[[#This Row],[Recreation and amusement]:[Miscellaneous]])</f>
        <v>583.1</v>
      </c>
      <c r="AJ6">
        <f>SUM(Table1_1[[#This Row],[Fuel and light]])</f>
        <v>111.8</v>
      </c>
      <c r="AK6">
        <f>SUM(Table1_1[[#This Row],[Food]:[Luxury &amp;Other Thing]])</f>
        <v>4137.9000000000005</v>
      </c>
      <c r="AL6">
        <f>SUM(Table1_1[[#This Row],[Food]:[Luxury &amp;Other Thing]])</f>
        <v>4137.9000000000005</v>
      </c>
    </row>
    <row r="7" spans="1:38" x14ac:dyDescent="0.25">
      <c r="A7" t="s">
        <v>34</v>
      </c>
      <c r="B7" t="s">
        <v>42</v>
      </c>
      <c r="C7">
        <v>2014</v>
      </c>
      <c r="D7">
        <v>122.9</v>
      </c>
      <c r="E7">
        <v>123.5</v>
      </c>
      <c r="F7">
        <v>117.3</v>
      </c>
      <c r="G7">
        <v>122.7</v>
      </c>
      <c r="H7">
        <v>107.9</v>
      </c>
      <c r="I7">
        <v>127.3</v>
      </c>
      <c r="J7">
        <v>162.1</v>
      </c>
      <c r="K7">
        <v>115.6</v>
      </c>
      <c r="L7">
        <v>103.8</v>
      </c>
      <c r="M7">
        <v>117.6</v>
      </c>
      <c r="N7">
        <v>115.8</v>
      </c>
      <c r="O7">
        <v>123.8</v>
      </c>
      <c r="P7">
        <v>125.8</v>
      </c>
      <c r="Q7">
        <v>120.7</v>
      </c>
      <c r="R7">
        <v>117.2</v>
      </c>
      <c r="S7">
        <v>120.1</v>
      </c>
      <c r="T7">
        <v>116.1</v>
      </c>
      <c r="U7">
        <v>116.1</v>
      </c>
      <c r="V7">
        <v>113.7</v>
      </c>
      <c r="W7">
        <v>109.5</v>
      </c>
      <c r="X7">
        <v>112</v>
      </c>
      <c r="Y7">
        <v>113.1</v>
      </c>
      <c r="Z7">
        <v>120.8</v>
      </c>
      <c r="AA7">
        <v>114.3</v>
      </c>
      <c r="AB7">
        <v>118.6</v>
      </c>
      <c r="AC7">
        <v>113.7</v>
      </c>
      <c r="AD7">
        <v>120.1</v>
      </c>
      <c r="AE7">
        <f>SUM(Table1_1[[#This Row],[Cereals and products]:[Food and beverages]])</f>
        <v>1586.0999999999997</v>
      </c>
      <c r="AF7">
        <f>SUM(Table1_1[[#This Row],[Clothing and footwear]:[Clothing]])</f>
        <v>358</v>
      </c>
      <c r="AG7">
        <f>SUM(Table1_1[[#This Row],[Clothing]:[Education]])</f>
        <v>1392.1999999999998</v>
      </c>
      <c r="AH7">
        <f>SUM(Table1_1[[#This Row],[Health]:[Personal care and effects]])</f>
        <v>223.2</v>
      </c>
      <c r="AI7">
        <f>SUM(Table1_1[[#This Row],[Recreation and amusement]:[Miscellaneous]])</f>
        <v>580.5</v>
      </c>
      <c r="AJ7">
        <f>SUM(Table1_1[[#This Row],[Fuel and light]])</f>
        <v>114.3</v>
      </c>
      <c r="AK7">
        <f>SUM(Table1_1[[#This Row],[Food]:[Luxury &amp;Other Thing]])</f>
        <v>4139.9999999999991</v>
      </c>
      <c r="AL7">
        <f>SUM(Table1_1[[#This Row],[Food]:[Luxury &amp;Other Thing]])</f>
        <v>4139.9999999999991</v>
      </c>
    </row>
    <row r="8" spans="1:38" x14ac:dyDescent="0.25">
      <c r="A8" t="s">
        <v>30</v>
      </c>
      <c r="B8" t="s">
        <v>42</v>
      </c>
      <c r="C8">
        <v>2015</v>
      </c>
      <c r="D8">
        <v>125.1</v>
      </c>
      <c r="E8">
        <v>131.1</v>
      </c>
      <c r="F8">
        <v>120.7</v>
      </c>
      <c r="G8">
        <v>129.19999999999999</v>
      </c>
      <c r="H8">
        <v>114.7</v>
      </c>
      <c r="I8">
        <v>132.30000000000001</v>
      </c>
      <c r="J8">
        <v>158.9</v>
      </c>
      <c r="K8">
        <v>142.1</v>
      </c>
      <c r="L8">
        <v>92.5</v>
      </c>
      <c r="M8">
        <v>125.4</v>
      </c>
      <c r="N8">
        <v>121.9</v>
      </c>
      <c r="O8">
        <v>132.69999999999999</v>
      </c>
      <c r="P8">
        <v>131</v>
      </c>
      <c r="Q8">
        <v>130.4</v>
      </c>
      <c r="R8">
        <v>126.8</v>
      </c>
      <c r="S8">
        <v>129.9</v>
      </c>
      <c r="T8">
        <v>139.5</v>
      </c>
      <c r="U8">
        <v>124.5</v>
      </c>
      <c r="V8">
        <v>121.4</v>
      </c>
      <c r="W8">
        <v>113.7</v>
      </c>
      <c r="X8">
        <v>113.8</v>
      </c>
      <c r="Y8">
        <v>119.6</v>
      </c>
      <c r="Z8">
        <v>131</v>
      </c>
      <c r="AA8">
        <v>123.7</v>
      </c>
      <c r="AB8">
        <v>124.5</v>
      </c>
      <c r="AC8">
        <v>118.8</v>
      </c>
      <c r="AD8">
        <v>127</v>
      </c>
      <c r="AE8">
        <f>SUM(Table1_1[[#This Row],[Cereals and products]:[Food and beverages]])</f>
        <v>1657.6000000000001</v>
      </c>
      <c r="AF8">
        <f>SUM(Table1_1[[#This Row],[Clothing and footwear]:[Clothing]])</f>
        <v>387.1</v>
      </c>
      <c r="AG8">
        <f>SUM(Table1_1[[#This Row],[Clothing]:[Education]])</f>
        <v>1498.8</v>
      </c>
      <c r="AH8">
        <f>SUM(Table1_1[[#This Row],[Health]:[Personal care and effects]])</f>
        <v>235.10000000000002</v>
      </c>
      <c r="AI8">
        <f>SUM(Table1_1[[#This Row],[Recreation and amusement]:[Miscellaneous]])</f>
        <v>617.6</v>
      </c>
      <c r="AJ8">
        <f>SUM(Table1_1[[#This Row],[Fuel and light]])</f>
        <v>123.7</v>
      </c>
      <c r="AK8">
        <f>SUM(Table1_1[[#This Row],[Food]:[Luxury &amp;Other Thing]])</f>
        <v>4396.2</v>
      </c>
      <c r="AL8">
        <f>SUM(Table1_1[[#This Row],[Food]:[Luxury &amp;Other Thing]])</f>
        <v>4396.2</v>
      </c>
    </row>
    <row r="9" spans="1:38" x14ac:dyDescent="0.25">
      <c r="A9" t="s">
        <v>33</v>
      </c>
      <c r="B9" t="s">
        <v>42</v>
      </c>
      <c r="C9">
        <v>2015</v>
      </c>
      <c r="D9">
        <v>123.4</v>
      </c>
      <c r="E9">
        <v>129</v>
      </c>
      <c r="F9">
        <v>115.6</v>
      </c>
      <c r="G9">
        <v>128.30000000000001</v>
      </c>
      <c r="H9">
        <v>107</v>
      </c>
      <c r="I9">
        <v>124</v>
      </c>
      <c r="J9">
        <v>168.5</v>
      </c>
      <c r="K9">
        <v>165.4</v>
      </c>
      <c r="L9">
        <v>86.3</v>
      </c>
      <c r="M9">
        <v>134.4</v>
      </c>
      <c r="N9">
        <v>119.1</v>
      </c>
      <c r="O9">
        <v>132.30000000000001</v>
      </c>
      <c r="P9">
        <v>131.5</v>
      </c>
      <c r="Q9">
        <v>124</v>
      </c>
      <c r="R9">
        <v>118.6</v>
      </c>
      <c r="S9">
        <v>123.2</v>
      </c>
      <c r="T9">
        <v>121.6</v>
      </c>
      <c r="U9">
        <v>120.4</v>
      </c>
      <c r="V9">
        <v>117.1</v>
      </c>
      <c r="W9">
        <v>112.9</v>
      </c>
      <c r="X9">
        <v>109.1</v>
      </c>
      <c r="Y9">
        <v>117.3</v>
      </c>
      <c r="Z9">
        <v>134.69999999999999</v>
      </c>
      <c r="AA9">
        <v>115.1</v>
      </c>
      <c r="AB9">
        <v>126.5</v>
      </c>
      <c r="AC9">
        <v>116.2</v>
      </c>
      <c r="AD9">
        <v>123.5</v>
      </c>
      <c r="AE9">
        <f>SUM(Table1_1[[#This Row],[Cereals and products]:[Food and beverages]])</f>
        <v>1664.8</v>
      </c>
      <c r="AF9">
        <f>SUM(Table1_1[[#This Row],[Clothing and footwear]:[Clothing]])</f>
        <v>365.8</v>
      </c>
      <c r="AG9">
        <f>SUM(Table1_1[[#This Row],[Clothing]:[Education]])</f>
        <v>1440.5</v>
      </c>
      <c r="AH9">
        <f>SUM(Table1_1[[#This Row],[Health]:[Personal care and effects]])</f>
        <v>230</v>
      </c>
      <c r="AI9">
        <f>SUM(Table1_1[[#This Row],[Recreation and amusement]:[Miscellaneous]])</f>
        <v>609.80000000000007</v>
      </c>
      <c r="AJ9">
        <f>SUM(Table1_1[[#This Row],[Fuel and light]])</f>
        <v>115.1</v>
      </c>
      <c r="AK9">
        <f>SUM(Table1_1[[#This Row],[Food]:[Luxury &amp;Other Thing]])</f>
        <v>4310.8999999999996</v>
      </c>
      <c r="AL9">
        <f>SUM(Table1_1[[#This Row],[Food]:[Luxury &amp;Other Thing]])</f>
        <v>4310.8999999999996</v>
      </c>
    </row>
    <row r="10" spans="1:38" x14ac:dyDescent="0.25">
      <c r="A10" t="s">
        <v>34</v>
      </c>
      <c r="B10" t="s">
        <v>42</v>
      </c>
      <c r="C10">
        <v>2015</v>
      </c>
      <c r="D10">
        <v>124.6</v>
      </c>
      <c r="E10">
        <v>130.4</v>
      </c>
      <c r="F10">
        <v>118.7</v>
      </c>
      <c r="G10">
        <v>128.9</v>
      </c>
      <c r="H10">
        <v>111.9</v>
      </c>
      <c r="I10">
        <v>128.4</v>
      </c>
      <c r="J10">
        <v>162.19999999999999</v>
      </c>
      <c r="K10">
        <v>150</v>
      </c>
      <c r="L10">
        <v>90.4</v>
      </c>
      <c r="M10">
        <v>128.4</v>
      </c>
      <c r="N10">
        <v>120.7</v>
      </c>
      <c r="O10">
        <v>132.5</v>
      </c>
      <c r="P10">
        <v>131.19999999999999</v>
      </c>
      <c r="Q10">
        <v>127.9</v>
      </c>
      <c r="R10">
        <v>123.4</v>
      </c>
      <c r="S10">
        <v>127.2</v>
      </c>
      <c r="T10">
        <v>121.6</v>
      </c>
      <c r="U10">
        <v>122.6</v>
      </c>
      <c r="V10">
        <v>119.8</v>
      </c>
      <c r="W10">
        <v>113.4</v>
      </c>
      <c r="X10">
        <v>111.3</v>
      </c>
      <c r="Y10">
        <v>118.3</v>
      </c>
      <c r="Z10">
        <v>132</v>
      </c>
      <c r="AA10">
        <v>120.4</v>
      </c>
      <c r="AB10">
        <v>125.7</v>
      </c>
      <c r="AC10">
        <v>117.5</v>
      </c>
      <c r="AD10">
        <v>125.4</v>
      </c>
      <c r="AE10">
        <f>SUM(Table1_1[[#This Row],[Cereals and products]:[Food and beverages]])</f>
        <v>1658.3000000000002</v>
      </c>
      <c r="AF10">
        <f>SUM(Table1_1[[#This Row],[Clothing and footwear]:[Clothing]])</f>
        <v>378.5</v>
      </c>
      <c r="AG10">
        <f>SUM(Table1_1[[#This Row],[Clothing]:[Education]])</f>
        <v>1463.6000000000001</v>
      </c>
      <c r="AH10">
        <f>SUM(Table1_1[[#This Row],[Health]:[Personal care and effects]])</f>
        <v>233.2</v>
      </c>
      <c r="AI10">
        <f>SUM(Table1_1[[#This Row],[Recreation and amusement]:[Miscellaneous]])</f>
        <v>613.90000000000009</v>
      </c>
      <c r="AJ10">
        <f>SUM(Table1_1[[#This Row],[Fuel and light]])</f>
        <v>120.4</v>
      </c>
      <c r="AK10">
        <f>SUM(Table1_1[[#This Row],[Food]:[Luxury &amp;Other Thing]])</f>
        <v>4347.5</v>
      </c>
      <c r="AL10">
        <f>SUM(Table1_1[[#This Row],[Food]:[Luxury &amp;Other Thing]])</f>
        <v>4347.5</v>
      </c>
    </row>
    <row r="11" spans="1:38" x14ac:dyDescent="0.25">
      <c r="A11" t="s">
        <v>30</v>
      </c>
      <c r="B11" t="s">
        <v>42</v>
      </c>
      <c r="C11">
        <v>2016</v>
      </c>
      <c r="D11">
        <v>130.80000000000001</v>
      </c>
      <c r="E11">
        <v>138.19999999999999</v>
      </c>
      <c r="F11">
        <v>130.5</v>
      </c>
      <c r="G11">
        <v>135.5</v>
      </c>
      <c r="H11">
        <v>120.2</v>
      </c>
      <c r="I11">
        <v>139.19999999999999</v>
      </c>
      <c r="J11">
        <v>149.5</v>
      </c>
      <c r="K11">
        <v>170.4</v>
      </c>
      <c r="L11">
        <v>113.1</v>
      </c>
      <c r="M11">
        <v>135.80000000000001</v>
      </c>
      <c r="N11">
        <v>128.80000000000001</v>
      </c>
      <c r="O11">
        <v>141.5</v>
      </c>
      <c r="P11">
        <v>137.19999999999999</v>
      </c>
      <c r="Q11">
        <v>138.5</v>
      </c>
      <c r="R11">
        <v>133.5</v>
      </c>
      <c r="S11">
        <v>137.80000000000001</v>
      </c>
      <c r="T11">
        <v>139.5</v>
      </c>
      <c r="U11">
        <v>131.1</v>
      </c>
      <c r="V11">
        <v>127.8</v>
      </c>
      <c r="W11">
        <v>122.8</v>
      </c>
      <c r="X11">
        <v>117</v>
      </c>
      <c r="Y11">
        <v>125.7</v>
      </c>
      <c r="Z11">
        <v>139.9</v>
      </c>
      <c r="AA11">
        <v>129.69999999999999</v>
      </c>
      <c r="AB11">
        <v>132.19999999999999</v>
      </c>
      <c r="AC11">
        <v>124.9</v>
      </c>
      <c r="AD11">
        <v>133.4</v>
      </c>
      <c r="AE11">
        <f>SUM(Table1_1[[#This Row],[Cereals and products]:[Food and beverages]])</f>
        <v>1770.7</v>
      </c>
      <c r="AF11">
        <f>SUM(Table1_1[[#This Row],[Clothing and footwear]:[Clothing]])</f>
        <v>409.8</v>
      </c>
      <c r="AG11">
        <f>SUM(Table1_1[[#This Row],[Clothing]:[Education]])</f>
        <v>1575.5000000000002</v>
      </c>
      <c r="AH11">
        <f>SUM(Table1_1[[#This Row],[Health]:[Personal care and effects]])</f>
        <v>250.6</v>
      </c>
      <c r="AI11">
        <f>SUM(Table1_1[[#This Row],[Recreation and amusement]:[Miscellaneous]])</f>
        <v>652.4</v>
      </c>
      <c r="AJ11">
        <f>SUM(Table1_1[[#This Row],[Fuel and light]])</f>
        <v>129.69999999999999</v>
      </c>
      <c r="AK11">
        <f>SUM(Table1_1[[#This Row],[Food]:[Luxury &amp;Other Thing]])</f>
        <v>4659</v>
      </c>
      <c r="AL11">
        <f>SUM(Table1_1[[#This Row],[Food]:[Luxury &amp;Other Thing]])</f>
        <v>4659</v>
      </c>
    </row>
    <row r="12" spans="1:38" x14ac:dyDescent="0.25">
      <c r="A12" t="s">
        <v>33</v>
      </c>
      <c r="B12" t="s">
        <v>42</v>
      </c>
      <c r="C12">
        <v>2016</v>
      </c>
      <c r="D12">
        <v>128.1</v>
      </c>
      <c r="E12">
        <v>137.69999999999999</v>
      </c>
      <c r="F12">
        <v>130.6</v>
      </c>
      <c r="G12">
        <v>132.6</v>
      </c>
      <c r="H12">
        <v>111.9</v>
      </c>
      <c r="I12">
        <v>132.5</v>
      </c>
      <c r="J12">
        <v>152.9</v>
      </c>
      <c r="K12">
        <v>173.6</v>
      </c>
      <c r="L12">
        <v>115.1</v>
      </c>
      <c r="M12">
        <v>144.80000000000001</v>
      </c>
      <c r="N12">
        <v>122.1</v>
      </c>
      <c r="O12">
        <v>138.80000000000001</v>
      </c>
      <c r="P12">
        <v>135.69999999999999</v>
      </c>
      <c r="Q12">
        <v>128.69999999999999</v>
      </c>
      <c r="R12">
        <v>121.6</v>
      </c>
      <c r="S12">
        <v>127.7</v>
      </c>
      <c r="T12">
        <v>127.9</v>
      </c>
      <c r="U12">
        <v>124.3</v>
      </c>
      <c r="V12">
        <v>121.4</v>
      </c>
      <c r="W12">
        <v>121.2</v>
      </c>
      <c r="X12">
        <v>111.8</v>
      </c>
      <c r="Y12">
        <v>120.8</v>
      </c>
      <c r="Z12">
        <v>143.9</v>
      </c>
      <c r="AA12">
        <v>114.8</v>
      </c>
      <c r="AB12">
        <v>131.6</v>
      </c>
      <c r="AC12">
        <v>120.5</v>
      </c>
      <c r="AD12">
        <v>128</v>
      </c>
      <c r="AE12">
        <f>SUM(Table1_1[[#This Row],[Cereals and products]:[Food and beverages]])</f>
        <v>1756.3999999999996</v>
      </c>
      <c r="AF12">
        <f>SUM(Table1_1[[#This Row],[Clothing and footwear]:[Clothing]])</f>
        <v>378</v>
      </c>
      <c r="AG12">
        <f>SUM(Table1_1[[#This Row],[Clothing]:[Education]])</f>
        <v>1495.6999999999998</v>
      </c>
      <c r="AH12">
        <f>SUM(Table1_1[[#This Row],[Health]:[Personal care and effects]])</f>
        <v>242.60000000000002</v>
      </c>
      <c r="AI12">
        <f>SUM(Table1_1[[#This Row],[Recreation and amusement]:[Miscellaneous]])</f>
        <v>631.6</v>
      </c>
      <c r="AJ12">
        <f>SUM(Table1_1[[#This Row],[Fuel and light]])</f>
        <v>114.8</v>
      </c>
      <c r="AK12">
        <f>SUM(Table1_1[[#This Row],[Food]:[Luxury &amp;Other Thing]])</f>
        <v>4504.2999999999993</v>
      </c>
      <c r="AL12">
        <f>SUM(Table1_1[[#This Row],[Food]:[Luxury &amp;Other Thing]])</f>
        <v>4504.2999999999993</v>
      </c>
    </row>
    <row r="13" spans="1:38" x14ac:dyDescent="0.25">
      <c r="A13" t="s">
        <v>34</v>
      </c>
      <c r="B13" t="s">
        <v>42</v>
      </c>
      <c r="C13">
        <v>2016</v>
      </c>
      <c r="D13">
        <v>129.9</v>
      </c>
      <c r="E13">
        <v>138</v>
      </c>
      <c r="F13">
        <v>130.5</v>
      </c>
      <c r="G13">
        <v>134.4</v>
      </c>
      <c r="H13">
        <v>117.2</v>
      </c>
      <c r="I13">
        <v>136.1</v>
      </c>
      <c r="J13">
        <v>150.69999999999999</v>
      </c>
      <c r="K13">
        <v>171.5</v>
      </c>
      <c r="L13">
        <v>113.8</v>
      </c>
      <c r="M13">
        <v>138.80000000000001</v>
      </c>
      <c r="N13">
        <v>126</v>
      </c>
      <c r="O13">
        <v>140.19999999999999</v>
      </c>
      <c r="P13">
        <v>136.6</v>
      </c>
      <c r="Q13">
        <v>134.6</v>
      </c>
      <c r="R13">
        <v>128.6</v>
      </c>
      <c r="S13">
        <v>133.80000000000001</v>
      </c>
      <c r="T13">
        <v>127.9</v>
      </c>
      <c r="U13">
        <v>127.9</v>
      </c>
      <c r="V13">
        <v>125.4</v>
      </c>
      <c r="W13">
        <v>122.1</v>
      </c>
      <c r="X13">
        <v>114.3</v>
      </c>
      <c r="Y13">
        <v>122.9</v>
      </c>
      <c r="Z13">
        <v>141</v>
      </c>
      <c r="AA13">
        <v>124.1</v>
      </c>
      <c r="AB13">
        <v>131.80000000000001</v>
      </c>
      <c r="AC13">
        <v>122.8</v>
      </c>
      <c r="AD13">
        <v>130.9</v>
      </c>
      <c r="AE13">
        <f>SUM(Table1_1[[#This Row],[Cereals and products]:[Food and beverages]])</f>
        <v>1763.6999999999998</v>
      </c>
      <c r="AF13">
        <f>SUM(Table1_1[[#This Row],[Clothing and footwear]:[Clothing]])</f>
        <v>397</v>
      </c>
      <c r="AG13">
        <f>SUM(Table1_1[[#This Row],[Clothing]:[Education]])</f>
        <v>1534.3999999999999</v>
      </c>
      <c r="AH13">
        <f>SUM(Table1_1[[#This Row],[Health]:[Personal care and effects]])</f>
        <v>247.5</v>
      </c>
      <c r="AI13">
        <f>SUM(Table1_1[[#This Row],[Recreation and amusement]:[Miscellaneous]])</f>
        <v>642.59999999999991</v>
      </c>
      <c r="AJ13">
        <f>SUM(Table1_1[[#This Row],[Fuel and light]])</f>
        <v>124.1</v>
      </c>
      <c r="AK13">
        <f>SUM(Table1_1[[#This Row],[Food]:[Luxury &amp;Other Thing]])</f>
        <v>4585.1999999999989</v>
      </c>
      <c r="AL13">
        <f>SUM(Table1_1[[#This Row],[Food]:[Luxury &amp;Other Thing]])</f>
        <v>4585.1999999999989</v>
      </c>
    </row>
    <row r="14" spans="1:38" x14ac:dyDescent="0.25">
      <c r="A14" t="s">
        <v>30</v>
      </c>
      <c r="B14" t="s">
        <v>42</v>
      </c>
      <c r="C14">
        <v>2017</v>
      </c>
      <c r="D14">
        <v>135.19999999999999</v>
      </c>
      <c r="E14">
        <v>142</v>
      </c>
      <c r="F14">
        <v>130.5</v>
      </c>
      <c r="G14">
        <v>140.19999999999999</v>
      </c>
      <c r="H14">
        <v>120.7</v>
      </c>
      <c r="I14">
        <v>147.80000000000001</v>
      </c>
      <c r="J14">
        <v>154.5</v>
      </c>
      <c r="K14">
        <v>137.1</v>
      </c>
      <c r="L14">
        <v>121</v>
      </c>
      <c r="M14">
        <v>134.69999999999999</v>
      </c>
      <c r="N14">
        <v>131.69999999999999</v>
      </c>
      <c r="O14">
        <v>149.30000000000001</v>
      </c>
      <c r="P14">
        <v>139.6</v>
      </c>
      <c r="Q14">
        <v>146.1</v>
      </c>
      <c r="R14">
        <v>139.69999999999999</v>
      </c>
      <c r="S14">
        <v>145.19999999999999</v>
      </c>
      <c r="T14">
        <v>139.5</v>
      </c>
      <c r="U14">
        <v>137.9</v>
      </c>
      <c r="V14">
        <v>133.4</v>
      </c>
      <c r="W14">
        <v>126.7</v>
      </c>
      <c r="X14">
        <v>121.2</v>
      </c>
      <c r="Y14">
        <v>132.30000000000001</v>
      </c>
      <c r="Z14">
        <v>149.80000000000001</v>
      </c>
      <c r="AA14">
        <v>137.4</v>
      </c>
      <c r="AB14">
        <v>139.6</v>
      </c>
      <c r="AC14">
        <v>130.30000000000001</v>
      </c>
      <c r="AD14">
        <v>137.6</v>
      </c>
      <c r="AE14">
        <f>SUM(Table1_1[[#This Row],[Cereals and products]:[Food and beverages]])</f>
        <v>1784.3</v>
      </c>
      <c r="AF14">
        <f>SUM(Table1_1[[#This Row],[Clothing and footwear]:[Clothing]])</f>
        <v>430.99999999999994</v>
      </c>
      <c r="AG14">
        <f>SUM(Table1_1[[#This Row],[Clothing]:[Education]])</f>
        <v>1648.8</v>
      </c>
      <c r="AH14">
        <f>SUM(Table1_1[[#This Row],[Health]:[Personal care and effects]])</f>
        <v>260.10000000000002</v>
      </c>
      <c r="AI14">
        <f>SUM(Table1_1[[#This Row],[Recreation and amusement]:[Miscellaneous]])</f>
        <v>689.40000000000009</v>
      </c>
      <c r="AJ14">
        <f>SUM(Table1_1[[#This Row],[Fuel and light]])</f>
        <v>137.4</v>
      </c>
      <c r="AK14">
        <f>SUM(Table1_1[[#This Row],[Food]:[Luxury &amp;Other Thing]])</f>
        <v>4813.6000000000004</v>
      </c>
      <c r="AL14">
        <f>SUM(Table1_1[[#This Row],[Food]:[Luxury &amp;Other Thing]])</f>
        <v>4813.6000000000004</v>
      </c>
    </row>
    <row r="15" spans="1:38" x14ac:dyDescent="0.25">
      <c r="A15" t="s">
        <v>33</v>
      </c>
      <c r="B15" t="s">
        <v>42</v>
      </c>
      <c r="C15">
        <v>2017</v>
      </c>
      <c r="D15">
        <v>133.6</v>
      </c>
      <c r="E15">
        <v>143</v>
      </c>
      <c r="F15">
        <v>129.69999999999999</v>
      </c>
      <c r="G15">
        <v>138.69999999999999</v>
      </c>
      <c r="H15">
        <v>114.5</v>
      </c>
      <c r="I15">
        <v>137.5</v>
      </c>
      <c r="J15">
        <v>160.69999999999999</v>
      </c>
      <c r="K15">
        <v>124.5</v>
      </c>
      <c r="L15">
        <v>122.4</v>
      </c>
      <c r="M15">
        <v>137.30000000000001</v>
      </c>
      <c r="N15">
        <v>124.8</v>
      </c>
      <c r="O15">
        <v>145</v>
      </c>
      <c r="P15">
        <v>138</v>
      </c>
      <c r="Q15">
        <v>133.30000000000001</v>
      </c>
      <c r="R15">
        <v>124.6</v>
      </c>
      <c r="S15">
        <v>132</v>
      </c>
      <c r="T15">
        <v>135.69999999999999</v>
      </c>
      <c r="U15">
        <v>128.1</v>
      </c>
      <c r="V15">
        <v>126.1</v>
      </c>
      <c r="W15">
        <v>124.4</v>
      </c>
      <c r="X15">
        <v>115.7</v>
      </c>
      <c r="Y15">
        <v>124.5</v>
      </c>
      <c r="Z15">
        <v>153.6</v>
      </c>
      <c r="AA15">
        <v>120.6</v>
      </c>
      <c r="AB15">
        <v>135.9</v>
      </c>
      <c r="AC15">
        <v>124.5</v>
      </c>
      <c r="AD15">
        <v>132.4</v>
      </c>
      <c r="AE15">
        <f>SUM(Table1_1[[#This Row],[Cereals and products]:[Food and beverages]])</f>
        <v>1749.7</v>
      </c>
      <c r="AF15">
        <f>SUM(Table1_1[[#This Row],[Clothing and footwear]:[Clothing]])</f>
        <v>389.9</v>
      </c>
      <c r="AG15">
        <f>SUM(Table1_1[[#This Row],[Clothing]:[Education]])</f>
        <v>1554.5</v>
      </c>
      <c r="AH15">
        <f>SUM(Table1_1[[#This Row],[Health]:[Personal care and effects]])</f>
        <v>250.5</v>
      </c>
      <c r="AI15">
        <f>SUM(Table1_1[[#This Row],[Recreation and amusement]:[Miscellaneous]])</f>
        <v>659.1</v>
      </c>
      <c r="AJ15">
        <f>SUM(Table1_1[[#This Row],[Fuel and light]])</f>
        <v>120.6</v>
      </c>
      <c r="AK15">
        <f>SUM(Table1_1[[#This Row],[Food]:[Luxury &amp;Other Thing]])</f>
        <v>4603.7</v>
      </c>
      <c r="AL15">
        <f>SUM(Table1_1[[#This Row],[Food]:[Luxury &amp;Other Thing]])</f>
        <v>4603.7</v>
      </c>
    </row>
    <row r="16" spans="1:38" x14ac:dyDescent="0.25">
      <c r="A16" t="s">
        <v>34</v>
      </c>
      <c r="B16" t="s">
        <v>42</v>
      </c>
      <c r="C16">
        <v>2017</v>
      </c>
      <c r="D16">
        <v>134.69999999999999</v>
      </c>
      <c r="E16">
        <v>142.4</v>
      </c>
      <c r="F16">
        <v>130.19999999999999</v>
      </c>
      <c r="G16">
        <v>139.6</v>
      </c>
      <c r="H16">
        <v>118.4</v>
      </c>
      <c r="I16">
        <v>143</v>
      </c>
      <c r="J16">
        <v>156.6</v>
      </c>
      <c r="K16">
        <v>132.9</v>
      </c>
      <c r="L16">
        <v>121.5</v>
      </c>
      <c r="M16">
        <v>135.6</v>
      </c>
      <c r="N16">
        <v>128.80000000000001</v>
      </c>
      <c r="O16">
        <v>147.30000000000001</v>
      </c>
      <c r="P16">
        <v>139</v>
      </c>
      <c r="Q16">
        <v>141.1</v>
      </c>
      <c r="R16">
        <v>133.4</v>
      </c>
      <c r="S16">
        <v>140</v>
      </c>
      <c r="T16">
        <v>135.69999999999999</v>
      </c>
      <c r="U16">
        <v>133.30000000000001</v>
      </c>
      <c r="V16">
        <v>130.6</v>
      </c>
      <c r="W16">
        <v>125.7</v>
      </c>
      <c r="X16">
        <v>118.3</v>
      </c>
      <c r="Y16">
        <v>127.9</v>
      </c>
      <c r="Z16">
        <v>150.80000000000001</v>
      </c>
      <c r="AA16">
        <v>131</v>
      </c>
      <c r="AB16">
        <v>137.4</v>
      </c>
      <c r="AC16">
        <v>127.5</v>
      </c>
      <c r="AD16">
        <v>135.19999999999999</v>
      </c>
      <c r="AE16">
        <f>SUM(Table1_1[[#This Row],[Cereals and products]:[Food and beverages]])</f>
        <v>1769.9999999999998</v>
      </c>
      <c r="AF16">
        <f>SUM(Table1_1[[#This Row],[Clothing and footwear]:[Clothing]])</f>
        <v>414.5</v>
      </c>
      <c r="AG16">
        <f>SUM(Table1_1[[#This Row],[Clothing]:[Education]])</f>
        <v>1605.2000000000003</v>
      </c>
      <c r="AH16">
        <f>SUM(Table1_1[[#This Row],[Health]:[Personal care and effects]])</f>
        <v>256.3</v>
      </c>
      <c r="AI16">
        <f>SUM(Table1_1[[#This Row],[Recreation and amusement]:[Miscellaneous]])</f>
        <v>674.6</v>
      </c>
      <c r="AJ16">
        <f>SUM(Table1_1[[#This Row],[Fuel and light]])</f>
        <v>131</v>
      </c>
      <c r="AK16">
        <f>SUM(Table1_1[[#This Row],[Food]:[Luxury &amp;Other Thing]])</f>
        <v>4720.6000000000004</v>
      </c>
      <c r="AL16">
        <f>SUM(Table1_1[[#This Row],[Food]:[Luxury &amp;Other Thing]])</f>
        <v>4720.6000000000004</v>
      </c>
    </row>
    <row r="17" spans="1:38" x14ac:dyDescent="0.25">
      <c r="A17" t="s">
        <v>30</v>
      </c>
      <c r="B17" t="s">
        <v>42</v>
      </c>
      <c r="C17">
        <v>2018</v>
      </c>
      <c r="D17">
        <v>139.4</v>
      </c>
      <c r="E17">
        <v>147.19999999999999</v>
      </c>
      <c r="F17">
        <v>136.6</v>
      </c>
      <c r="G17">
        <v>143.69999999999999</v>
      </c>
      <c r="H17">
        <v>124.6</v>
      </c>
      <c r="I17">
        <v>150.1</v>
      </c>
      <c r="J17">
        <v>149.4</v>
      </c>
      <c r="K17">
        <v>125.4</v>
      </c>
      <c r="L17">
        <v>114.4</v>
      </c>
      <c r="M17">
        <v>138.69999999999999</v>
      </c>
      <c r="N17">
        <v>133.1</v>
      </c>
      <c r="O17">
        <v>155.9</v>
      </c>
      <c r="P17">
        <v>141.30000000000001</v>
      </c>
      <c r="Q17">
        <v>152.1</v>
      </c>
      <c r="R17">
        <v>146.1</v>
      </c>
      <c r="S17">
        <v>151.30000000000001</v>
      </c>
      <c r="T17">
        <v>139.5</v>
      </c>
      <c r="U17">
        <v>144</v>
      </c>
      <c r="V17">
        <v>140</v>
      </c>
      <c r="W17">
        <v>132</v>
      </c>
      <c r="X17">
        <v>129.9</v>
      </c>
      <c r="Y17">
        <v>140</v>
      </c>
      <c r="Z17">
        <v>157.69999999999999</v>
      </c>
      <c r="AA17">
        <v>149</v>
      </c>
      <c r="AB17">
        <v>147.6</v>
      </c>
      <c r="AC17">
        <v>137.4</v>
      </c>
      <c r="AD17">
        <v>142.1</v>
      </c>
      <c r="AE17">
        <f>SUM(Table1_1[[#This Row],[Cereals and products]:[Food and beverages]])</f>
        <v>1799.8000000000002</v>
      </c>
      <c r="AF17">
        <f>SUM(Table1_1[[#This Row],[Clothing and footwear]:[Clothing]])</f>
        <v>449.5</v>
      </c>
      <c r="AG17">
        <f>SUM(Table1_1[[#This Row],[Clothing]:[Education]])</f>
        <v>1729.2</v>
      </c>
      <c r="AH17">
        <f>SUM(Table1_1[[#This Row],[Health]:[Personal care and effects]])</f>
        <v>272</v>
      </c>
      <c r="AI17">
        <f>SUM(Table1_1[[#This Row],[Recreation and amusement]:[Miscellaneous]])</f>
        <v>731.69999999999993</v>
      </c>
      <c r="AJ17">
        <f>SUM(Table1_1[[#This Row],[Fuel and light]])</f>
        <v>149</v>
      </c>
      <c r="AK17">
        <f>SUM(Table1_1[[#This Row],[Food]:[Luxury &amp;Other Thing]])</f>
        <v>4982.2</v>
      </c>
      <c r="AL17">
        <f>SUM(Table1_1[[#This Row],[Food]:[Luxury &amp;Other Thing]])</f>
        <v>4982.2</v>
      </c>
    </row>
    <row r="18" spans="1:38" x14ac:dyDescent="0.25">
      <c r="A18" t="s">
        <v>33</v>
      </c>
      <c r="B18" t="s">
        <v>42</v>
      </c>
      <c r="C18">
        <v>2018</v>
      </c>
      <c r="D18">
        <v>137</v>
      </c>
      <c r="E18">
        <v>143.1</v>
      </c>
      <c r="F18">
        <v>132.80000000000001</v>
      </c>
      <c r="G18">
        <v>141.5</v>
      </c>
      <c r="H18">
        <v>117.8</v>
      </c>
      <c r="I18">
        <v>140</v>
      </c>
      <c r="J18">
        <v>151.30000000000001</v>
      </c>
      <c r="K18">
        <v>113.5</v>
      </c>
      <c r="L18">
        <v>112.3</v>
      </c>
      <c r="M18">
        <v>141.19999999999999</v>
      </c>
      <c r="N18">
        <v>127.7</v>
      </c>
      <c r="O18">
        <v>151.30000000000001</v>
      </c>
      <c r="P18">
        <v>138.9</v>
      </c>
      <c r="Q18">
        <v>140.80000000000001</v>
      </c>
      <c r="R18">
        <v>129.30000000000001</v>
      </c>
      <c r="S18">
        <v>139.1</v>
      </c>
      <c r="T18">
        <v>145.30000000000001</v>
      </c>
      <c r="U18">
        <v>134.9</v>
      </c>
      <c r="V18">
        <v>135.69999999999999</v>
      </c>
      <c r="W18">
        <v>129.30000000000001</v>
      </c>
      <c r="X18">
        <v>122.5</v>
      </c>
      <c r="Y18">
        <v>130.19999999999999</v>
      </c>
      <c r="Z18">
        <v>163.30000000000001</v>
      </c>
      <c r="AA18">
        <v>131.19999999999999</v>
      </c>
      <c r="AB18">
        <v>145.19999999999999</v>
      </c>
      <c r="AC18">
        <v>131.9</v>
      </c>
      <c r="AD18">
        <v>138.1</v>
      </c>
      <c r="AE18">
        <f>SUM(Table1_1[[#This Row],[Cereals and products]:[Food and beverages]])</f>
        <v>1748.4</v>
      </c>
      <c r="AF18">
        <f>SUM(Table1_1[[#This Row],[Clothing and footwear]:[Clothing]])</f>
        <v>409.20000000000005</v>
      </c>
      <c r="AG18">
        <f>SUM(Table1_1[[#This Row],[Clothing]:[Education]])</f>
        <v>1646.8</v>
      </c>
      <c r="AH18">
        <f>SUM(Table1_1[[#This Row],[Health]:[Personal care and effects]])</f>
        <v>265</v>
      </c>
      <c r="AI18">
        <f>SUM(Table1_1[[#This Row],[Recreation and amusement]:[Miscellaneous]])</f>
        <v>701.8</v>
      </c>
      <c r="AJ18">
        <f>SUM(Table1_1[[#This Row],[Fuel and light]])</f>
        <v>131.19999999999999</v>
      </c>
      <c r="AK18">
        <f>SUM(Table1_1[[#This Row],[Food]:[Luxury &amp;Other Thing]])</f>
        <v>4771.2000000000007</v>
      </c>
      <c r="AL18">
        <f>SUM(Table1_1[[#This Row],[Food]:[Luxury &amp;Other Thing]])</f>
        <v>4771.2000000000007</v>
      </c>
    </row>
    <row r="19" spans="1:38" x14ac:dyDescent="0.25">
      <c r="A19" t="s">
        <v>34</v>
      </c>
      <c r="B19" t="s">
        <v>42</v>
      </c>
      <c r="C19">
        <v>2018</v>
      </c>
      <c r="D19">
        <v>138.6</v>
      </c>
      <c r="E19">
        <v>145.80000000000001</v>
      </c>
      <c r="F19">
        <v>135.1</v>
      </c>
      <c r="G19">
        <v>142.9</v>
      </c>
      <c r="H19">
        <v>122.1</v>
      </c>
      <c r="I19">
        <v>145.4</v>
      </c>
      <c r="J19">
        <v>150</v>
      </c>
      <c r="K19">
        <v>121.4</v>
      </c>
      <c r="L19">
        <v>113.7</v>
      </c>
      <c r="M19">
        <v>139.5</v>
      </c>
      <c r="N19">
        <v>130.80000000000001</v>
      </c>
      <c r="O19">
        <v>153.80000000000001</v>
      </c>
      <c r="P19">
        <v>140.4</v>
      </c>
      <c r="Q19">
        <v>147.69999999999999</v>
      </c>
      <c r="R19">
        <v>139.1</v>
      </c>
      <c r="S19">
        <v>146.5</v>
      </c>
      <c r="T19">
        <v>145.30000000000001</v>
      </c>
      <c r="U19">
        <v>139.69999999999999</v>
      </c>
      <c r="V19">
        <v>138.4</v>
      </c>
      <c r="W19">
        <v>130.9</v>
      </c>
      <c r="X19">
        <v>126</v>
      </c>
      <c r="Y19">
        <v>134.5</v>
      </c>
      <c r="Z19">
        <v>159.19999999999999</v>
      </c>
      <c r="AA19">
        <v>142.30000000000001</v>
      </c>
      <c r="AB19">
        <v>146.19999999999999</v>
      </c>
      <c r="AC19">
        <v>134.69999999999999</v>
      </c>
      <c r="AD19">
        <v>140.19999999999999</v>
      </c>
      <c r="AE19">
        <f>SUM(Table1_1[[#This Row],[Cereals and products]:[Food and beverages]])</f>
        <v>1779.5</v>
      </c>
      <c r="AF19">
        <f>SUM(Table1_1[[#This Row],[Clothing and footwear]:[Clothing]])</f>
        <v>433.29999999999995</v>
      </c>
      <c r="AG19">
        <f>SUM(Table1_1[[#This Row],[Clothing]:[Education]])</f>
        <v>1695.8</v>
      </c>
      <c r="AH19">
        <f>SUM(Table1_1[[#This Row],[Health]:[Personal care and effects]])</f>
        <v>269.3</v>
      </c>
      <c r="AI19">
        <f>SUM(Table1_1[[#This Row],[Recreation and amusement]:[Miscellaneous]])</f>
        <v>716.90000000000009</v>
      </c>
      <c r="AJ19">
        <f>SUM(Table1_1[[#This Row],[Fuel and light]])</f>
        <v>142.30000000000001</v>
      </c>
      <c r="AK19">
        <f>SUM(Table1_1[[#This Row],[Food]:[Luxury &amp;Other Thing]])</f>
        <v>4894.8000000000011</v>
      </c>
      <c r="AL19">
        <f>SUM(Table1_1[[#This Row],[Food]:[Luxury &amp;Other Thing]])</f>
        <v>4894.8000000000011</v>
      </c>
    </row>
    <row r="20" spans="1:38" x14ac:dyDescent="0.25">
      <c r="A20" t="s">
        <v>30</v>
      </c>
      <c r="B20" t="s">
        <v>42</v>
      </c>
      <c r="C20">
        <v>2019</v>
      </c>
      <c r="D20">
        <v>140.1</v>
      </c>
      <c r="E20">
        <v>161.9</v>
      </c>
      <c r="F20">
        <v>138.30000000000001</v>
      </c>
      <c r="G20">
        <v>145.69999999999999</v>
      </c>
      <c r="H20">
        <v>125.1</v>
      </c>
      <c r="I20">
        <v>143.80000000000001</v>
      </c>
      <c r="J20">
        <v>163.4</v>
      </c>
      <c r="K20">
        <v>132.19999999999999</v>
      </c>
      <c r="L20">
        <v>112.8</v>
      </c>
      <c r="M20">
        <v>144.19999999999999</v>
      </c>
      <c r="N20">
        <v>138.5</v>
      </c>
      <c r="O20">
        <v>157.19999999999999</v>
      </c>
      <c r="P20">
        <v>145.5</v>
      </c>
      <c r="Q20">
        <v>151.69999999999999</v>
      </c>
      <c r="R20">
        <v>146.6</v>
      </c>
      <c r="S20">
        <v>151</v>
      </c>
      <c r="T20">
        <v>139.5</v>
      </c>
      <c r="U20">
        <v>150.30000000000001</v>
      </c>
      <c r="V20">
        <v>153.4</v>
      </c>
      <c r="W20">
        <v>140.19999999999999</v>
      </c>
      <c r="X20">
        <v>131.6</v>
      </c>
      <c r="Y20">
        <v>148.30000000000001</v>
      </c>
      <c r="Z20">
        <v>165.7</v>
      </c>
      <c r="AA20">
        <v>146.9</v>
      </c>
      <c r="AB20">
        <v>160.19999999999999</v>
      </c>
      <c r="AC20">
        <v>145.4</v>
      </c>
      <c r="AD20">
        <v>146.69999999999999</v>
      </c>
      <c r="AE20">
        <f>SUM(Table1_1[[#This Row],[Cereals and products]:[Food and beverages]])</f>
        <v>1848.7</v>
      </c>
      <c r="AF20">
        <f>SUM(Table1_1[[#This Row],[Clothing and footwear]:[Clothing]])</f>
        <v>449.29999999999995</v>
      </c>
      <c r="AG20">
        <f>SUM(Table1_1[[#This Row],[Clothing]:[Education]])</f>
        <v>1785.3999999999999</v>
      </c>
      <c r="AH20">
        <f>SUM(Table1_1[[#This Row],[Health]:[Personal care and effects]])</f>
        <v>293.60000000000002</v>
      </c>
      <c r="AI20">
        <f>SUM(Table1_1[[#This Row],[Recreation and amusement]:[Miscellaneous]])</f>
        <v>766.49999999999989</v>
      </c>
      <c r="AJ20">
        <f>SUM(Table1_1[[#This Row],[Fuel and light]])</f>
        <v>146.9</v>
      </c>
      <c r="AK20">
        <f>SUM(Table1_1[[#This Row],[Food]:[Luxury &amp;Other Thing]])</f>
        <v>5143.5</v>
      </c>
      <c r="AL20">
        <f>SUM(Table1_1[[#This Row],[Food]:[Luxury &amp;Other Thing]])</f>
        <v>5143.5</v>
      </c>
    </row>
    <row r="21" spans="1:38" x14ac:dyDescent="0.25">
      <c r="A21" t="s">
        <v>33</v>
      </c>
      <c r="B21" t="s">
        <v>42</v>
      </c>
      <c r="C21">
        <v>2019</v>
      </c>
      <c r="D21">
        <v>142.69999999999999</v>
      </c>
      <c r="E21">
        <v>158.69999999999999</v>
      </c>
      <c r="F21">
        <v>141.6</v>
      </c>
      <c r="G21">
        <v>144.9</v>
      </c>
      <c r="H21">
        <v>120.8</v>
      </c>
      <c r="I21">
        <v>149.80000000000001</v>
      </c>
      <c r="J21">
        <v>192.4</v>
      </c>
      <c r="K21">
        <v>130.30000000000001</v>
      </c>
      <c r="L21">
        <v>114</v>
      </c>
      <c r="M21">
        <v>143.80000000000001</v>
      </c>
      <c r="N21">
        <v>130</v>
      </c>
      <c r="O21">
        <v>156.4</v>
      </c>
      <c r="P21">
        <v>149.5</v>
      </c>
      <c r="Q21">
        <v>145.30000000000001</v>
      </c>
      <c r="R21">
        <v>132.19999999999999</v>
      </c>
      <c r="S21">
        <v>143.30000000000001</v>
      </c>
      <c r="T21">
        <v>152.19999999999999</v>
      </c>
      <c r="U21">
        <v>138.30000000000001</v>
      </c>
      <c r="V21">
        <v>141.9</v>
      </c>
      <c r="W21">
        <v>139</v>
      </c>
      <c r="X21">
        <v>121.2</v>
      </c>
      <c r="Y21">
        <v>135.9</v>
      </c>
      <c r="Z21">
        <v>168.6</v>
      </c>
      <c r="AA21">
        <v>126.6</v>
      </c>
      <c r="AB21">
        <v>151.6</v>
      </c>
      <c r="AC21">
        <v>135.69999999999999</v>
      </c>
      <c r="AD21">
        <v>144.69999999999999</v>
      </c>
      <c r="AE21">
        <f>SUM(Table1_1[[#This Row],[Cereals and products]:[Food and beverages]])</f>
        <v>1874.9</v>
      </c>
      <c r="AF21">
        <f>SUM(Table1_1[[#This Row],[Clothing and footwear]:[Clothing]])</f>
        <v>420.8</v>
      </c>
      <c r="AG21">
        <f>SUM(Table1_1[[#This Row],[Clothing]:[Education]])</f>
        <v>1696.0999999999997</v>
      </c>
      <c r="AH21">
        <f>SUM(Table1_1[[#This Row],[Health]:[Personal care and effects]])</f>
        <v>280.89999999999998</v>
      </c>
      <c r="AI21">
        <f>SUM(Table1_1[[#This Row],[Recreation and amusement]:[Miscellaneous]])</f>
        <v>718.40000000000009</v>
      </c>
      <c r="AJ21">
        <f>SUM(Table1_1[[#This Row],[Fuel and light]])</f>
        <v>126.6</v>
      </c>
      <c r="AK21">
        <f>SUM(Table1_1[[#This Row],[Food]:[Luxury &amp;Other Thing]])</f>
        <v>4991.1000000000004</v>
      </c>
      <c r="AL21">
        <f>SUM(Table1_1[[#This Row],[Food]:[Luxury &amp;Other Thing]])</f>
        <v>4991.1000000000004</v>
      </c>
    </row>
    <row r="22" spans="1:38" x14ac:dyDescent="0.25">
      <c r="A22" t="s">
        <v>34</v>
      </c>
      <c r="B22" t="s">
        <v>42</v>
      </c>
      <c r="C22">
        <v>2019</v>
      </c>
      <c r="D22">
        <v>140.9</v>
      </c>
      <c r="E22">
        <v>160.80000000000001</v>
      </c>
      <c r="F22">
        <v>139.6</v>
      </c>
      <c r="G22">
        <v>145.4</v>
      </c>
      <c r="H22">
        <v>123.5</v>
      </c>
      <c r="I22">
        <v>146.6</v>
      </c>
      <c r="J22">
        <v>173.2</v>
      </c>
      <c r="K22">
        <v>131.6</v>
      </c>
      <c r="L22">
        <v>113.2</v>
      </c>
      <c r="M22">
        <v>144.1</v>
      </c>
      <c r="N22">
        <v>135</v>
      </c>
      <c r="O22">
        <v>156.80000000000001</v>
      </c>
      <c r="P22">
        <v>147</v>
      </c>
      <c r="Q22">
        <v>149.19999999999999</v>
      </c>
      <c r="R22">
        <v>140.6</v>
      </c>
      <c r="S22">
        <v>147.9</v>
      </c>
      <c r="T22">
        <v>152.19999999999999</v>
      </c>
      <c r="U22">
        <v>144.6</v>
      </c>
      <c r="V22">
        <v>149</v>
      </c>
      <c r="W22">
        <v>139.69999999999999</v>
      </c>
      <c r="X22">
        <v>126.1</v>
      </c>
      <c r="Y22">
        <v>141.30000000000001</v>
      </c>
      <c r="Z22">
        <v>166.5</v>
      </c>
      <c r="AA22">
        <v>139.19999999999999</v>
      </c>
      <c r="AB22">
        <v>155.19999999999999</v>
      </c>
      <c r="AC22">
        <v>140.69999999999999</v>
      </c>
      <c r="AD22">
        <v>145.80000000000001</v>
      </c>
      <c r="AE22">
        <f>SUM(Table1_1[[#This Row],[Cereals and products]:[Food and beverages]])</f>
        <v>1857.6999999999998</v>
      </c>
      <c r="AF22">
        <f>SUM(Table1_1[[#This Row],[Clothing and footwear]:[Clothing]])</f>
        <v>437.69999999999993</v>
      </c>
      <c r="AG22">
        <f>SUM(Table1_1[[#This Row],[Clothing]:[Education]])</f>
        <v>1751.4999999999998</v>
      </c>
      <c r="AH22">
        <f>SUM(Table1_1[[#This Row],[Health]:[Personal care and effects]])</f>
        <v>288.7</v>
      </c>
      <c r="AI22">
        <f>SUM(Table1_1[[#This Row],[Recreation and amusement]:[Miscellaneous]])</f>
        <v>742.90000000000009</v>
      </c>
      <c r="AJ22">
        <f>SUM(Table1_1[[#This Row],[Fuel and light]])</f>
        <v>139.19999999999999</v>
      </c>
      <c r="AK22">
        <f>SUM(Table1_1[[#This Row],[Food]:[Luxury &amp;Other Thing]])</f>
        <v>5078.5</v>
      </c>
      <c r="AL22">
        <f>SUM(Table1_1[[#This Row],[Food]:[Luxury &amp;Other Thing]])</f>
        <v>5078.5</v>
      </c>
    </row>
    <row r="23" spans="1:38" x14ac:dyDescent="0.25">
      <c r="A23" t="s">
        <v>30</v>
      </c>
      <c r="B23" t="s">
        <v>42</v>
      </c>
      <c r="C23">
        <v>2020</v>
      </c>
      <c r="D23">
        <v>146.9</v>
      </c>
      <c r="E23">
        <v>183.9</v>
      </c>
      <c r="F23">
        <v>149.5</v>
      </c>
      <c r="G23">
        <v>153.4</v>
      </c>
      <c r="H23">
        <v>140.4</v>
      </c>
      <c r="I23">
        <v>147</v>
      </c>
      <c r="J23">
        <v>178.8</v>
      </c>
      <c r="K23">
        <v>149.30000000000001</v>
      </c>
      <c r="L23">
        <v>115.1</v>
      </c>
      <c r="M23">
        <v>160</v>
      </c>
      <c r="N23">
        <v>145.4</v>
      </c>
      <c r="O23">
        <v>161.6</v>
      </c>
      <c r="P23">
        <v>156.1</v>
      </c>
      <c r="Q23">
        <v>155.4</v>
      </c>
      <c r="R23">
        <v>149.9</v>
      </c>
      <c r="S23">
        <v>154.6</v>
      </c>
      <c r="T23">
        <v>139.5</v>
      </c>
      <c r="U23">
        <v>151.6</v>
      </c>
      <c r="V23">
        <v>159.1</v>
      </c>
      <c r="W23">
        <v>157.4</v>
      </c>
      <c r="X23">
        <v>144.6</v>
      </c>
      <c r="Y23">
        <v>152.80000000000001</v>
      </c>
      <c r="Z23">
        <v>182.9</v>
      </c>
      <c r="AA23">
        <v>146.4</v>
      </c>
      <c r="AB23">
        <v>161.1</v>
      </c>
      <c r="AC23">
        <v>153.69999999999999</v>
      </c>
      <c r="AD23">
        <v>155.4</v>
      </c>
      <c r="AE23">
        <f>SUM(Table1_1[[#This Row],[Cereals and products]:[Food and beverages]])</f>
        <v>1987.3999999999999</v>
      </c>
      <c r="AF23">
        <f>SUM(Table1_1[[#This Row],[Clothing and footwear]:[Clothing]])</f>
        <v>459.9</v>
      </c>
      <c r="AG23">
        <f>SUM(Table1_1[[#This Row],[Clothing]:[Education]])</f>
        <v>1855.3</v>
      </c>
      <c r="AH23">
        <f>SUM(Table1_1[[#This Row],[Health]:[Personal care and effects]])</f>
        <v>316.5</v>
      </c>
      <c r="AI23">
        <f>SUM(Table1_1[[#This Row],[Recreation and amusement]:[Miscellaneous]])</f>
        <v>796.90000000000009</v>
      </c>
      <c r="AJ23">
        <f>SUM(Table1_1[[#This Row],[Fuel and light]])</f>
        <v>146.4</v>
      </c>
      <c r="AK23">
        <f>SUM(Table1_1[[#This Row],[Food]:[Luxury &amp;Other Thing]])</f>
        <v>5416</v>
      </c>
      <c r="AL23">
        <f>SUM(Table1_1[[#This Row],[Food]:[Luxury &amp;Other Thing]])</f>
        <v>5416</v>
      </c>
    </row>
    <row r="24" spans="1:38" x14ac:dyDescent="0.25">
      <c r="A24" t="s">
        <v>33</v>
      </c>
      <c r="B24" t="s">
        <v>42</v>
      </c>
      <c r="C24">
        <v>2020</v>
      </c>
      <c r="D24">
        <v>151.5</v>
      </c>
      <c r="E24">
        <v>193.1</v>
      </c>
      <c r="F24">
        <v>157.30000000000001</v>
      </c>
      <c r="G24">
        <v>153.9</v>
      </c>
      <c r="H24">
        <v>134.4</v>
      </c>
      <c r="I24">
        <v>155.4</v>
      </c>
      <c r="J24">
        <v>202</v>
      </c>
      <c r="K24">
        <v>150.80000000000001</v>
      </c>
      <c r="L24">
        <v>118.9</v>
      </c>
      <c r="M24">
        <v>160.9</v>
      </c>
      <c r="N24">
        <v>137.69999999999999</v>
      </c>
      <c r="O24">
        <v>164.4</v>
      </c>
      <c r="P24">
        <v>161.30000000000001</v>
      </c>
      <c r="Q24">
        <v>150.19999999999999</v>
      </c>
      <c r="R24">
        <v>136.30000000000001</v>
      </c>
      <c r="S24">
        <v>148.1</v>
      </c>
      <c r="T24">
        <v>156.30000000000001</v>
      </c>
      <c r="U24">
        <v>145.4</v>
      </c>
      <c r="V24">
        <v>150</v>
      </c>
      <c r="W24">
        <v>159.80000000000001</v>
      </c>
      <c r="X24">
        <v>135.1</v>
      </c>
      <c r="Y24">
        <v>141.80000000000001</v>
      </c>
      <c r="Z24">
        <v>188.7</v>
      </c>
      <c r="AA24">
        <v>137.19999999999999</v>
      </c>
      <c r="AB24">
        <v>154.9</v>
      </c>
      <c r="AC24">
        <v>146</v>
      </c>
      <c r="AD24">
        <v>154</v>
      </c>
      <c r="AE24">
        <f>SUM(Table1_1[[#This Row],[Cereals and products]:[Food and beverages]])</f>
        <v>2041.6000000000001</v>
      </c>
      <c r="AF24">
        <f>SUM(Table1_1[[#This Row],[Clothing and footwear]:[Clothing]])</f>
        <v>434.6</v>
      </c>
      <c r="AG24">
        <f>SUM(Table1_1[[#This Row],[Clothing]:[Education]])</f>
        <v>1803.8000000000002</v>
      </c>
      <c r="AH24">
        <f>SUM(Table1_1[[#This Row],[Health]:[Personal care and effects]])</f>
        <v>309.8</v>
      </c>
      <c r="AI24">
        <f>SUM(Table1_1[[#This Row],[Recreation and amusement]:[Miscellaneous]])</f>
        <v>768.6</v>
      </c>
      <c r="AJ24">
        <f>SUM(Table1_1[[#This Row],[Fuel and light]])</f>
        <v>137.19999999999999</v>
      </c>
      <c r="AK24">
        <f>SUM(Table1_1[[#This Row],[Food]:[Luxury &amp;Other Thing]])</f>
        <v>5358.4000000000005</v>
      </c>
      <c r="AL24">
        <f>SUM(Table1_1[[#This Row],[Food]:[Luxury &amp;Other Thing]])</f>
        <v>5358.4000000000005</v>
      </c>
    </row>
    <row r="25" spans="1:38" x14ac:dyDescent="0.25">
      <c r="A25" t="s">
        <v>34</v>
      </c>
      <c r="B25" t="s">
        <v>42</v>
      </c>
      <c r="C25">
        <v>2020</v>
      </c>
      <c r="D25">
        <v>148.4</v>
      </c>
      <c r="E25">
        <v>187.1</v>
      </c>
      <c r="F25">
        <v>152.5</v>
      </c>
      <c r="G25">
        <v>153.6</v>
      </c>
      <c r="H25">
        <v>138.19999999999999</v>
      </c>
      <c r="I25">
        <v>150.9</v>
      </c>
      <c r="J25">
        <v>186.7</v>
      </c>
      <c r="K25">
        <v>149.80000000000001</v>
      </c>
      <c r="L25">
        <v>116.4</v>
      </c>
      <c r="M25">
        <v>160.30000000000001</v>
      </c>
      <c r="N25">
        <v>142.19999999999999</v>
      </c>
      <c r="O25">
        <v>162.9</v>
      </c>
      <c r="P25">
        <v>158</v>
      </c>
      <c r="Q25">
        <v>153.4</v>
      </c>
      <c r="R25">
        <v>144.30000000000001</v>
      </c>
      <c r="S25">
        <v>152</v>
      </c>
      <c r="T25">
        <v>156.30000000000001</v>
      </c>
      <c r="U25">
        <v>148.69999999999999</v>
      </c>
      <c r="V25">
        <v>155.6</v>
      </c>
      <c r="W25">
        <v>158.4</v>
      </c>
      <c r="X25">
        <v>139.6</v>
      </c>
      <c r="Y25">
        <v>146.6</v>
      </c>
      <c r="Z25">
        <v>184.4</v>
      </c>
      <c r="AA25">
        <v>142.9</v>
      </c>
      <c r="AB25">
        <v>157.5</v>
      </c>
      <c r="AC25">
        <v>150</v>
      </c>
      <c r="AD25">
        <v>154.69999999999999</v>
      </c>
      <c r="AE25">
        <f>SUM(Table1_1[[#This Row],[Cereals and products]:[Food and beverages]])</f>
        <v>2007</v>
      </c>
      <c r="AF25">
        <f>SUM(Table1_1[[#This Row],[Clothing and footwear]:[Clothing]])</f>
        <v>449.70000000000005</v>
      </c>
      <c r="AG25">
        <f>SUM(Table1_1[[#This Row],[Clothing]:[Education]])</f>
        <v>1839.7</v>
      </c>
      <c r="AH25">
        <f>SUM(Table1_1[[#This Row],[Health]:[Personal care and effects]])</f>
        <v>314</v>
      </c>
      <c r="AI25">
        <f>SUM(Table1_1[[#This Row],[Recreation and amusement]:[Miscellaneous]])</f>
        <v>781.4</v>
      </c>
      <c r="AJ25">
        <f>SUM(Table1_1[[#This Row],[Fuel and light]])</f>
        <v>142.9</v>
      </c>
      <c r="AK25">
        <f>SUM(Table1_1[[#This Row],[Food]:[Luxury &amp;Other Thing]])</f>
        <v>5391.7999999999993</v>
      </c>
      <c r="AL25">
        <f>SUM(Table1_1[[#This Row],[Food]:[Luxury &amp;Other Thing]])</f>
        <v>5391.7999999999993</v>
      </c>
    </row>
    <row r="26" spans="1:38" x14ac:dyDescent="0.25">
      <c r="A26" t="s">
        <v>30</v>
      </c>
      <c r="B26" t="s">
        <v>42</v>
      </c>
      <c r="C26">
        <v>2021</v>
      </c>
      <c r="D26">
        <v>145.4</v>
      </c>
      <c r="E26">
        <v>202.1</v>
      </c>
      <c r="F26">
        <v>172</v>
      </c>
      <c r="G26">
        <v>158</v>
      </c>
      <c r="H26">
        <v>195.5</v>
      </c>
      <c r="I26">
        <v>152.69999999999999</v>
      </c>
      <c r="J26">
        <v>151.4</v>
      </c>
      <c r="K26">
        <v>163.9</v>
      </c>
      <c r="L26">
        <v>119.3</v>
      </c>
      <c r="M26">
        <v>170.1</v>
      </c>
      <c r="N26">
        <v>168.3</v>
      </c>
      <c r="O26">
        <v>172.8</v>
      </c>
      <c r="P26">
        <v>162.1</v>
      </c>
      <c r="Q26">
        <v>167.7</v>
      </c>
      <c r="R26">
        <v>163.6</v>
      </c>
      <c r="S26">
        <v>167.1</v>
      </c>
      <c r="T26">
        <v>139.5</v>
      </c>
      <c r="U26">
        <v>161.30000000000001</v>
      </c>
      <c r="V26">
        <v>171.9</v>
      </c>
      <c r="W26">
        <v>160.19999999999999</v>
      </c>
      <c r="X26">
        <v>157.80000000000001</v>
      </c>
      <c r="Y26">
        <v>162.69999999999999</v>
      </c>
      <c r="Z26">
        <v>190.5</v>
      </c>
      <c r="AA26">
        <v>163.69999999999999</v>
      </c>
      <c r="AB26">
        <v>168.5</v>
      </c>
      <c r="AC26">
        <v>163.80000000000001</v>
      </c>
      <c r="AD26">
        <v>164</v>
      </c>
      <c r="AE26">
        <f>SUM(Table1_1[[#This Row],[Cereals and products]:[Food and beverages]])</f>
        <v>2133.6</v>
      </c>
      <c r="AF26">
        <f>SUM(Table1_1[[#This Row],[Clothing and footwear]:[Clothing]])</f>
        <v>498.4</v>
      </c>
      <c r="AG26">
        <f>SUM(Table1_1[[#This Row],[Clothing]:[Education]])</f>
        <v>1974.5</v>
      </c>
      <c r="AH26">
        <f>SUM(Table1_1[[#This Row],[Health]:[Personal care and effects]])</f>
        <v>332.1</v>
      </c>
      <c r="AI26">
        <f>SUM(Table1_1[[#This Row],[Recreation and amusement]:[Miscellaneous]])</f>
        <v>849.2</v>
      </c>
      <c r="AJ26">
        <f>SUM(Table1_1[[#This Row],[Fuel and light]])</f>
        <v>163.69999999999999</v>
      </c>
      <c r="AK26">
        <f>SUM(Table1_1[[#This Row],[Food]:[Luxury &amp;Other Thing]])</f>
        <v>5787.8</v>
      </c>
      <c r="AL26">
        <f>SUM(Table1_1[[#This Row],[Food]:[Luxury &amp;Other Thing]])</f>
        <v>5787.8</v>
      </c>
    </row>
    <row r="27" spans="1:38" x14ac:dyDescent="0.25">
      <c r="A27" t="s">
        <v>33</v>
      </c>
      <c r="B27" t="s">
        <v>42</v>
      </c>
      <c r="C27">
        <v>2021</v>
      </c>
      <c r="D27">
        <v>149.30000000000001</v>
      </c>
      <c r="E27">
        <v>207.4</v>
      </c>
      <c r="F27">
        <v>174.1</v>
      </c>
      <c r="G27">
        <v>159.1</v>
      </c>
      <c r="H27">
        <v>175</v>
      </c>
      <c r="I27">
        <v>161.19999999999999</v>
      </c>
      <c r="J27">
        <v>183.5</v>
      </c>
      <c r="K27">
        <v>164.5</v>
      </c>
      <c r="L27">
        <v>120.4</v>
      </c>
      <c r="M27">
        <v>166.2</v>
      </c>
      <c r="N27">
        <v>154.80000000000001</v>
      </c>
      <c r="O27">
        <v>175.1</v>
      </c>
      <c r="P27">
        <v>167.3</v>
      </c>
      <c r="Q27">
        <v>159.80000000000001</v>
      </c>
      <c r="R27">
        <v>143.6</v>
      </c>
      <c r="S27">
        <v>157.4</v>
      </c>
      <c r="T27">
        <v>162.1</v>
      </c>
      <c r="U27">
        <v>153.30000000000001</v>
      </c>
      <c r="V27">
        <v>162.80000000000001</v>
      </c>
      <c r="W27">
        <v>159.6</v>
      </c>
      <c r="X27">
        <v>150.5</v>
      </c>
      <c r="Y27">
        <v>153.9</v>
      </c>
      <c r="Z27">
        <v>196.5</v>
      </c>
      <c r="AA27">
        <v>160.80000000000001</v>
      </c>
      <c r="AB27">
        <v>160.30000000000001</v>
      </c>
      <c r="AC27">
        <v>156</v>
      </c>
      <c r="AD27">
        <v>162.30000000000001</v>
      </c>
      <c r="AE27">
        <f>SUM(Table1_1[[#This Row],[Cereals and products]:[Food and beverages]])</f>
        <v>2157.9</v>
      </c>
      <c r="AF27">
        <f>SUM(Table1_1[[#This Row],[Clothing and footwear]:[Clothing]])</f>
        <v>460.79999999999995</v>
      </c>
      <c r="AG27">
        <f>SUM(Table1_1[[#This Row],[Clothing]:[Education]])</f>
        <v>1920.6</v>
      </c>
      <c r="AH27">
        <f>SUM(Table1_1[[#This Row],[Health]:[Personal care and effects]])</f>
        <v>322.39999999999998</v>
      </c>
      <c r="AI27">
        <f>SUM(Table1_1[[#This Row],[Recreation and amusement]:[Miscellaneous]])</f>
        <v>827.5</v>
      </c>
      <c r="AJ27">
        <f>SUM(Table1_1[[#This Row],[Fuel and light]])</f>
        <v>160.80000000000001</v>
      </c>
      <c r="AK27">
        <f>SUM(Table1_1[[#This Row],[Food]:[Luxury &amp;Other Thing]])</f>
        <v>5689.1999999999989</v>
      </c>
      <c r="AL27">
        <f>SUM(Table1_1[[#This Row],[Food]:[Luxury &amp;Other Thing]])</f>
        <v>5689.1999999999989</v>
      </c>
    </row>
    <row r="28" spans="1:38" x14ac:dyDescent="0.25">
      <c r="A28" t="s">
        <v>34</v>
      </c>
      <c r="B28" t="s">
        <v>42</v>
      </c>
      <c r="C28">
        <v>2021</v>
      </c>
      <c r="D28">
        <v>146.6</v>
      </c>
      <c r="E28">
        <v>204</v>
      </c>
      <c r="F28">
        <v>172.8</v>
      </c>
      <c r="G28">
        <v>158.4</v>
      </c>
      <c r="H28">
        <v>188</v>
      </c>
      <c r="I28">
        <v>156.69999999999999</v>
      </c>
      <c r="J28">
        <v>162.30000000000001</v>
      </c>
      <c r="K28">
        <v>164.1</v>
      </c>
      <c r="L28">
        <v>119.7</v>
      </c>
      <c r="M28">
        <v>168.8</v>
      </c>
      <c r="N28">
        <v>162.69999999999999</v>
      </c>
      <c r="O28">
        <v>173.9</v>
      </c>
      <c r="P28">
        <v>164</v>
      </c>
      <c r="Q28">
        <v>164.6</v>
      </c>
      <c r="R28">
        <v>155.30000000000001</v>
      </c>
      <c r="S28">
        <v>163.30000000000001</v>
      </c>
      <c r="T28">
        <v>162.1</v>
      </c>
      <c r="U28">
        <v>157.5</v>
      </c>
      <c r="V28">
        <v>168.4</v>
      </c>
      <c r="W28">
        <v>160</v>
      </c>
      <c r="X28">
        <v>154</v>
      </c>
      <c r="Y28">
        <v>157.69999999999999</v>
      </c>
      <c r="Z28">
        <v>192.1</v>
      </c>
      <c r="AA28">
        <v>162.6</v>
      </c>
      <c r="AB28">
        <v>163.69999999999999</v>
      </c>
      <c r="AC28">
        <v>160</v>
      </c>
      <c r="AD28">
        <v>163.19999999999999</v>
      </c>
      <c r="AE28">
        <f>SUM(Table1_1[[#This Row],[Cereals and products]:[Food and beverages]])</f>
        <v>2142</v>
      </c>
      <c r="AF28">
        <f>SUM(Table1_1[[#This Row],[Clothing and footwear]:[Clothing]])</f>
        <v>483.2</v>
      </c>
      <c r="AG28">
        <f>SUM(Table1_1[[#This Row],[Clothing]:[Education]])</f>
        <v>1961.2999999999997</v>
      </c>
      <c r="AH28">
        <f>SUM(Table1_1[[#This Row],[Health]:[Personal care and effects]])</f>
        <v>328.4</v>
      </c>
      <c r="AI28">
        <f>SUM(Table1_1[[#This Row],[Recreation and amusement]:[Miscellaneous]])</f>
        <v>836.09999999999991</v>
      </c>
      <c r="AJ28">
        <f>SUM(Table1_1[[#This Row],[Fuel and light]])</f>
        <v>162.6</v>
      </c>
      <c r="AK28">
        <f>SUM(Table1_1[[#This Row],[Food]:[Luxury &amp;Other Thing]])</f>
        <v>5751</v>
      </c>
      <c r="AL28">
        <f>SUM(Table1_1[[#This Row],[Food]:[Luxury &amp;Other Thing]])</f>
        <v>5751</v>
      </c>
    </row>
    <row r="29" spans="1:38" x14ac:dyDescent="0.25">
      <c r="A29" t="s">
        <v>30</v>
      </c>
      <c r="B29" t="s">
        <v>42</v>
      </c>
      <c r="C29">
        <v>2022</v>
      </c>
      <c r="D29">
        <v>162.9</v>
      </c>
      <c r="E29">
        <v>206.7</v>
      </c>
      <c r="F29">
        <v>169</v>
      </c>
      <c r="G29">
        <v>169.5</v>
      </c>
      <c r="H29">
        <v>194.1</v>
      </c>
      <c r="I29">
        <v>164.1</v>
      </c>
      <c r="J29">
        <v>176.9</v>
      </c>
      <c r="K29">
        <v>169</v>
      </c>
      <c r="L29">
        <v>120.8</v>
      </c>
      <c r="M29">
        <v>199.1</v>
      </c>
      <c r="N29">
        <v>175.4</v>
      </c>
      <c r="O29">
        <v>184.8</v>
      </c>
      <c r="P29">
        <v>175.5</v>
      </c>
      <c r="Q29">
        <v>184.7</v>
      </c>
      <c r="R29">
        <v>183.3</v>
      </c>
      <c r="S29">
        <v>184.5</v>
      </c>
      <c r="T29">
        <v>139.5</v>
      </c>
      <c r="U29">
        <v>173.6</v>
      </c>
      <c r="V29">
        <v>180.2</v>
      </c>
      <c r="W29">
        <v>170.8</v>
      </c>
      <c r="X29">
        <v>166.9</v>
      </c>
      <c r="Y29">
        <v>170</v>
      </c>
      <c r="Z29">
        <v>194.5</v>
      </c>
      <c r="AA29">
        <v>179.7</v>
      </c>
      <c r="AB29">
        <v>176.2</v>
      </c>
      <c r="AC29">
        <v>173.1</v>
      </c>
      <c r="AD29">
        <v>176.4</v>
      </c>
      <c r="AE29">
        <f>SUM(Table1_1[[#This Row],[Cereals and products]:[Food and beverages]])</f>
        <v>2267.8000000000002</v>
      </c>
      <c r="AF29">
        <f>SUM(Table1_1[[#This Row],[Clothing and footwear]:[Clothing]])</f>
        <v>552.5</v>
      </c>
      <c r="AG29">
        <f>SUM(Table1_1[[#This Row],[Clothing]:[Education]])</f>
        <v>2103.9</v>
      </c>
      <c r="AH29">
        <f>SUM(Table1_1[[#This Row],[Health]:[Personal care and effects]])</f>
        <v>351</v>
      </c>
      <c r="AI29">
        <f>SUM(Table1_1[[#This Row],[Recreation and amusement]:[Miscellaneous]])</f>
        <v>893.50000000000011</v>
      </c>
      <c r="AJ29">
        <f>SUM(Table1_1[[#This Row],[Fuel and light]])</f>
        <v>179.7</v>
      </c>
      <c r="AK29">
        <f>SUM(Table1_1[[#This Row],[Food]:[Luxury &amp;Other Thing]])</f>
        <v>6168.7000000000007</v>
      </c>
      <c r="AL29">
        <f>SUM(Table1_1[[#This Row],[Food]:[Luxury &amp;Other Thing]])</f>
        <v>6168.7000000000007</v>
      </c>
    </row>
    <row r="30" spans="1:38" x14ac:dyDescent="0.25">
      <c r="A30" t="s">
        <v>33</v>
      </c>
      <c r="B30" t="s">
        <v>42</v>
      </c>
      <c r="C30">
        <v>2022</v>
      </c>
      <c r="D30">
        <v>164.9</v>
      </c>
      <c r="E30">
        <v>213.7</v>
      </c>
      <c r="F30">
        <v>170.9</v>
      </c>
      <c r="G30">
        <v>170.1</v>
      </c>
      <c r="H30">
        <v>179.3</v>
      </c>
      <c r="I30">
        <v>167.5</v>
      </c>
      <c r="J30">
        <v>220.8</v>
      </c>
      <c r="K30">
        <v>169.2</v>
      </c>
      <c r="L30">
        <v>123.1</v>
      </c>
      <c r="M30">
        <v>193.6</v>
      </c>
      <c r="N30">
        <v>161.1</v>
      </c>
      <c r="O30">
        <v>190.4</v>
      </c>
      <c r="P30">
        <v>181.8</v>
      </c>
      <c r="Q30">
        <v>175</v>
      </c>
      <c r="R30">
        <v>161.69999999999999</v>
      </c>
      <c r="S30">
        <v>173</v>
      </c>
      <c r="T30">
        <v>169.5</v>
      </c>
      <c r="U30">
        <v>165</v>
      </c>
      <c r="V30">
        <v>173.8</v>
      </c>
      <c r="W30">
        <v>171.1</v>
      </c>
      <c r="X30">
        <v>158.19999999999999</v>
      </c>
      <c r="Y30">
        <v>165.8</v>
      </c>
      <c r="Z30">
        <v>199.7</v>
      </c>
      <c r="AA30">
        <v>179.2</v>
      </c>
      <c r="AB30">
        <v>170.9</v>
      </c>
      <c r="AC30">
        <v>166.1</v>
      </c>
      <c r="AD30">
        <v>174.1</v>
      </c>
      <c r="AE30">
        <f>SUM(Table1_1[[#This Row],[Cereals and products]:[Food and beverages]])</f>
        <v>2306.4</v>
      </c>
      <c r="AF30">
        <f>SUM(Table1_1[[#This Row],[Clothing and footwear]:[Clothing]])</f>
        <v>509.7</v>
      </c>
      <c r="AG30">
        <f>SUM(Table1_1[[#This Row],[Clothing]:[Education]])</f>
        <v>2062.9</v>
      </c>
      <c r="AH30">
        <f>SUM(Table1_1[[#This Row],[Health]:[Personal care and effects]])</f>
        <v>344.9</v>
      </c>
      <c r="AI30">
        <f>SUM(Table1_1[[#This Row],[Recreation and amusement]:[Miscellaneous]])</f>
        <v>881.7</v>
      </c>
      <c r="AJ30">
        <f>SUM(Table1_1[[#This Row],[Fuel and light]])</f>
        <v>179.2</v>
      </c>
      <c r="AK30">
        <f>SUM(Table1_1[[#This Row],[Food]:[Luxury &amp;Other Thing]])</f>
        <v>6105.5999999999995</v>
      </c>
      <c r="AL30">
        <f>SUM(Table1_1[[#This Row],[Food]:[Luxury &amp;Other Thing]])</f>
        <v>6105.5999999999995</v>
      </c>
    </row>
    <row r="31" spans="1:38" x14ac:dyDescent="0.25">
      <c r="A31" t="s">
        <v>34</v>
      </c>
      <c r="B31" t="s">
        <v>42</v>
      </c>
      <c r="C31">
        <v>2022</v>
      </c>
      <c r="D31">
        <v>163.5</v>
      </c>
      <c r="E31">
        <v>209.2</v>
      </c>
      <c r="F31">
        <v>169.7</v>
      </c>
      <c r="G31">
        <v>169.7</v>
      </c>
      <c r="H31">
        <v>188.7</v>
      </c>
      <c r="I31">
        <v>165.7</v>
      </c>
      <c r="J31">
        <v>191.8</v>
      </c>
      <c r="K31">
        <v>169.1</v>
      </c>
      <c r="L31">
        <v>121.6</v>
      </c>
      <c r="M31">
        <v>197.3</v>
      </c>
      <c r="N31">
        <v>169.4</v>
      </c>
      <c r="O31">
        <v>187.4</v>
      </c>
      <c r="P31">
        <v>177.8</v>
      </c>
      <c r="Q31">
        <v>180.9</v>
      </c>
      <c r="R31">
        <v>174.3</v>
      </c>
      <c r="S31">
        <v>179.9</v>
      </c>
      <c r="T31">
        <v>169.5</v>
      </c>
      <c r="U31">
        <v>169.5</v>
      </c>
      <c r="V31">
        <v>177.8</v>
      </c>
      <c r="W31">
        <v>170.9</v>
      </c>
      <c r="X31">
        <v>162.30000000000001</v>
      </c>
      <c r="Y31">
        <v>167.6</v>
      </c>
      <c r="Z31">
        <v>195.9</v>
      </c>
      <c r="AA31">
        <v>179.5</v>
      </c>
      <c r="AB31">
        <v>173.1</v>
      </c>
      <c r="AC31">
        <v>169.7</v>
      </c>
      <c r="AD31">
        <v>175.3</v>
      </c>
      <c r="AE31">
        <f>SUM(Table1_1[[#This Row],[Cereals and products]:[Food and beverages]])</f>
        <v>2280.9</v>
      </c>
      <c r="AF31">
        <f>SUM(Table1_1[[#This Row],[Clothing and footwear]:[Clothing]])</f>
        <v>535.1</v>
      </c>
      <c r="AG31">
        <f>SUM(Table1_1[[#This Row],[Clothing]:[Education]])</f>
        <v>2101.2000000000003</v>
      </c>
      <c r="AH31">
        <f>SUM(Table1_1[[#This Row],[Health]:[Personal care and effects]])</f>
        <v>348.70000000000005</v>
      </c>
      <c r="AI31">
        <f>SUM(Table1_1[[#This Row],[Recreation and amusement]:[Miscellaneous]])</f>
        <v>885.8</v>
      </c>
      <c r="AJ31">
        <f>SUM(Table1_1[[#This Row],[Fuel and light]])</f>
        <v>179.5</v>
      </c>
      <c r="AK31">
        <f>SUM(Table1_1[[#This Row],[Food]:[Luxury &amp;Other Thing]])</f>
        <v>6151.7000000000007</v>
      </c>
      <c r="AL31">
        <f>SUM(Table1_1[[#This Row],[Food]:[Luxury &amp;Other Thing]])</f>
        <v>6151.7000000000007</v>
      </c>
    </row>
    <row r="32" spans="1:38" x14ac:dyDescent="0.25">
      <c r="A32" t="s">
        <v>30</v>
      </c>
      <c r="B32" t="s">
        <v>43</v>
      </c>
      <c r="C32">
        <v>2013</v>
      </c>
      <c r="D32">
        <v>116.3</v>
      </c>
      <c r="E32">
        <v>115.4</v>
      </c>
      <c r="F32">
        <v>112.6</v>
      </c>
      <c r="G32">
        <v>111.7</v>
      </c>
      <c r="H32">
        <v>107.7</v>
      </c>
      <c r="I32">
        <v>113.2</v>
      </c>
      <c r="J32">
        <v>164.9</v>
      </c>
      <c r="K32">
        <v>108.3</v>
      </c>
      <c r="L32">
        <v>103.9</v>
      </c>
      <c r="M32">
        <v>108.2</v>
      </c>
      <c r="N32">
        <v>111.1</v>
      </c>
      <c r="O32">
        <v>114.9</v>
      </c>
      <c r="P32">
        <v>119.8</v>
      </c>
      <c r="Q32">
        <v>113.6</v>
      </c>
      <c r="R32">
        <v>112.3</v>
      </c>
      <c r="S32">
        <v>113.4</v>
      </c>
      <c r="T32">
        <v>139.5</v>
      </c>
      <c r="U32">
        <v>110.4</v>
      </c>
      <c r="V32">
        <v>108.9</v>
      </c>
      <c r="W32">
        <v>107.5</v>
      </c>
      <c r="X32">
        <v>109.3</v>
      </c>
      <c r="Y32">
        <v>108.3</v>
      </c>
      <c r="Z32">
        <v>112.2</v>
      </c>
      <c r="AA32">
        <v>111.6</v>
      </c>
      <c r="AB32">
        <v>110.2</v>
      </c>
      <c r="AC32">
        <v>109.1</v>
      </c>
      <c r="AD32">
        <v>115.5</v>
      </c>
      <c r="AE32">
        <f>SUM(Table1_1[[#This Row],[Cereals and products]:[Food and beverages]])</f>
        <v>1508</v>
      </c>
      <c r="AF32">
        <f>SUM(Table1_1[[#This Row],[Clothing and footwear]:[Clothing]])</f>
        <v>339.29999999999995</v>
      </c>
      <c r="AG32">
        <f>SUM(Table1_1[[#This Row],[Clothing]:[Education]])</f>
        <v>1357.1999999999998</v>
      </c>
      <c r="AH32">
        <f>SUM(Table1_1[[#This Row],[Health]:[Personal care and effects]])</f>
        <v>216.4</v>
      </c>
      <c r="AI32">
        <f>SUM(Table1_1[[#This Row],[Recreation and amusement]:[Miscellaneous]])</f>
        <v>551.4</v>
      </c>
      <c r="AJ32">
        <f>SUM(Table1_1[[#This Row],[Fuel and light]])</f>
        <v>111.6</v>
      </c>
      <c r="AK32">
        <f>SUM(Table1_1[[#This Row],[Food]:[Luxury &amp;Other Thing]])</f>
        <v>3972.3</v>
      </c>
      <c r="AL32">
        <f>SUM(Table1_1[[#This Row],[Food]:[Luxury &amp;Other Thing]])</f>
        <v>3972.3</v>
      </c>
    </row>
    <row r="33" spans="1:38" x14ac:dyDescent="0.25">
      <c r="A33" t="s">
        <v>33</v>
      </c>
      <c r="B33" t="s">
        <v>43</v>
      </c>
      <c r="C33">
        <v>2013</v>
      </c>
      <c r="D33">
        <v>118.9</v>
      </c>
      <c r="E33">
        <v>118.1</v>
      </c>
      <c r="F33">
        <v>114.5</v>
      </c>
      <c r="G33">
        <v>110.4</v>
      </c>
      <c r="H33">
        <v>102.3</v>
      </c>
      <c r="I33">
        <v>106.2</v>
      </c>
      <c r="J33">
        <v>183.5</v>
      </c>
      <c r="K33">
        <v>105.3</v>
      </c>
      <c r="L33">
        <v>100.2</v>
      </c>
      <c r="M33">
        <v>109.6</v>
      </c>
      <c r="N33">
        <v>111.4</v>
      </c>
      <c r="O33">
        <v>116</v>
      </c>
      <c r="P33">
        <v>120.8</v>
      </c>
      <c r="Q33">
        <v>112.5</v>
      </c>
      <c r="R33">
        <v>109.7</v>
      </c>
      <c r="S33">
        <v>112</v>
      </c>
      <c r="T33">
        <v>110.5</v>
      </c>
      <c r="U33">
        <v>110.2</v>
      </c>
      <c r="V33">
        <v>108.2</v>
      </c>
      <c r="W33">
        <v>107.3</v>
      </c>
      <c r="X33">
        <v>109.7</v>
      </c>
      <c r="Y33">
        <v>108</v>
      </c>
      <c r="Z33">
        <v>113.5</v>
      </c>
      <c r="AA33">
        <v>109.7</v>
      </c>
      <c r="AB33">
        <v>111.3</v>
      </c>
      <c r="AC33">
        <v>109.4</v>
      </c>
      <c r="AD33">
        <v>114</v>
      </c>
      <c r="AE33">
        <f>SUM(Table1_1[[#This Row],[Cereals and products]:[Food and beverages]])</f>
        <v>1517.1999999999998</v>
      </c>
      <c r="AF33">
        <f>SUM(Table1_1[[#This Row],[Clothing and footwear]:[Clothing]])</f>
        <v>334.2</v>
      </c>
      <c r="AG33">
        <f>SUM(Table1_1[[#This Row],[Clothing]:[Education]])</f>
        <v>1322.6</v>
      </c>
      <c r="AH33">
        <f>SUM(Table1_1[[#This Row],[Health]:[Personal care and effects]])</f>
        <v>215.5</v>
      </c>
      <c r="AI33">
        <f>SUM(Table1_1[[#This Row],[Recreation and amusement]:[Miscellaneous]])</f>
        <v>551.9</v>
      </c>
      <c r="AJ33">
        <f>SUM(Table1_1[[#This Row],[Fuel and light]])</f>
        <v>109.7</v>
      </c>
      <c r="AK33">
        <f>SUM(Table1_1[[#This Row],[Food]:[Luxury &amp;Other Thing]])</f>
        <v>3941.4</v>
      </c>
      <c r="AL33">
        <f>SUM(Table1_1[[#This Row],[Food]:[Luxury &amp;Other Thing]])</f>
        <v>3941.4</v>
      </c>
    </row>
    <row r="34" spans="1:38" x14ac:dyDescent="0.25">
      <c r="A34" t="s">
        <v>34</v>
      </c>
      <c r="B34" t="s">
        <v>43</v>
      </c>
      <c r="C34">
        <v>2013</v>
      </c>
      <c r="D34">
        <v>117.1</v>
      </c>
      <c r="E34">
        <v>116.3</v>
      </c>
      <c r="F34">
        <v>113.3</v>
      </c>
      <c r="G34">
        <v>111.2</v>
      </c>
      <c r="H34">
        <v>105.7</v>
      </c>
      <c r="I34">
        <v>109.9</v>
      </c>
      <c r="J34">
        <v>171.2</v>
      </c>
      <c r="K34">
        <v>107.3</v>
      </c>
      <c r="L34">
        <v>102.7</v>
      </c>
      <c r="M34">
        <v>108.7</v>
      </c>
      <c r="N34">
        <v>111.2</v>
      </c>
      <c r="O34">
        <v>115.4</v>
      </c>
      <c r="P34">
        <v>120.2</v>
      </c>
      <c r="Q34">
        <v>113.2</v>
      </c>
      <c r="R34">
        <v>111.2</v>
      </c>
      <c r="S34">
        <v>112.8</v>
      </c>
      <c r="T34">
        <v>110.5</v>
      </c>
      <c r="U34">
        <v>110.3</v>
      </c>
      <c r="V34">
        <v>108.6</v>
      </c>
      <c r="W34">
        <v>107.4</v>
      </c>
      <c r="X34">
        <v>109.5</v>
      </c>
      <c r="Y34">
        <v>108.1</v>
      </c>
      <c r="Z34">
        <v>112.5</v>
      </c>
      <c r="AA34">
        <v>110.9</v>
      </c>
      <c r="AB34">
        <v>110.8</v>
      </c>
      <c r="AC34">
        <v>109.2</v>
      </c>
      <c r="AD34">
        <v>114.8</v>
      </c>
      <c r="AE34">
        <f>SUM(Table1_1[[#This Row],[Cereals and products]:[Food and beverages]])</f>
        <v>1510.2000000000003</v>
      </c>
      <c r="AF34">
        <f>SUM(Table1_1[[#This Row],[Clothing and footwear]:[Clothing]])</f>
        <v>337.2</v>
      </c>
      <c r="AG34">
        <f>SUM(Table1_1[[#This Row],[Clothing]:[Education]])</f>
        <v>1325.8</v>
      </c>
      <c r="AH34">
        <f>SUM(Table1_1[[#This Row],[Health]:[Personal care and effects]])</f>
        <v>216</v>
      </c>
      <c r="AI34">
        <f>SUM(Table1_1[[#This Row],[Recreation and amusement]:[Miscellaneous]])</f>
        <v>551.5</v>
      </c>
      <c r="AJ34">
        <f>SUM(Table1_1[[#This Row],[Fuel and light]])</f>
        <v>110.9</v>
      </c>
      <c r="AK34">
        <f>SUM(Table1_1[[#This Row],[Food]:[Luxury &amp;Other Thing]])</f>
        <v>3940.7000000000003</v>
      </c>
      <c r="AL34">
        <f>SUM(Table1_1[[#This Row],[Food]:[Luxury &amp;Other Thing]])</f>
        <v>3940.7000000000003</v>
      </c>
    </row>
    <row r="35" spans="1:38" x14ac:dyDescent="0.25">
      <c r="A35" t="s">
        <v>30</v>
      </c>
      <c r="B35" t="s">
        <v>43</v>
      </c>
      <c r="C35">
        <v>2014</v>
      </c>
      <c r="D35">
        <v>122.6</v>
      </c>
      <c r="E35">
        <v>122.5</v>
      </c>
      <c r="F35">
        <v>118.3</v>
      </c>
      <c r="G35">
        <v>123.2</v>
      </c>
      <c r="H35">
        <v>110.5</v>
      </c>
      <c r="I35">
        <v>128.9</v>
      </c>
      <c r="J35">
        <v>155.30000000000001</v>
      </c>
      <c r="K35">
        <v>115.5</v>
      </c>
      <c r="L35">
        <v>104</v>
      </c>
      <c r="M35">
        <v>115.3</v>
      </c>
      <c r="N35">
        <v>116.8</v>
      </c>
      <c r="O35">
        <v>123.2</v>
      </c>
      <c r="P35">
        <v>125.1</v>
      </c>
      <c r="Q35">
        <v>122.7</v>
      </c>
      <c r="R35">
        <v>120.3</v>
      </c>
      <c r="S35">
        <v>122.3</v>
      </c>
      <c r="T35">
        <v>139.5</v>
      </c>
      <c r="U35">
        <v>117.5</v>
      </c>
      <c r="V35">
        <v>115.3</v>
      </c>
      <c r="W35">
        <v>109.3</v>
      </c>
      <c r="X35">
        <v>112.6</v>
      </c>
      <c r="Y35">
        <v>113</v>
      </c>
      <c r="Z35">
        <v>120</v>
      </c>
      <c r="AA35">
        <v>116.4</v>
      </c>
      <c r="AB35">
        <v>116.9</v>
      </c>
      <c r="AC35">
        <v>114</v>
      </c>
      <c r="AD35">
        <v>121</v>
      </c>
      <c r="AE35">
        <f>SUM(Table1_1[[#This Row],[Cereals and products]:[Food and beverages]])</f>
        <v>1581.1999999999998</v>
      </c>
      <c r="AF35">
        <f>SUM(Table1_1[[#This Row],[Clothing and footwear]:[Clothing]])</f>
        <v>365.3</v>
      </c>
      <c r="AG35">
        <f>SUM(Table1_1[[#This Row],[Clothing]:[Education]])</f>
        <v>1425.8000000000002</v>
      </c>
      <c r="AH35">
        <f>SUM(Table1_1[[#This Row],[Health]:[Personal care and effects]])</f>
        <v>224.6</v>
      </c>
      <c r="AI35">
        <f>SUM(Table1_1[[#This Row],[Recreation and amusement]:[Miscellaneous]])</f>
        <v>580.29999999999995</v>
      </c>
      <c r="AJ35">
        <f>SUM(Table1_1[[#This Row],[Fuel and light]])</f>
        <v>116.4</v>
      </c>
      <c r="AK35">
        <f>SUM(Table1_1[[#This Row],[Food]:[Luxury &amp;Other Thing]])</f>
        <v>4177.2</v>
      </c>
      <c r="AL35">
        <f>SUM(Table1_1[[#This Row],[Food]:[Luxury &amp;Other Thing]])</f>
        <v>4177.2</v>
      </c>
    </row>
    <row r="36" spans="1:38" x14ac:dyDescent="0.25">
      <c r="A36" t="s">
        <v>33</v>
      </c>
      <c r="B36" t="s">
        <v>43</v>
      </c>
      <c r="C36">
        <v>2014</v>
      </c>
      <c r="D36">
        <v>124.6</v>
      </c>
      <c r="E36">
        <v>126.1</v>
      </c>
      <c r="F36">
        <v>117.8</v>
      </c>
      <c r="G36">
        <v>123.1</v>
      </c>
      <c r="H36">
        <v>103.5</v>
      </c>
      <c r="I36">
        <v>123.5</v>
      </c>
      <c r="J36">
        <v>159.6</v>
      </c>
      <c r="K36">
        <v>117.4</v>
      </c>
      <c r="L36">
        <v>101.2</v>
      </c>
      <c r="M36">
        <v>123.8</v>
      </c>
      <c r="N36">
        <v>115.2</v>
      </c>
      <c r="O36">
        <v>125.9</v>
      </c>
      <c r="P36">
        <v>125.8</v>
      </c>
      <c r="Q36">
        <v>119.6</v>
      </c>
      <c r="R36">
        <v>114.9</v>
      </c>
      <c r="S36">
        <v>118.9</v>
      </c>
      <c r="T36">
        <v>116.7</v>
      </c>
      <c r="U36">
        <v>115.8</v>
      </c>
      <c r="V36">
        <v>112.6</v>
      </c>
      <c r="W36">
        <v>110.1</v>
      </c>
      <c r="X36">
        <v>111</v>
      </c>
      <c r="Y36">
        <v>113.6</v>
      </c>
      <c r="Z36">
        <v>124.3</v>
      </c>
      <c r="AA36">
        <v>112</v>
      </c>
      <c r="AB36">
        <v>120.2</v>
      </c>
      <c r="AC36">
        <v>113.7</v>
      </c>
      <c r="AD36">
        <v>119.1</v>
      </c>
      <c r="AE36">
        <f>SUM(Table1_1[[#This Row],[Cereals and products]:[Food and beverages]])</f>
        <v>1587.5</v>
      </c>
      <c r="AF36">
        <f>SUM(Table1_1[[#This Row],[Clothing and footwear]:[Clothing]])</f>
        <v>353.4</v>
      </c>
      <c r="AG36">
        <f>SUM(Table1_1[[#This Row],[Clothing]:[Education]])</f>
        <v>1389.7</v>
      </c>
      <c r="AH36">
        <f>SUM(Table1_1[[#This Row],[Health]:[Personal care and effects]])</f>
        <v>222.7</v>
      </c>
      <c r="AI36">
        <f>SUM(Table1_1[[#This Row],[Recreation and amusement]:[Miscellaneous]])</f>
        <v>583.79999999999995</v>
      </c>
      <c r="AJ36">
        <f>SUM(Table1_1[[#This Row],[Fuel and light]])</f>
        <v>112</v>
      </c>
      <c r="AK36">
        <f>SUM(Table1_1[[#This Row],[Food]:[Luxury &amp;Other Thing]])</f>
        <v>4137.1000000000004</v>
      </c>
      <c r="AL36">
        <f>SUM(Table1_1[[#This Row],[Food]:[Luxury &amp;Other Thing]])</f>
        <v>4137.1000000000004</v>
      </c>
    </row>
    <row r="37" spans="1:38" x14ac:dyDescent="0.25">
      <c r="A37" t="s">
        <v>34</v>
      </c>
      <c r="B37" t="s">
        <v>43</v>
      </c>
      <c r="C37">
        <v>2014</v>
      </c>
      <c r="D37">
        <v>123.2</v>
      </c>
      <c r="E37">
        <v>123.8</v>
      </c>
      <c r="F37">
        <v>118.1</v>
      </c>
      <c r="G37">
        <v>123.2</v>
      </c>
      <c r="H37">
        <v>107.9</v>
      </c>
      <c r="I37">
        <v>126.4</v>
      </c>
      <c r="J37">
        <v>156.80000000000001</v>
      </c>
      <c r="K37">
        <v>116.1</v>
      </c>
      <c r="L37">
        <v>103.1</v>
      </c>
      <c r="M37">
        <v>118.1</v>
      </c>
      <c r="N37">
        <v>116.1</v>
      </c>
      <c r="O37">
        <v>124.5</v>
      </c>
      <c r="P37">
        <v>125.4</v>
      </c>
      <c r="Q37">
        <v>121.5</v>
      </c>
      <c r="R37">
        <v>118.1</v>
      </c>
      <c r="S37">
        <v>121</v>
      </c>
      <c r="T37">
        <v>116.7</v>
      </c>
      <c r="U37">
        <v>116.7</v>
      </c>
      <c r="V37">
        <v>114.3</v>
      </c>
      <c r="W37">
        <v>109.6</v>
      </c>
      <c r="X37">
        <v>111.8</v>
      </c>
      <c r="Y37">
        <v>113.3</v>
      </c>
      <c r="Z37">
        <v>121.1</v>
      </c>
      <c r="AA37">
        <v>114.7</v>
      </c>
      <c r="AB37">
        <v>118.8</v>
      </c>
      <c r="AC37">
        <v>113.9</v>
      </c>
      <c r="AD37">
        <v>120.1</v>
      </c>
      <c r="AE37">
        <f>SUM(Table1_1[[#This Row],[Cereals and products]:[Food and beverages]])</f>
        <v>1582.7</v>
      </c>
      <c r="AF37">
        <f>SUM(Table1_1[[#This Row],[Clothing and footwear]:[Clothing]])</f>
        <v>360.6</v>
      </c>
      <c r="AG37">
        <f>SUM(Table1_1[[#This Row],[Clothing]:[Education]])</f>
        <v>1397.6</v>
      </c>
      <c r="AH37">
        <f>SUM(Table1_1[[#This Row],[Health]:[Personal care and effects]])</f>
        <v>223.89999999999998</v>
      </c>
      <c r="AI37">
        <f>SUM(Table1_1[[#This Row],[Recreation and amusement]:[Miscellaneous]])</f>
        <v>581.79999999999995</v>
      </c>
      <c r="AJ37">
        <f>SUM(Table1_1[[#This Row],[Fuel and light]])</f>
        <v>114.7</v>
      </c>
      <c r="AK37">
        <f>SUM(Table1_1[[#This Row],[Food]:[Luxury &amp;Other Thing]])</f>
        <v>4146.6000000000004</v>
      </c>
      <c r="AL37">
        <f>SUM(Table1_1[[#This Row],[Food]:[Luxury &amp;Other Thing]])</f>
        <v>4146.6000000000004</v>
      </c>
    </row>
    <row r="38" spans="1:38" x14ac:dyDescent="0.25">
      <c r="A38" t="s">
        <v>30</v>
      </c>
      <c r="B38" t="s">
        <v>43</v>
      </c>
      <c r="C38">
        <v>2015</v>
      </c>
      <c r="D38">
        <v>125.6</v>
      </c>
      <c r="E38">
        <v>130.4</v>
      </c>
      <c r="F38">
        <v>120.8</v>
      </c>
      <c r="G38">
        <v>129.4</v>
      </c>
      <c r="H38">
        <v>115.8</v>
      </c>
      <c r="I38">
        <v>133.19999999999999</v>
      </c>
      <c r="J38">
        <v>157.69999999999999</v>
      </c>
      <c r="K38">
        <v>154.19999999999999</v>
      </c>
      <c r="L38">
        <v>93.7</v>
      </c>
      <c r="M38">
        <v>126.6</v>
      </c>
      <c r="N38">
        <v>122.3</v>
      </c>
      <c r="O38">
        <v>133.1</v>
      </c>
      <c r="P38">
        <v>131.80000000000001</v>
      </c>
      <c r="Q38">
        <v>131.1</v>
      </c>
      <c r="R38">
        <v>127.3</v>
      </c>
      <c r="S38">
        <v>130.6</v>
      </c>
      <c r="T38">
        <v>139.5</v>
      </c>
      <c r="U38">
        <v>125.1</v>
      </c>
      <c r="V38">
        <v>122</v>
      </c>
      <c r="W38">
        <v>114.2</v>
      </c>
      <c r="X38">
        <v>113.8</v>
      </c>
      <c r="Y38">
        <v>120.1</v>
      </c>
      <c r="Z38">
        <v>131.5</v>
      </c>
      <c r="AA38">
        <v>124.4</v>
      </c>
      <c r="AB38">
        <v>125.1</v>
      </c>
      <c r="AC38">
        <v>119.2</v>
      </c>
      <c r="AD38">
        <v>127.7</v>
      </c>
      <c r="AE38">
        <f>SUM(Table1_1[[#This Row],[Cereals and products]:[Food and beverages]])</f>
        <v>1674.6</v>
      </c>
      <c r="AF38">
        <f>SUM(Table1_1[[#This Row],[Clothing and footwear]:[Clothing]])</f>
        <v>389</v>
      </c>
      <c r="AG38">
        <f>SUM(Table1_1[[#This Row],[Clothing]:[Education]])</f>
        <v>1504.7</v>
      </c>
      <c r="AH38">
        <f>SUM(Table1_1[[#This Row],[Health]:[Personal care and effects]])</f>
        <v>236.2</v>
      </c>
      <c r="AI38">
        <f>SUM(Table1_1[[#This Row],[Recreation and amusement]:[Miscellaneous]])</f>
        <v>620.30000000000007</v>
      </c>
      <c r="AJ38">
        <f>SUM(Table1_1[[#This Row],[Fuel and light]])</f>
        <v>124.4</v>
      </c>
      <c r="AK38">
        <f>SUM(Table1_1[[#This Row],[Food]:[Luxury &amp;Other Thing]])</f>
        <v>4424.8</v>
      </c>
      <c r="AL38">
        <f>SUM(Table1_1[[#This Row],[Food]:[Luxury &amp;Other Thing]])</f>
        <v>4424.8</v>
      </c>
    </row>
    <row r="39" spans="1:38" x14ac:dyDescent="0.25">
      <c r="A39" t="s">
        <v>33</v>
      </c>
      <c r="B39" t="s">
        <v>43</v>
      </c>
      <c r="C39">
        <v>2015</v>
      </c>
      <c r="D39">
        <v>123.6</v>
      </c>
      <c r="E39">
        <v>128.6</v>
      </c>
      <c r="F39">
        <v>115.9</v>
      </c>
      <c r="G39">
        <v>128.5</v>
      </c>
      <c r="H39">
        <v>109</v>
      </c>
      <c r="I39">
        <v>124.1</v>
      </c>
      <c r="J39">
        <v>165.8</v>
      </c>
      <c r="K39">
        <v>187.2</v>
      </c>
      <c r="L39">
        <v>89.4</v>
      </c>
      <c r="M39">
        <v>135.80000000000001</v>
      </c>
      <c r="N39">
        <v>119.4</v>
      </c>
      <c r="O39">
        <v>132.9</v>
      </c>
      <c r="P39">
        <v>132.6</v>
      </c>
      <c r="Q39">
        <v>124.4</v>
      </c>
      <c r="R39">
        <v>118.8</v>
      </c>
      <c r="S39">
        <v>123.6</v>
      </c>
      <c r="T39">
        <v>122.4</v>
      </c>
      <c r="U39">
        <v>120.7</v>
      </c>
      <c r="V39">
        <v>117.7</v>
      </c>
      <c r="W39">
        <v>113.5</v>
      </c>
      <c r="X39">
        <v>109.3</v>
      </c>
      <c r="Y39">
        <v>117.7</v>
      </c>
      <c r="Z39">
        <v>135.30000000000001</v>
      </c>
      <c r="AA39">
        <v>114.9</v>
      </c>
      <c r="AB39">
        <v>126.5</v>
      </c>
      <c r="AC39">
        <v>116.5</v>
      </c>
      <c r="AD39">
        <v>124.2</v>
      </c>
      <c r="AE39">
        <f>SUM(Table1_1[[#This Row],[Cereals and products]:[Food and beverages]])</f>
        <v>1692.8000000000002</v>
      </c>
      <c r="AF39">
        <f>SUM(Table1_1[[#This Row],[Clothing and footwear]:[Clothing]])</f>
        <v>366.79999999999995</v>
      </c>
      <c r="AG39">
        <f>SUM(Table1_1[[#This Row],[Clothing]:[Education]])</f>
        <v>1444.8</v>
      </c>
      <c r="AH39">
        <f>SUM(Table1_1[[#This Row],[Health]:[Personal care and effects]])</f>
        <v>231.2</v>
      </c>
      <c r="AI39">
        <f>SUM(Table1_1[[#This Row],[Recreation and amusement]:[Miscellaneous]])</f>
        <v>610.9</v>
      </c>
      <c r="AJ39">
        <f>SUM(Table1_1[[#This Row],[Fuel and light]])</f>
        <v>114.9</v>
      </c>
      <c r="AK39">
        <f>SUM(Table1_1[[#This Row],[Food]:[Luxury &amp;Other Thing]])</f>
        <v>4346.5</v>
      </c>
      <c r="AL39">
        <f>SUM(Table1_1[[#This Row],[Food]:[Luxury &amp;Other Thing]])</f>
        <v>4346.5</v>
      </c>
    </row>
    <row r="40" spans="1:38" x14ac:dyDescent="0.25">
      <c r="A40" t="s">
        <v>34</v>
      </c>
      <c r="B40" t="s">
        <v>43</v>
      </c>
      <c r="C40">
        <v>2015</v>
      </c>
      <c r="D40">
        <v>125</v>
      </c>
      <c r="E40">
        <v>129.80000000000001</v>
      </c>
      <c r="F40">
        <v>118.9</v>
      </c>
      <c r="G40">
        <v>129.1</v>
      </c>
      <c r="H40">
        <v>113.3</v>
      </c>
      <c r="I40">
        <v>129</v>
      </c>
      <c r="J40">
        <v>160.4</v>
      </c>
      <c r="K40">
        <v>165.3</v>
      </c>
      <c r="L40">
        <v>92.3</v>
      </c>
      <c r="M40">
        <v>129.69999999999999</v>
      </c>
      <c r="N40">
        <v>121.1</v>
      </c>
      <c r="O40">
        <v>133</v>
      </c>
      <c r="P40">
        <v>132.1</v>
      </c>
      <c r="Q40">
        <v>128.5</v>
      </c>
      <c r="R40">
        <v>123.8</v>
      </c>
      <c r="S40">
        <v>127.8</v>
      </c>
      <c r="T40">
        <v>122.4</v>
      </c>
      <c r="U40">
        <v>123</v>
      </c>
      <c r="V40">
        <v>120.4</v>
      </c>
      <c r="W40">
        <v>113.9</v>
      </c>
      <c r="X40">
        <v>111.4</v>
      </c>
      <c r="Y40">
        <v>118.7</v>
      </c>
      <c r="Z40">
        <v>132.5</v>
      </c>
      <c r="AA40">
        <v>120.8</v>
      </c>
      <c r="AB40">
        <v>125.9</v>
      </c>
      <c r="AC40">
        <v>117.9</v>
      </c>
      <c r="AD40">
        <v>126.1</v>
      </c>
      <c r="AE40">
        <f>SUM(Table1_1[[#This Row],[Cereals and products]:[Food and beverages]])</f>
        <v>1678.9999999999998</v>
      </c>
      <c r="AF40">
        <f>SUM(Table1_1[[#This Row],[Clothing and footwear]:[Clothing]])</f>
        <v>380.1</v>
      </c>
      <c r="AG40">
        <f>SUM(Table1_1[[#This Row],[Clothing]:[Education]])</f>
        <v>1469.1</v>
      </c>
      <c r="AH40">
        <f>SUM(Table1_1[[#This Row],[Health]:[Personal care and effects]])</f>
        <v>234.3</v>
      </c>
      <c r="AI40">
        <f>SUM(Table1_1[[#This Row],[Recreation and amusement]:[Miscellaneous]])</f>
        <v>615.79999999999995</v>
      </c>
      <c r="AJ40">
        <f>SUM(Table1_1[[#This Row],[Fuel and light]])</f>
        <v>120.8</v>
      </c>
      <c r="AK40">
        <f>SUM(Table1_1[[#This Row],[Food]:[Luxury &amp;Other Thing]])</f>
        <v>4378.3</v>
      </c>
      <c r="AL40">
        <f>SUM(Table1_1[[#This Row],[Food]:[Luxury &amp;Other Thing]])</f>
        <v>4378.3</v>
      </c>
    </row>
    <row r="41" spans="1:38" x14ac:dyDescent="0.25">
      <c r="A41" t="s">
        <v>30</v>
      </c>
      <c r="B41" t="s">
        <v>43</v>
      </c>
      <c r="C41">
        <v>2016</v>
      </c>
      <c r="D41">
        <v>131.30000000000001</v>
      </c>
      <c r="E41">
        <v>137.6</v>
      </c>
      <c r="F41">
        <v>130.1</v>
      </c>
      <c r="G41">
        <v>136</v>
      </c>
      <c r="H41">
        <v>120.8</v>
      </c>
      <c r="I41">
        <v>138.4</v>
      </c>
      <c r="J41">
        <v>149.19999999999999</v>
      </c>
      <c r="K41">
        <v>170.2</v>
      </c>
      <c r="L41">
        <v>113.4</v>
      </c>
      <c r="M41">
        <v>136.30000000000001</v>
      </c>
      <c r="N41">
        <v>128.69999999999999</v>
      </c>
      <c r="O41">
        <v>142.4</v>
      </c>
      <c r="P41">
        <v>137.4</v>
      </c>
      <c r="Q41">
        <v>139.6</v>
      </c>
      <c r="R41">
        <v>134.30000000000001</v>
      </c>
      <c r="S41">
        <v>138.80000000000001</v>
      </c>
      <c r="T41">
        <v>139.5</v>
      </c>
      <c r="U41">
        <v>131.80000000000001</v>
      </c>
      <c r="V41">
        <v>128.69999999999999</v>
      </c>
      <c r="W41">
        <v>123</v>
      </c>
      <c r="X41">
        <v>117.8</v>
      </c>
      <c r="Y41">
        <v>126.5</v>
      </c>
      <c r="Z41">
        <v>140.9</v>
      </c>
      <c r="AA41">
        <v>129.80000000000001</v>
      </c>
      <c r="AB41">
        <v>133</v>
      </c>
      <c r="AC41">
        <v>125.7</v>
      </c>
      <c r="AD41">
        <v>133.80000000000001</v>
      </c>
      <c r="AE41">
        <f>SUM(Table1_1[[#This Row],[Cereals and products]:[Food and beverages]])</f>
        <v>1771.8000000000002</v>
      </c>
      <c r="AF41">
        <f>SUM(Table1_1[[#This Row],[Clothing and footwear]:[Clothing]])</f>
        <v>412.7</v>
      </c>
      <c r="AG41">
        <f>SUM(Table1_1[[#This Row],[Clothing]:[Education]])</f>
        <v>1583.7</v>
      </c>
      <c r="AH41">
        <f>SUM(Table1_1[[#This Row],[Health]:[Personal care and effects]])</f>
        <v>251.7</v>
      </c>
      <c r="AI41">
        <f>SUM(Table1_1[[#This Row],[Recreation and amusement]:[Miscellaneous]])</f>
        <v>655.90000000000009</v>
      </c>
      <c r="AJ41">
        <f>SUM(Table1_1[[#This Row],[Fuel and light]])</f>
        <v>129.80000000000001</v>
      </c>
      <c r="AK41">
        <f>SUM(Table1_1[[#This Row],[Food]:[Luxury &amp;Other Thing]])</f>
        <v>4675.7999999999993</v>
      </c>
      <c r="AL41">
        <f>SUM(Table1_1[[#This Row],[Food]:[Luxury &amp;Other Thing]])</f>
        <v>4675.7999999999993</v>
      </c>
    </row>
    <row r="42" spans="1:38" x14ac:dyDescent="0.25">
      <c r="A42" t="s">
        <v>33</v>
      </c>
      <c r="B42" t="s">
        <v>43</v>
      </c>
      <c r="C42">
        <v>2016</v>
      </c>
      <c r="D42">
        <v>128.69999999999999</v>
      </c>
      <c r="E42">
        <v>138.4</v>
      </c>
      <c r="F42">
        <v>130.30000000000001</v>
      </c>
      <c r="G42">
        <v>132.69999999999999</v>
      </c>
      <c r="H42">
        <v>112.5</v>
      </c>
      <c r="I42">
        <v>130.4</v>
      </c>
      <c r="J42">
        <v>155.1</v>
      </c>
      <c r="K42">
        <v>175.7</v>
      </c>
      <c r="L42">
        <v>115.4</v>
      </c>
      <c r="M42">
        <v>145.30000000000001</v>
      </c>
      <c r="N42">
        <v>122.5</v>
      </c>
      <c r="O42">
        <v>139.6</v>
      </c>
      <c r="P42">
        <v>136.30000000000001</v>
      </c>
      <c r="Q42">
        <v>129.1</v>
      </c>
      <c r="R42">
        <v>121.9</v>
      </c>
      <c r="S42">
        <v>128</v>
      </c>
      <c r="T42">
        <v>128.69999999999999</v>
      </c>
      <c r="U42">
        <v>124.5</v>
      </c>
      <c r="V42">
        <v>121.8</v>
      </c>
      <c r="W42">
        <v>120.8</v>
      </c>
      <c r="X42">
        <v>112.8</v>
      </c>
      <c r="Y42">
        <v>121.2</v>
      </c>
      <c r="Z42">
        <v>144.30000000000001</v>
      </c>
      <c r="AA42">
        <v>115.2</v>
      </c>
      <c r="AB42">
        <v>131.9</v>
      </c>
      <c r="AC42">
        <v>120.9</v>
      </c>
      <c r="AD42">
        <v>128.6</v>
      </c>
      <c r="AE42">
        <f>SUM(Table1_1[[#This Row],[Cereals and products]:[Food and beverages]])</f>
        <v>1762.8999999999999</v>
      </c>
      <c r="AF42">
        <f>SUM(Table1_1[[#This Row],[Clothing and footwear]:[Clothing]])</f>
        <v>379</v>
      </c>
      <c r="AG42">
        <f>SUM(Table1_1[[#This Row],[Clothing]:[Education]])</f>
        <v>1500.2</v>
      </c>
      <c r="AH42">
        <f>SUM(Table1_1[[#This Row],[Health]:[Personal care and effects]])</f>
        <v>242.6</v>
      </c>
      <c r="AI42">
        <f>SUM(Table1_1[[#This Row],[Recreation and amusement]:[Miscellaneous]])</f>
        <v>633.5</v>
      </c>
      <c r="AJ42">
        <f>SUM(Table1_1[[#This Row],[Fuel and light]])</f>
        <v>115.2</v>
      </c>
      <c r="AK42">
        <f>SUM(Table1_1[[#This Row],[Food]:[Luxury &amp;Other Thing]])</f>
        <v>4518.1999999999989</v>
      </c>
      <c r="AL42">
        <f>SUM(Table1_1[[#This Row],[Food]:[Luxury &amp;Other Thing]])</f>
        <v>4518.1999999999989</v>
      </c>
    </row>
    <row r="43" spans="1:38" x14ac:dyDescent="0.25">
      <c r="A43" t="s">
        <v>34</v>
      </c>
      <c r="B43" t="s">
        <v>43</v>
      </c>
      <c r="C43">
        <v>2016</v>
      </c>
      <c r="D43">
        <v>130.5</v>
      </c>
      <c r="E43">
        <v>137.9</v>
      </c>
      <c r="F43">
        <v>130.19999999999999</v>
      </c>
      <c r="G43">
        <v>134.80000000000001</v>
      </c>
      <c r="H43">
        <v>117.8</v>
      </c>
      <c r="I43">
        <v>134.69999999999999</v>
      </c>
      <c r="J43">
        <v>151.19999999999999</v>
      </c>
      <c r="K43">
        <v>172.1</v>
      </c>
      <c r="L43">
        <v>114.1</v>
      </c>
      <c r="M43">
        <v>139.30000000000001</v>
      </c>
      <c r="N43">
        <v>126.1</v>
      </c>
      <c r="O43">
        <v>141.1</v>
      </c>
      <c r="P43">
        <v>137</v>
      </c>
      <c r="Q43">
        <v>135.5</v>
      </c>
      <c r="R43">
        <v>129.1</v>
      </c>
      <c r="S43">
        <v>134.5</v>
      </c>
      <c r="T43">
        <v>128.69999999999999</v>
      </c>
      <c r="U43">
        <v>128.4</v>
      </c>
      <c r="V43">
        <v>126.1</v>
      </c>
      <c r="W43">
        <v>122.1</v>
      </c>
      <c r="X43">
        <v>115.2</v>
      </c>
      <c r="Y43">
        <v>123.5</v>
      </c>
      <c r="Z43">
        <v>141.80000000000001</v>
      </c>
      <c r="AA43">
        <v>124.3</v>
      </c>
      <c r="AB43">
        <v>132.4</v>
      </c>
      <c r="AC43">
        <v>123.4</v>
      </c>
      <c r="AD43">
        <v>131.4</v>
      </c>
      <c r="AE43">
        <f>SUM(Table1_1[[#This Row],[Cereals and products]:[Food and beverages]])</f>
        <v>1766.7999999999995</v>
      </c>
      <c r="AF43">
        <f>SUM(Table1_1[[#This Row],[Clothing and footwear]:[Clothing]])</f>
        <v>399.1</v>
      </c>
      <c r="AG43">
        <f>SUM(Table1_1[[#This Row],[Clothing]:[Education]])</f>
        <v>1541.6</v>
      </c>
      <c r="AH43">
        <f>SUM(Table1_1[[#This Row],[Health]:[Personal care and effects]])</f>
        <v>248.2</v>
      </c>
      <c r="AI43">
        <f>SUM(Table1_1[[#This Row],[Recreation and amusement]:[Miscellaneous]])</f>
        <v>645.4</v>
      </c>
      <c r="AJ43">
        <f>SUM(Table1_1[[#This Row],[Fuel and light]])</f>
        <v>124.3</v>
      </c>
      <c r="AK43">
        <f>SUM(Table1_1[[#This Row],[Food]:[Luxury &amp;Other Thing]])</f>
        <v>4601.0999999999995</v>
      </c>
      <c r="AL43">
        <f>SUM(Table1_1[[#This Row],[Food]:[Luxury &amp;Other Thing]])</f>
        <v>4601.0999999999995</v>
      </c>
    </row>
    <row r="44" spans="1:38" x14ac:dyDescent="0.25">
      <c r="A44" t="s">
        <v>30</v>
      </c>
      <c r="B44" t="s">
        <v>43</v>
      </c>
      <c r="C44">
        <v>2017</v>
      </c>
      <c r="D44">
        <v>135.9</v>
      </c>
      <c r="E44">
        <v>141.9</v>
      </c>
      <c r="F44">
        <v>131</v>
      </c>
      <c r="G44">
        <v>141.5</v>
      </c>
      <c r="H44">
        <v>121.4</v>
      </c>
      <c r="I44">
        <v>146.69999999999999</v>
      </c>
      <c r="J44">
        <v>157.1</v>
      </c>
      <c r="K44">
        <v>136.4</v>
      </c>
      <c r="L44">
        <v>121.4</v>
      </c>
      <c r="M44">
        <v>135.6</v>
      </c>
      <c r="N44">
        <v>131.30000000000001</v>
      </c>
      <c r="O44">
        <v>150.30000000000001</v>
      </c>
      <c r="P44">
        <v>140.4</v>
      </c>
      <c r="Q44">
        <v>147.19999999999999</v>
      </c>
      <c r="R44">
        <v>140.6</v>
      </c>
      <c r="S44">
        <v>146.19999999999999</v>
      </c>
      <c r="T44">
        <v>139.5</v>
      </c>
      <c r="U44">
        <v>138.4</v>
      </c>
      <c r="V44">
        <v>134.19999999999999</v>
      </c>
      <c r="W44">
        <v>127.4</v>
      </c>
      <c r="X44">
        <v>121</v>
      </c>
      <c r="Y44">
        <v>133</v>
      </c>
      <c r="Z44">
        <v>150.5</v>
      </c>
      <c r="AA44">
        <v>138.1</v>
      </c>
      <c r="AB44">
        <v>140.1</v>
      </c>
      <c r="AC44">
        <v>130.69999999999999</v>
      </c>
      <c r="AD44">
        <v>138.30000000000001</v>
      </c>
      <c r="AE44">
        <f>SUM(Table1_1[[#This Row],[Cereals and products]:[Food and beverages]])</f>
        <v>1790.8999999999999</v>
      </c>
      <c r="AF44">
        <f>SUM(Table1_1[[#This Row],[Clothing and footwear]:[Clothing]])</f>
        <v>433.99999999999994</v>
      </c>
      <c r="AG44">
        <f>SUM(Table1_1[[#This Row],[Clothing]:[Education]])</f>
        <v>1656.1999999999998</v>
      </c>
      <c r="AH44">
        <f>SUM(Table1_1[[#This Row],[Health]:[Personal care and effects]])</f>
        <v>261.60000000000002</v>
      </c>
      <c r="AI44">
        <f>SUM(Table1_1[[#This Row],[Recreation and amusement]:[Miscellaneous]])</f>
        <v>692.40000000000009</v>
      </c>
      <c r="AJ44">
        <f>SUM(Table1_1[[#This Row],[Fuel and light]])</f>
        <v>138.1</v>
      </c>
      <c r="AK44">
        <f>SUM(Table1_1[[#This Row],[Food]:[Luxury &amp;Other Thing]])</f>
        <v>4835.1000000000004</v>
      </c>
      <c r="AL44">
        <f>SUM(Table1_1[[#This Row],[Food]:[Luxury &amp;Other Thing]])</f>
        <v>4835.1000000000004</v>
      </c>
    </row>
    <row r="45" spans="1:38" x14ac:dyDescent="0.25">
      <c r="A45" t="s">
        <v>33</v>
      </c>
      <c r="B45" t="s">
        <v>43</v>
      </c>
      <c r="C45">
        <v>2017</v>
      </c>
      <c r="D45">
        <v>133.9</v>
      </c>
      <c r="E45">
        <v>142.80000000000001</v>
      </c>
      <c r="F45">
        <v>131.4</v>
      </c>
      <c r="G45">
        <v>139.1</v>
      </c>
      <c r="H45">
        <v>114.9</v>
      </c>
      <c r="I45">
        <v>135.6</v>
      </c>
      <c r="J45">
        <v>173.2</v>
      </c>
      <c r="K45">
        <v>124.1</v>
      </c>
      <c r="L45">
        <v>122.6</v>
      </c>
      <c r="M45">
        <v>137.80000000000001</v>
      </c>
      <c r="N45">
        <v>125.1</v>
      </c>
      <c r="O45">
        <v>145.5</v>
      </c>
      <c r="P45">
        <v>139.69999999999999</v>
      </c>
      <c r="Q45">
        <v>134</v>
      </c>
      <c r="R45">
        <v>124.9</v>
      </c>
      <c r="S45">
        <v>132.6</v>
      </c>
      <c r="T45">
        <v>137.30000000000001</v>
      </c>
      <c r="U45">
        <v>128.30000000000001</v>
      </c>
      <c r="V45">
        <v>126.6</v>
      </c>
      <c r="W45">
        <v>124.6</v>
      </c>
      <c r="X45">
        <v>115</v>
      </c>
      <c r="Y45">
        <v>124.8</v>
      </c>
      <c r="Z45">
        <v>154.6</v>
      </c>
      <c r="AA45">
        <v>122.6</v>
      </c>
      <c r="AB45">
        <v>136.30000000000001</v>
      </c>
      <c r="AC45">
        <v>124.5</v>
      </c>
      <c r="AD45">
        <v>133.5</v>
      </c>
      <c r="AE45">
        <f>SUM(Table1_1[[#This Row],[Cereals and products]:[Food and beverages]])</f>
        <v>1765.6999999999998</v>
      </c>
      <c r="AF45">
        <f>SUM(Table1_1[[#This Row],[Clothing and footwear]:[Clothing]])</f>
        <v>391.5</v>
      </c>
      <c r="AG45">
        <f>SUM(Table1_1[[#This Row],[Clothing]:[Education]])</f>
        <v>1561.5999999999997</v>
      </c>
      <c r="AH45">
        <f>SUM(Table1_1[[#This Row],[Health]:[Personal care and effects]])</f>
        <v>251.2</v>
      </c>
      <c r="AI45">
        <f>SUM(Table1_1[[#This Row],[Recreation and amusement]:[Miscellaneous]])</f>
        <v>662.8</v>
      </c>
      <c r="AJ45">
        <f>SUM(Table1_1[[#This Row],[Fuel and light]])</f>
        <v>122.6</v>
      </c>
      <c r="AK45">
        <f>SUM(Table1_1[[#This Row],[Food]:[Luxury &amp;Other Thing]])</f>
        <v>4632.7999999999993</v>
      </c>
      <c r="AL45">
        <f>SUM(Table1_1[[#This Row],[Food]:[Luxury &amp;Other Thing]])</f>
        <v>4632.7999999999993</v>
      </c>
    </row>
    <row r="46" spans="1:38" x14ac:dyDescent="0.25">
      <c r="A46" t="s">
        <v>34</v>
      </c>
      <c r="B46" t="s">
        <v>43</v>
      </c>
      <c r="C46">
        <v>2017</v>
      </c>
      <c r="D46">
        <v>135.30000000000001</v>
      </c>
      <c r="E46">
        <v>142.19999999999999</v>
      </c>
      <c r="F46">
        <v>131.19999999999999</v>
      </c>
      <c r="G46">
        <v>140.6</v>
      </c>
      <c r="H46">
        <v>119</v>
      </c>
      <c r="I46">
        <v>141.5</v>
      </c>
      <c r="J46">
        <v>162.6</v>
      </c>
      <c r="K46">
        <v>132.30000000000001</v>
      </c>
      <c r="L46">
        <v>121.8</v>
      </c>
      <c r="M46">
        <v>136.30000000000001</v>
      </c>
      <c r="N46">
        <v>128.69999999999999</v>
      </c>
      <c r="O46">
        <v>148.1</v>
      </c>
      <c r="P46">
        <v>140.1</v>
      </c>
      <c r="Q46">
        <v>142</v>
      </c>
      <c r="R46">
        <v>134.1</v>
      </c>
      <c r="S46">
        <v>140.80000000000001</v>
      </c>
      <c r="T46">
        <v>137.30000000000001</v>
      </c>
      <c r="U46">
        <v>133.6</v>
      </c>
      <c r="V46">
        <v>131.30000000000001</v>
      </c>
      <c r="W46">
        <v>126.2</v>
      </c>
      <c r="X46">
        <v>117.8</v>
      </c>
      <c r="Y46">
        <v>128.4</v>
      </c>
      <c r="Z46">
        <v>151.6</v>
      </c>
      <c r="AA46">
        <v>132.19999999999999</v>
      </c>
      <c r="AB46">
        <v>137.9</v>
      </c>
      <c r="AC46">
        <v>127.7</v>
      </c>
      <c r="AD46">
        <v>136.1</v>
      </c>
      <c r="AE46">
        <f>SUM(Table1_1[[#This Row],[Cereals and products]:[Food and beverages]])</f>
        <v>1779.6999999999998</v>
      </c>
      <c r="AF46">
        <f>SUM(Table1_1[[#This Row],[Clothing and footwear]:[Clothing]])</f>
        <v>416.90000000000003</v>
      </c>
      <c r="AG46">
        <f>SUM(Table1_1[[#This Row],[Clothing]:[Education]])</f>
        <v>1613.2000000000003</v>
      </c>
      <c r="AH46">
        <f>SUM(Table1_1[[#This Row],[Health]:[Personal care and effects]])</f>
        <v>257.5</v>
      </c>
      <c r="AI46">
        <f>SUM(Table1_1[[#This Row],[Recreation and amusement]:[Miscellaneous]])</f>
        <v>677.80000000000007</v>
      </c>
      <c r="AJ46">
        <f>SUM(Table1_1[[#This Row],[Fuel and light]])</f>
        <v>132.19999999999999</v>
      </c>
      <c r="AK46">
        <f>SUM(Table1_1[[#This Row],[Food]:[Luxury &amp;Other Thing]])</f>
        <v>4745.1000000000004</v>
      </c>
      <c r="AL46">
        <f>SUM(Table1_1[[#This Row],[Food]:[Luxury &amp;Other Thing]])</f>
        <v>4745.1000000000004</v>
      </c>
    </row>
    <row r="47" spans="1:38" x14ac:dyDescent="0.25">
      <c r="A47" t="s">
        <v>30</v>
      </c>
      <c r="B47" t="s">
        <v>43</v>
      </c>
      <c r="C47">
        <v>2018</v>
      </c>
      <c r="D47">
        <v>139.30000000000001</v>
      </c>
      <c r="E47">
        <v>147.6</v>
      </c>
      <c r="F47">
        <v>134.6</v>
      </c>
      <c r="G47">
        <v>141.9</v>
      </c>
      <c r="H47">
        <v>123.5</v>
      </c>
      <c r="I47">
        <v>144.5</v>
      </c>
      <c r="J47">
        <v>147.6</v>
      </c>
      <c r="K47">
        <v>121.4</v>
      </c>
      <c r="L47">
        <v>112.3</v>
      </c>
      <c r="M47">
        <v>139.5</v>
      </c>
      <c r="N47">
        <v>134.6</v>
      </c>
      <c r="O47">
        <v>155.19999999999999</v>
      </c>
      <c r="P47">
        <v>140.19999999999999</v>
      </c>
      <c r="Q47">
        <v>150.69999999999999</v>
      </c>
      <c r="R47">
        <v>144.5</v>
      </c>
      <c r="S47">
        <v>149.80000000000001</v>
      </c>
      <c r="T47">
        <v>139.5</v>
      </c>
      <c r="U47">
        <v>147.5</v>
      </c>
      <c r="V47">
        <v>144.80000000000001</v>
      </c>
      <c r="W47">
        <v>134.4</v>
      </c>
      <c r="X47">
        <v>130.80000000000001</v>
      </c>
      <c r="Y47">
        <v>140.1</v>
      </c>
      <c r="Z47">
        <v>159.6</v>
      </c>
      <c r="AA47">
        <v>149.69999999999999</v>
      </c>
      <c r="AB47">
        <v>148</v>
      </c>
      <c r="AC47">
        <v>139.80000000000001</v>
      </c>
      <c r="AD47">
        <v>142.19999999999999</v>
      </c>
      <c r="AE47">
        <f>SUM(Table1_1[[#This Row],[Cereals and products]:[Food and beverages]])</f>
        <v>1782.2</v>
      </c>
      <c r="AF47">
        <f>SUM(Table1_1[[#This Row],[Clothing and footwear]:[Clothing]])</f>
        <v>445</v>
      </c>
      <c r="AG47">
        <f>SUM(Table1_1[[#This Row],[Clothing]:[Education]])</f>
        <v>1739.3999999999999</v>
      </c>
      <c r="AH47">
        <f>SUM(Table1_1[[#This Row],[Health]:[Personal care and effects]])</f>
        <v>279.20000000000005</v>
      </c>
      <c r="AI47">
        <f>SUM(Table1_1[[#This Row],[Recreation and amusement]:[Miscellaneous]])</f>
        <v>737.2</v>
      </c>
      <c r="AJ47">
        <f>SUM(Table1_1[[#This Row],[Fuel and light]])</f>
        <v>149.69999999999999</v>
      </c>
      <c r="AK47">
        <f>SUM(Table1_1[[#This Row],[Food]:[Luxury &amp;Other Thing]])</f>
        <v>4982.9999999999991</v>
      </c>
      <c r="AL47">
        <f>SUM(Table1_1[[#This Row],[Food]:[Luxury &amp;Other Thing]])</f>
        <v>4982.9999999999991</v>
      </c>
    </row>
    <row r="48" spans="1:38" x14ac:dyDescent="0.25">
      <c r="A48" t="s">
        <v>33</v>
      </c>
      <c r="B48" t="s">
        <v>43</v>
      </c>
      <c r="C48">
        <v>2018</v>
      </c>
      <c r="D48">
        <v>137.6</v>
      </c>
      <c r="E48">
        <v>144.9</v>
      </c>
      <c r="F48">
        <v>133.5</v>
      </c>
      <c r="G48">
        <v>141.5</v>
      </c>
      <c r="H48">
        <v>118</v>
      </c>
      <c r="I48">
        <v>139.5</v>
      </c>
      <c r="J48">
        <v>153</v>
      </c>
      <c r="K48">
        <v>113.2</v>
      </c>
      <c r="L48">
        <v>112.8</v>
      </c>
      <c r="M48">
        <v>141.1</v>
      </c>
      <c r="N48">
        <v>127.6</v>
      </c>
      <c r="O48">
        <v>152</v>
      </c>
      <c r="P48">
        <v>139.4</v>
      </c>
      <c r="Q48">
        <v>141.5</v>
      </c>
      <c r="R48">
        <v>129.80000000000001</v>
      </c>
      <c r="S48">
        <v>139.69999999999999</v>
      </c>
      <c r="T48">
        <v>146.30000000000001</v>
      </c>
      <c r="U48">
        <v>135.1</v>
      </c>
      <c r="V48">
        <v>136.19999999999999</v>
      </c>
      <c r="W48">
        <v>130.4</v>
      </c>
      <c r="X48">
        <v>123.3</v>
      </c>
      <c r="Y48">
        <v>130.69999999999999</v>
      </c>
      <c r="Z48">
        <v>164</v>
      </c>
      <c r="AA48">
        <v>133.4</v>
      </c>
      <c r="AB48">
        <v>145.5</v>
      </c>
      <c r="AC48">
        <v>132.5</v>
      </c>
      <c r="AD48">
        <v>138.9</v>
      </c>
      <c r="AE48">
        <f>SUM(Table1_1[[#This Row],[Cereals and products]:[Food and beverages]])</f>
        <v>1754.1</v>
      </c>
      <c r="AF48">
        <f>SUM(Table1_1[[#This Row],[Clothing and footwear]:[Clothing]])</f>
        <v>411</v>
      </c>
      <c r="AG48">
        <f>SUM(Table1_1[[#This Row],[Clothing]:[Education]])</f>
        <v>1655.9</v>
      </c>
      <c r="AH48">
        <f>SUM(Table1_1[[#This Row],[Health]:[Personal care and effects]])</f>
        <v>266.60000000000002</v>
      </c>
      <c r="AI48">
        <f>SUM(Table1_1[[#This Row],[Recreation and amusement]:[Miscellaneous]])</f>
        <v>706.1</v>
      </c>
      <c r="AJ48">
        <f>SUM(Table1_1[[#This Row],[Fuel and light]])</f>
        <v>133.4</v>
      </c>
      <c r="AK48">
        <f>SUM(Table1_1[[#This Row],[Food]:[Luxury &amp;Other Thing]])</f>
        <v>4793.7</v>
      </c>
      <c r="AL48">
        <f>SUM(Table1_1[[#This Row],[Food]:[Luxury &amp;Other Thing]])</f>
        <v>4793.7</v>
      </c>
    </row>
    <row r="49" spans="1:38" x14ac:dyDescent="0.25">
      <c r="A49" t="s">
        <v>34</v>
      </c>
      <c r="B49" t="s">
        <v>43</v>
      </c>
      <c r="C49">
        <v>2018</v>
      </c>
      <c r="D49">
        <v>137.4</v>
      </c>
      <c r="E49">
        <v>149.5</v>
      </c>
      <c r="F49">
        <v>137.30000000000001</v>
      </c>
      <c r="G49">
        <v>141.9</v>
      </c>
      <c r="H49">
        <v>121.1</v>
      </c>
      <c r="I49">
        <v>142.5</v>
      </c>
      <c r="J49">
        <v>146.69999999999999</v>
      </c>
      <c r="K49">
        <v>119.1</v>
      </c>
      <c r="L49">
        <v>111.9</v>
      </c>
      <c r="M49">
        <v>141</v>
      </c>
      <c r="N49">
        <v>133.6</v>
      </c>
      <c r="O49">
        <v>154.5</v>
      </c>
      <c r="P49">
        <v>139.69999999999999</v>
      </c>
      <c r="Q49">
        <v>148</v>
      </c>
      <c r="R49">
        <v>139.19999999999999</v>
      </c>
      <c r="S49">
        <v>146.80000000000001</v>
      </c>
      <c r="T49">
        <v>146.9</v>
      </c>
      <c r="U49">
        <v>142.19999999999999</v>
      </c>
      <c r="V49">
        <v>142.1</v>
      </c>
      <c r="W49">
        <v>132</v>
      </c>
      <c r="X49">
        <v>125.5</v>
      </c>
      <c r="Y49">
        <v>136.5</v>
      </c>
      <c r="Z49">
        <v>162.6</v>
      </c>
      <c r="AA49">
        <v>145.30000000000001</v>
      </c>
      <c r="AB49">
        <v>147.80000000000001</v>
      </c>
      <c r="AC49">
        <v>136.30000000000001</v>
      </c>
      <c r="AD49">
        <v>140.80000000000001</v>
      </c>
      <c r="AE49">
        <f>SUM(Table1_1[[#This Row],[Cereals and products]:[Food and beverages]])</f>
        <v>1776.2</v>
      </c>
      <c r="AF49">
        <f>SUM(Table1_1[[#This Row],[Clothing and footwear]:[Clothing]])</f>
        <v>434</v>
      </c>
      <c r="AG49">
        <f>SUM(Table1_1[[#This Row],[Clothing]:[Education]])</f>
        <v>1714.8999999999996</v>
      </c>
      <c r="AH49">
        <f>SUM(Table1_1[[#This Row],[Health]:[Personal care and effects]])</f>
        <v>274.10000000000002</v>
      </c>
      <c r="AI49">
        <f>SUM(Table1_1[[#This Row],[Recreation and amusement]:[Miscellaneous]])</f>
        <v>728.5</v>
      </c>
      <c r="AJ49">
        <f>SUM(Table1_1[[#This Row],[Fuel and light]])</f>
        <v>145.30000000000001</v>
      </c>
      <c r="AK49">
        <f>SUM(Table1_1[[#This Row],[Food]:[Luxury &amp;Other Thing]])</f>
        <v>4927.7</v>
      </c>
      <c r="AL49">
        <f>SUM(Table1_1[[#This Row],[Food]:[Luxury &amp;Other Thing]])</f>
        <v>4927.7</v>
      </c>
    </row>
    <row r="50" spans="1:38" x14ac:dyDescent="0.25">
      <c r="A50" t="s">
        <v>30</v>
      </c>
      <c r="B50" t="s">
        <v>43</v>
      </c>
      <c r="C50">
        <v>2019</v>
      </c>
      <c r="D50">
        <v>141</v>
      </c>
      <c r="E50">
        <v>161.6</v>
      </c>
      <c r="F50">
        <v>141.19999999999999</v>
      </c>
      <c r="G50">
        <v>146.5</v>
      </c>
      <c r="H50">
        <v>125.6</v>
      </c>
      <c r="I50">
        <v>145.69999999999999</v>
      </c>
      <c r="J50">
        <v>178.8</v>
      </c>
      <c r="K50">
        <v>133.1</v>
      </c>
      <c r="L50">
        <v>113.6</v>
      </c>
      <c r="M50">
        <v>145.5</v>
      </c>
      <c r="N50">
        <v>138.6</v>
      </c>
      <c r="O50">
        <v>157.4</v>
      </c>
      <c r="P50">
        <v>148.30000000000001</v>
      </c>
      <c r="Q50">
        <v>151.69999999999999</v>
      </c>
      <c r="R50">
        <v>146.69999999999999</v>
      </c>
      <c r="S50">
        <v>151</v>
      </c>
      <c r="T50">
        <v>139.5</v>
      </c>
      <c r="U50">
        <v>150.6</v>
      </c>
      <c r="V50">
        <v>153.69999999999999</v>
      </c>
      <c r="W50">
        <v>140.30000000000001</v>
      </c>
      <c r="X50">
        <v>131.69999999999999</v>
      </c>
      <c r="Y50">
        <v>148.69999999999999</v>
      </c>
      <c r="Z50">
        <v>166.3</v>
      </c>
      <c r="AA50">
        <v>147.69999999999999</v>
      </c>
      <c r="AB50">
        <v>160.69999999999999</v>
      </c>
      <c r="AC50">
        <v>145.69999999999999</v>
      </c>
      <c r="AD50">
        <v>148.30000000000001</v>
      </c>
      <c r="AE50">
        <f>SUM(Table1_1[[#This Row],[Cereals and products]:[Food and beverages]])</f>
        <v>1876.8999999999996</v>
      </c>
      <c r="AF50">
        <f>SUM(Table1_1[[#This Row],[Clothing and footwear]:[Clothing]])</f>
        <v>449.4</v>
      </c>
      <c r="AG50">
        <f>SUM(Table1_1[[#This Row],[Clothing]:[Education]])</f>
        <v>1788.6000000000001</v>
      </c>
      <c r="AH50">
        <f>SUM(Table1_1[[#This Row],[Health]:[Personal care and effects]])</f>
        <v>294</v>
      </c>
      <c r="AI50">
        <f>SUM(Table1_1[[#This Row],[Recreation and amusement]:[Miscellaneous]])</f>
        <v>769.09999999999991</v>
      </c>
      <c r="AJ50">
        <f>SUM(Table1_1[[#This Row],[Fuel and light]])</f>
        <v>147.69999999999999</v>
      </c>
      <c r="AK50">
        <f>SUM(Table1_1[[#This Row],[Food]:[Luxury &amp;Other Thing]])</f>
        <v>5178</v>
      </c>
      <c r="AL50">
        <f>SUM(Table1_1[[#This Row],[Food]:[Luxury &amp;Other Thing]])</f>
        <v>5178</v>
      </c>
    </row>
    <row r="51" spans="1:38" x14ac:dyDescent="0.25">
      <c r="A51" t="s">
        <v>33</v>
      </c>
      <c r="B51" t="s">
        <v>43</v>
      </c>
      <c r="C51">
        <v>2019</v>
      </c>
      <c r="D51">
        <v>143.5</v>
      </c>
      <c r="E51">
        <v>159.80000000000001</v>
      </c>
      <c r="F51">
        <v>144.69999999999999</v>
      </c>
      <c r="G51">
        <v>145.6</v>
      </c>
      <c r="H51">
        <v>121.1</v>
      </c>
      <c r="I51">
        <v>150.6</v>
      </c>
      <c r="J51">
        <v>207.2</v>
      </c>
      <c r="K51">
        <v>131.19999999999999</v>
      </c>
      <c r="L51">
        <v>114.8</v>
      </c>
      <c r="M51">
        <v>145.19999999999999</v>
      </c>
      <c r="N51">
        <v>130.19999999999999</v>
      </c>
      <c r="O51">
        <v>156.80000000000001</v>
      </c>
      <c r="P51">
        <v>151.9</v>
      </c>
      <c r="Q51">
        <v>145.9</v>
      </c>
      <c r="R51">
        <v>132.4</v>
      </c>
      <c r="S51">
        <v>143.9</v>
      </c>
      <c r="T51">
        <v>153</v>
      </c>
      <c r="U51">
        <v>138.69999999999999</v>
      </c>
      <c r="V51">
        <v>142.4</v>
      </c>
      <c r="W51">
        <v>139.5</v>
      </c>
      <c r="X51">
        <v>121.5</v>
      </c>
      <c r="Y51">
        <v>136.19999999999999</v>
      </c>
      <c r="Z51">
        <v>169.3</v>
      </c>
      <c r="AA51">
        <v>128.9</v>
      </c>
      <c r="AB51">
        <v>151.69999999999999</v>
      </c>
      <c r="AC51">
        <v>136</v>
      </c>
      <c r="AD51">
        <v>146</v>
      </c>
      <c r="AE51">
        <f>SUM(Table1_1[[#This Row],[Cereals and products]:[Food and beverages]])</f>
        <v>1902.6000000000001</v>
      </c>
      <c r="AF51">
        <f>SUM(Table1_1[[#This Row],[Clothing and footwear]:[Clothing]])</f>
        <v>422.20000000000005</v>
      </c>
      <c r="AG51">
        <f>SUM(Table1_1[[#This Row],[Clothing]:[Education]])</f>
        <v>1703.4000000000003</v>
      </c>
      <c r="AH51">
        <f>SUM(Table1_1[[#This Row],[Health]:[Personal care and effects]])</f>
        <v>281.89999999999998</v>
      </c>
      <c r="AI51">
        <f>SUM(Table1_1[[#This Row],[Recreation and amusement]:[Miscellaneous]])</f>
        <v>722.09999999999991</v>
      </c>
      <c r="AJ51">
        <f>SUM(Table1_1[[#This Row],[Fuel and light]])</f>
        <v>128.9</v>
      </c>
      <c r="AK51">
        <f>SUM(Table1_1[[#This Row],[Food]:[Luxury &amp;Other Thing]])</f>
        <v>5032.2000000000007</v>
      </c>
      <c r="AL51">
        <f>SUM(Table1_1[[#This Row],[Food]:[Luxury &amp;Other Thing]])</f>
        <v>5032.2000000000007</v>
      </c>
    </row>
    <row r="52" spans="1:38" x14ac:dyDescent="0.25">
      <c r="A52" t="s">
        <v>34</v>
      </c>
      <c r="B52" t="s">
        <v>43</v>
      </c>
      <c r="C52">
        <v>2019</v>
      </c>
      <c r="D52">
        <v>141.80000000000001</v>
      </c>
      <c r="E52">
        <v>161</v>
      </c>
      <c r="F52">
        <v>142.6</v>
      </c>
      <c r="G52">
        <v>146.19999999999999</v>
      </c>
      <c r="H52">
        <v>123.9</v>
      </c>
      <c r="I52">
        <v>148</v>
      </c>
      <c r="J52">
        <v>188.4</v>
      </c>
      <c r="K52">
        <v>132.5</v>
      </c>
      <c r="L52">
        <v>114</v>
      </c>
      <c r="M52">
        <v>145.4</v>
      </c>
      <c r="N52">
        <v>135.1</v>
      </c>
      <c r="O52">
        <v>157.1</v>
      </c>
      <c r="P52">
        <v>149.6</v>
      </c>
      <c r="Q52">
        <v>149.4</v>
      </c>
      <c r="R52">
        <v>140.80000000000001</v>
      </c>
      <c r="S52">
        <v>148.19999999999999</v>
      </c>
      <c r="T52">
        <v>153</v>
      </c>
      <c r="U52">
        <v>145</v>
      </c>
      <c r="V52">
        <v>149.4</v>
      </c>
      <c r="W52">
        <v>140</v>
      </c>
      <c r="X52">
        <v>126.3</v>
      </c>
      <c r="Y52">
        <v>141.69999999999999</v>
      </c>
      <c r="Z52">
        <v>167.1</v>
      </c>
      <c r="AA52">
        <v>140.6</v>
      </c>
      <c r="AB52">
        <v>155.4</v>
      </c>
      <c r="AC52">
        <v>141</v>
      </c>
      <c r="AD52">
        <v>147.19999999999999</v>
      </c>
      <c r="AE52">
        <f>SUM(Table1_1[[#This Row],[Cereals and products]:[Food and beverages]])</f>
        <v>1885.5999999999997</v>
      </c>
      <c r="AF52">
        <f>SUM(Table1_1[[#This Row],[Clothing and footwear]:[Clothing]])</f>
        <v>438.40000000000003</v>
      </c>
      <c r="AG52">
        <f>SUM(Table1_1[[#This Row],[Clothing]:[Education]])</f>
        <v>1756.9</v>
      </c>
      <c r="AH52">
        <f>SUM(Table1_1[[#This Row],[Health]:[Personal care and effects]])</f>
        <v>289.39999999999998</v>
      </c>
      <c r="AI52">
        <f>SUM(Table1_1[[#This Row],[Recreation and amusement]:[Miscellaneous]])</f>
        <v>745.8</v>
      </c>
      <c r="AJ52">
        <f>SUM(Table1_1[[#This Row],[Fuel and light]])</f>
        <v>140.6</v>
      </c>
      <c r="AK52">
        <f>SUM(Table1_1[[#This Row],[Food]:[Luxury &amp;Other Thing]])</f>
        <v>5116.0999999999995</v>
      </c>
      <c r="AL52">
        <f>SUM(Table1_1[[#This Row],[Food]:[Luxury &amp;Other Thing]])</f>
        <v>5116.0999999999995</v>
      </c>
    </row>
    <row r="53" spans="1:38" x14ac:dyDescent="0.25">
      <c r="A53" t="s">
        <v>30</v>
      </c>
      <c r="B53" t="s">
        <v>43</v>
      </c>
      <c r="C53">
        <v>2020</v>
      </c>
      <c r="D53">
        <v>146</v>
      </c>
      <c r="E53">
        <v>186.3</v>
      </c>
      <c r="F53">
        <v>159.19999999999999</v>
      </c>
      <c r="G53">
        <v>153.6</v>
      </c>
      <c r="H53">
        <v>142.6</v>
      </c>
      <c r="I53">
        <v>147.19999999999999</v>
      </c>
      <c r="J53">
        <v>200.6</v>
      </c>
      <c r="K53">
        <v>150.30000000000001</v>
      </c>
      <c r="L53">
        <v>115.3</v>
      </c>
      <c r="M53">
        <v>160.9</v>
      </c>
      <c r="N53">
        <v>147.4</v>
      </c>
      <c r="O53">
        <v>161.9</v>
      </c>
      <c r="P53">
        <v>159.6</v>
      </c>
      <c r="Q53">
        <v>155.69999999999999</v>
      </c>
      <c r="R53">
        <v>150.6</v>
      </c>
      <c r="S53">
        <v>155</v>
      </c>
      <c r="T53">
        <v>139.5</v>
      </c>
      <c r="U53">
        <v>152</v>
      </c>
      <c r="V53">
        <v>159.5</v>
      </c>
      <c r="W53">
        <v>156.19999999999999</v>
      </c>
      <c r="X53">
        <v>146.4</v>
      </c>
      <c r="Y53">
        <v>152.4</v>
      </c>
      <c r="Z53">
        <v>182.7</v>
      </c>
      <c r="AA53">
        <v>146.80000000000001</v>
      </c>
      <c r="AB53">
        <v>162.5</v>
      </c>
      <c r="AC53">
        <v>154.30000000000001</v>
      </c>
      <c r="AD53">
        <v>157.5</v>
      </c>
      <c r="AE53">
        <f>SUM(Table1_1[[#This Row],[Cereals and products]:[Food and beverages]])</f>
        <v>2030.9</v>
      </c>
      <c r="AF53">
        <f>SUM(Table1_1[[#This Row],[Clothing and footwear]:[Clothing]])</f>
        <v>461.29999999999995</v>
      </c>
      <c r="AG53">
        <f>SUM(Table1_1[[#This Row],[Clothing]:[Education]])</f>
        <v>1859.3000000000002</v>
      </c>
      <c r="AH53">
        <f>SUM(Table1_1[[#This Row],[Health]:[Personal care and effects]])</f>
        <v>315.7</v>
      </c>
      <c r="AI53">
        <f>SUM(Table1_1[[#This Row],[Recreation and amusement]:[Miscellaneous]])</f>
        <v>798.7</v>
      </c>
      <c r="AJ53">
        <f>SUM(Table1_1[[#This Row],[Fuel and light]])</f>
        <v>146.80000000000001</v>
      </c>
      <c r="AK53">
        <f>SUM(Table1_1[[#This Row],[Food]:[Luxury &amp;Other Thing]])</f>
        <v>5465.9</v>
      </c>
      <c r="AL53">
        <f>SUM(Table1_1[[#This Row],[Food]:[Luxury &amp;Other Thing]])</f>
        <v>5465.9</v>
      </c>
    </row>
    <row r="54" spans="1:38" x14ac:dyDescent="0.25">
      <c r="A54" t="s">
        <v>33</v>
      </c>
      <c r="B54" t="s">
        <v>43</v>
      </c>
      <c r="C54">
        <v>2020</v>
      </c>
      <c r="D54">
        <v>150.6</v>
      </c>
      <c r="E54">
        <v>193.7</v>
      </c>
      <c r="F54">
        <v>164.8</v>
      </c>
      <c r="G54">
        <v>153.69999999999999</v>
      </c>
      <c r="H54">
        <v>135.69999999999999</v>
      </c>
      <c r="I54">
        <v>155.69999999999999</v>
      </c>
      <c r="J54">
        <v>226</v>
      </c>
      <c r="K54">
        <v>152.19999999999999</v>
      </c>
      <c r="L54">
        <v>118.1</v>
      </c>
      <c r="M54">
        <v>161.30000000000001</v>
      </c>
      <c r="N54">
        <v>139.19999999999999</v>
      </c>
      <c r="O54">
        <v>164.8</v>
      </c>
      <c r="P54">
        <v>164.4</v>
      </c>
      <c r="Q54">
        <v>150.5</v>
      </c>
      <c r="R54">
        <v>136.1</v>
      </c>
      <c r="S54">
        <v>148.30000000000001</v>
      </c>
      <c r="T54">
        <v>156.5</v>
      </c>
      <c r="U54">
        <v>145.1</v>
      </c>
      <c r="V54">
        <v>151</v>
      </c>
      <c r="W54">
        <v>158.1</v>
      </c>
      <c r="X54">
        <v>135.4</v>
      </c>
      <c r="Y54">
        <v>142</v>
      </c>
      <c r="Z54">
        <v>188.7</v>
      </c>
      <c r="AA54">
        <v>137.1</v>
      </c>
      <c r="AB54">
        <v>155.69999999999999</v>
      </c>
      <c r="AC54">
        <v>146.19999999999999</v>
      </c>
      <c r="AD54">
        <v>155.19999999999999</v>
      </c>
      <c r="AE54">
        <f>SUM(Table1_1[[#This Row],[Cereals and products]:[Food and beverages]])</f>
        <v>2080.1999999999998</v>
      </c>
      <c r="AF54">
        <f>SUM(Table1_1[[#This Row],[Clothing and footwear]:[Clothing]])</f>
        <v>434.90000000000003</v>
      </c>
      <c r="AG54">
        <f>SUM(Table1_1[[#This Row],[Clothing]:[Education]])</f>
        <v>1804.5000000000002</v>
      </c>
      <c r="AH54">
        <f>SUM(Table1_1[[#This Row],[Health]:[Personal care and effects]])</f>
        <v>309.10000000000002</v>
      </c>
      <c r="AI54">
        <f>SUM(Table1_1[[#This Row],[Recreation and amusement]:[Miscellaneous]])</f>
        <v>769.7</v>
      </c>
      <c r="AJ54">
        <f>SUM(Table1_1[[#This Row],[Fuel and light]])</f>
        <v>137.1</v>
      </c>
      <c r="AK54">
        <f>SUM(Table1_1[[#This Row],[Food]:[Luxury &amp;Other Thing]])</f>
        <v>5398.4000000000005</v>
      </c>
      <c r="AL54">
        <f>SUM(Table1_1[[#This Row],[Food]:[Luxury &amp;Other Thing]])</f>
        <v>5398.4000000000005</v>
      </c>
    </row>
    <row r="55" spans="1:38" x14ac:dyDescent="0.25">
      <c r="A55" t="s">
        <v>34</v>
      </c>
      <c r="B55" t="s">
        <v>43</v>
      </c>
      <c r="C55">
        <v>2020</v>
      </c>
      <c r="D55">
        <v>147.5</v>
      </c>
      <c r="E55">
        <v>188.9</v>
      </c>
      <c r="F55">
        <v>161.4</v>
      </c>
      <c r="G55">
        <v>153.6</v>
      </c>
      <c r="H55">
        <v>140.1</v>
      </c>
      <c r="I55">
        <v>151.19999999999999</v>
      </c>
      <c r="J55">
        <v>209.2</v>
      </c>
      <c r="K55">
        <v>150.9</v>
      </c>
      <c r="L55">
        <v>116.2</v>
      </c>
      <c r="M55">
        <v>161</v>
      </c>
      <c r="N55">
        <v>144</v>
      </c>
      <c r="O55">
        <v>163.19999999999999</v>
      </c>
      <c r="P55">
        <v>161.4</v>
      </c>
      <c r="Q55">
        <v>153.69999999999999</v>
      </c>
      <c r="R55">
        <v>144.6</v>
      </c>
      <c r="S55">
        <v>152.30000000000001</v>
      </c>
      <c r="T55">
        <v>156.5</v>
      </c>
      <c r="U55">
        <v>148.69999999999999</v>
      </c>
      <c r="V55">
        <v>156.30000000000001</v>
      </c>
      <c r="W55">
        <v>157</v>
      </c>
      <c r="X55">
        <v>140.6</v>
      </c>
      <c r="Y55">
        <v>146.5</v>
      </c>
      <c r="Z55">
        <v>184.3</v>
      </c>
      <c r="AA55">
        <v>143.1</v>
      </c>
      <c r="AB55">
        <v>158.5</v>
      </c>
      <c r="AC55">
        <v>150.4</v>
      </c>
      <c r="AD55">
        <v>156.4</v>
      </c>
      <c r="AE55">
        <f>SUM(Table1_1[[#This Row],[Cereals and products]:[Food and beverages]])</f>
        <v>2048.6000000000004</v>
      </c>
      <c r="AF55">
        <f>SUM(Table1_1[[#This Row],[Clothing and footwear]:[Clothing]])</f>
        <v>450.59999999999997</v>
      </c>
      <c r="AG55">
        <f>SUM(Table1_1[[#This Row],[Clothing]:[Education]])</f>
        <v>1842.0999999999997</v>
      </c>
      <c r="AH55">
        <f>SUM(Table1_1[[#This Row],[Health]:[Personal care and effects]])</f>
        <v>313.3</v>
      </c>
      <c r="AI55">
        <f>SUM(Table1_1[[#This Row],[Recreation and amusement]:[Miscellaneous]])</f>
        <v>782.8</v>
      </c>
      <c r="AJ55">
        <f>SUM(Table1_1[[#This Row],[Fuel and light]])</f>
        <v>143.1</v>
      </c>
      <c r="AK55">
        <f>SUM(Table1_1[[#This Row],[Food]:[Luxury &amp;Other Thing]])</f>
        <v>5437.4000000000005</v>
      </c>
      <c r="AL55">
        <f>SUM(Table1_1[[#This Row],[Food]:[Luxury &amp;Other Thing]])</f>
        <v>5437.4000000000005</v>
      </c>
    </row>
    <row r="56" spans="1:38" x14ac:dyDescent="0.25">
      <c r="A56" t="s">
        <v>30</v>
      </c>
      <c r="B56" t="s">
        <v>43</v>
      </c>
      <c r="C56">
        <v>2021</v>
      </c>
      <c r="D56">
        <v>146.1</v>
      </c>
      <c r="E56">
        <v>202.5</v>
      </c>
      <c r="F56">
        <v>170.1</v>
      </c>
      <c r="G56">
        <v>158.4</v>
      </c>
      <c r="H56">
        <v>198.8</v>
      </c>
      <c r="I56">
        <v>152.6</v>
      </c>
      <c r="J56">
        <v>170.4</v>
      </c>
      <c r="K56">
        <v>165.2</v>
      </c>
      <c r="L56">
        <v>121.6</v>
      </c>
      <c r="M56">
        <v>170.6</v>
      </c>
      <c r="N56">
        <v>168.8</v>
      </c>
      <c r="O56">
        <v>173.6</v>
      </c>
      <c r="P56">
        <v>165.5</v>
      </c>
      <c r="Q56">
        <v>168.9</v>
      </c>
      <c r="R56">
        <v>164.8</v>
      </c>
      <c r="S56">
        <v>168.3</v>
      </c>
      <c r="T56">
        <v>139.5</v>
      </c>
      <c r="U56">
        <v>162</v>
      </c>
      <c r="V56">
        <v>172.5</v>
      </c>
      <c r="W56">
        <v>161.1</v>
      </c>
      <c r="X56">
        <v>159.5</v>
      </c>
      <c r="Y56">
        <v>163.19999999999999</v>
      </c>
      <c r="Z56">
        <v>191.2</v>
      </c>
      <c r="AA56">
        <v>165.5</v>
      </c>
      <c r="AB56">
        <v>169</v>
      </c>
      <c r="AC56">
        <v>164.7</v>
      </c>
      <c r="AD56">
        <v>166.3</v>
      </c>
      <c r="AE56">
        <f>SUM(Table1_1[[#This Row],[Cereals and products]:[Food and beverages]])</f>
        <v>2164.1999999999998</v>
      </c>
      <c r="AF56">
        <f>SUM(Table1_1[[#This Row],[Clothing and footwear]:[Clothing]])</f>
        <v>502.00000000000006</v>
      </c>
      <c r="AG56">
        <f>SUM(Table1_1[[#This Row],[Clothing]:[Education]])</f>
        <v>1985.5</v>
      </c>
      <c r="AH56">
        <f>SUM(Table1_1[[#This Row],[Health]:[Personal care and effects]])</f>
        <v>333.6</v>
      </c>
      <c r="AI56">
        <f>SUM(Table1_1[[#This Row],[Recreation and amusement]:[Miscellaneous]])</f>
        <v>853.59999999999991</v>
      </c>
      <c r="AJ56">
        <f>SUM(Table1_1[[#This Row],[Fuel and light]])</f>
        <v>165.5</v>
      </c>
      <c r="AK56">
        <f>SUM(Table1_1[[#This Row],[Food]:[Luxury &amp;Other Thing]])</f>
        <v>5838.9</v>
      </c>
      <c r="AL56">
        <f>SUM(Table1_1[[#This Row],[Food]:[Luxury &amp;Other Thing]])</f>
        <v>5838.9</v>
      </c>
    </row>
    <row r="57" spans="1:38" x14ac:dyDescent="0.25">
      <c r="A57" t="s">
        <v>33</v>
      </c>
      <c r="B57" t="s">
        <v>43</v>
      </c>
      <c r="C57">
        <v>2021</v>
      </c>
      <c r="D57">
        <v>150.1</v>
      </c>
      <c r="E57">
        <v>208.4</v>
      </c>
      <c r="F57">
        <v>173</v>
      </c>
      <c r="G57">
        <v>159.19999999999999</v>
      </c>
      <c r="H57">
        <v>176.6</v>
      </c>
      <c r="I57">
        <v>159.30000000000001</v>
      </c>
      <c r="J57">
        <v>214.4</v>
      </c>
      <c r="K57">
        <v>165.3</v>
      </c>
      <c r="L57">
        <v>122.5</v>
      </c>
      <c r="M57">
        <v>166.8</v>
      </c>
      <c r="N57">
        <v>155.4</v>
      </c>
      <c r="O57">
        <v>175.9</v>
      </c>
      <c r="P57">
        <v>171.5</v>
      </c>
      <c r="Q57">
        <v>160.80000000000001</v>
      </c>
      <c r="R57">
        <v>144.4</v>
      </c>
      <c r="S57">
        <v>158.30000000000001</v>
      </c>
      <c r="T57">
        <v>163.6</v>
      </c>
      <c r="U57">
        <v>154.30000000000001</v>
      </c>
      <c r="V57">
        <v>163.5</v>
      </c>
      <c r="W57">
        <v>160.30000000000001</v>
      </c>
      <c r="X57">
        <v>152.19999999999999</v>
      </c>
      <c r="Y57">
        <v>155.1</v>
      </c>
      <c r="Z57">
        <v>197</v>
      </c>
      <c r="AA57">
        <v>162.19999999999999</v>
      </c>
      <c r="AB57">
        <v>160.30000000000001</v>
      </c>
      <c r="AC57">
        <v>157</v>
      </c>
      <c r="AD57">
        <v>164.6</v>
      </c>
      <c r="AE57">
        <f>SUM(Table1_1[[#This Row],[Cereals and products]:[Food and beverages]])</f>
        <v>2198.4000000000005</v>
      </c>
      <c r="AF57">
        <f>SUM(Table1_1[[#This Row],[Clothing and footwear]:[Clothing]])</f>
        <v>463.50000000000006</v>
      </c>
      <c r="AG57">
        <f>SUM(Table1_1[[#This Row],[Clothing]:[Education]])</f>
        <v>1932</v>
      </c>
      <c r="AH57">
        <f>SUM(Table1_1[[#This Row],[Health]:[Personal care and effects]])</f>
        <v>323.8</v>
      </c>
      <c r="AI57">
        <f>SUM(Table1_1[[#This Row],[Recreation and amusement]:[Miscellaneous]])</f>
        <v>831.59999999999991</v>
      </c>
      <c r="AJ57">
        <f>SUM(Table1_1[[#This Row],[Fuel and light]])</f>
        <v>162.19999999999999</v>
      </c>
      <c r="AK57">
        <f>SUM(Table1_1[[#This Row],[Food]:[Luxury &amp;Other Thing]])</f>
        <v>5749.3000000000011</v>
      </c>
      <c r="AL57">
        <f>SUM(Table1_1[[#This Row],[Food]:[Luxury &amp;Other Thing]])</f>
        <v>5749.3000000000011</v>
      </c>
    </row>
    <row r="58" spans="1:38" x14ac:dyDescent="0.25">
      <c r="A58" t="s">
        <v>34</v>
      </c>
      <c r="B58" t="s">
        <v>43</v>
      </c>
      <c r="C58">
        <v>2021</v>
      </c>
      <c r="D58">
        <v>147.4</v>
      </c>
      <c r="E58">
        <v>204.6</v>
      </c>
      <c r="F58">
        <v>171.2</v>
      </c>
      <c r="G58">
        <v>158.69999999999999</v>
      </c>
      <c r="H58">
        <v>190.6</v>
      </c>
      <c r="I58">
        <v>155.69999999999999</v>
      </c>
      <c r="J58">
        <v>185.3</v>
      </c>
      <c r="K58">
        <v>165.2</v>
      </c>
      <c r="L58">
        <v>121.9</v>
      </c>
      <c r="M58">
        <v>169.3</v>
      </c>
      <c r="N58">
        <v>163.19999999999999</v>
      </c>
      <c r="O58">
        <v>174.7</v>
      </c>
      <c r="P58">
        <v>167.7</v>
      </c>
      <c r="Q58">
        <v>165.7</v>
      </c>
      <c r="R58">
        <v>156.30000000000001</v>
      </c>
      <c r="S58">
        <v>164.3</v>
      </c>
      <c r="T58">
        <v>163.6</v>
      </c>
      <c r="U58">
        <v>158.4</v>
      </c>
      <c r="V58">
        <v>169.1</v>
      </c>
      <c r="W58">
        <v>160.80000000000001</v>
      </c>
      <c r="X58">
        <v>155.69999999999999</v>
      </c>
      <c r="Y58">
        <v>158.6</v>
      </c>
      <c r="Z58">
        <v>192.7</v>
      </c>
      <c r="AA58">
        <v>164.2</v>
      </c>
      <c r="AB58">
        <v>163.9</v>
      </c>
      <c r="AC58">
        <v>161</v>
      </c>
      <c r="AD58">
        <v>165.5</v>
      </c>
      <c r="AE58">
        <f>SUM(Table1_1[[#This Row],[Cereals and products]:[Food and beverages]])</f>
        <v>2175.5</v>
      </c>
      <c r="AF58">
        <f>SUM(Table1_1[[#This Row],[Clothing and footwear]:[Clothing]])</f>
        <v>486.3</v>
      </c>
      <c r="AG58">
        <f>SUM(Table1_1[[#This Row],[Clothing]:[Education]])</f>
        <v>1973.3000000000002</v>
      </c>
      <c r="AH58">
        <f>SUM(Table1_1[[#This Row],[Health]:[Personal care and effects]])</f>
        <v>329.9</v>
      </c>
      <c r="AI58">
        <f>SUM(Table1_1[[#This Row],[Recreation and amusement]:[Miscellaneous]])</f>
        <v>840.4</v>
      </c>
      <c r="AJ58">
        <f>SUM(Table1_1[[#This Row],[Fuel and light]])</f>
        <v>164.2</v>
      </c>
      <c r="AK58">
        <f>SUM(Table1_1[[#This Row],[Food]:[Luxury &amp;Other Thing]])</f>
        <v>5805.4</v>
      </c>
      <c r="AL58">
        <f>SUM(Table1_1[[#This Row],[Food]:[Luxury &amp;Other Thing]])</f>
        <v>5805.4</v>
      </c>
    </row>
    <row r="59" spans="1:38" x14ac:dyDescent="0.25">
      <c r="A59" t="s">
        <v>30</v>
      </c>
      <c r="B59" t="s">
        <v>43</v>
      </c>
      <c r="C59">
        <v>2022</v>
      </c>
      <c r="D59">
        <v>164.7</v>
      </c>
      <c r="E59">
        <v>208.8</v>
      </c>
      <c r="F59">
        <v>170.3</v>
      </c>
      <c r="G59">
        <v>170.9</v>
      </c>
      <c r="H59">
        <v>191.6</v>
      </c>
      <c r="I59">
        <v>162.19999999999999</v>
      </c>
      <c r="J59">
        <v>184.8</v>
      </c>
      <c r="K59">
        <v>169.7</v>
      </c>
      <c r="L59">
        <v>121.1</v>
      </c>
      <c r="M59">
        <v>201.6</v>
      </c>
      <c r="N59">
        <v>175.8</v>
      </c>
      <c r="O59">
        <v>185.6</v>
      </c>
      <c r="P59">
        <v>177.4</v>
      </c>
      <c r="Q59">
        <v>186.1</v>
      </c>
      <c r="R59">
        <v>184.4</v>
      </c>
      <c r="S59">
        <v>185.9</v>
      </c>
      <c r="T59">
        <v>139.5</v>
      </c>
      <c r="U59">
        <v>174.4</v>
      </c>
      <c r="V59">
        <v>181.2</v>
      </c>
      <c r="W59">
        <v>172</v>
      </c>
      <c r="X59">
        <v>167.4</v>
      </c>
      <c r="Y59">
        <v>170.6</v>
      </c>
      <c r="Z59">
        <v>194.9</v>
      </c>
      <c r="AA59">
        <v>180.8</v>
      </c>
      <c r="AB59">
        <v>176.5</v>
      </c>
      <c r="AC59">
        <v>173.9</v>
      </c>
      <c r="AD59">
        <v>177.9</v>
      </c>
      <c r="AE59">
        <f>SUM(Table1_1[[#This Row],[Cereals and products]:[Food and beverages]])</f>
        <v>2284.5</v>
      </c>
      <c r="AF59">
        <f>SUM(Table1_1[[#This Row],[Clothing and footwear]:[Clothing]])</f>
        <v>556.4</v>
      </c>
      <c r="AG59">
        <f>SUM(Table1_1[[#This Row],[Clothing]:[Education]])</f>
        <v>2113.6999999999998</v>
      </c>
      <c r="AH59">
        <f>SUM(Table1_1[[#This Row],[Health]:[Personal care and effects]])</f>
        <v>353.2</v>
      </c>
      <c r="AI59">
        <f>SUM(Table1_1[[#This Row],[Recreation and amusement]:[Miscellaneous]])</f>
        <v>896.69999999999993</v>
      </c>
      <c r="AJ59">
        <f>SUM(Table1_1[[#This Row],[Fuel and light]])</f>
        <v>180.8</v>
      </c>
      <c r="AK59">
        <f>SUM(Table1_1[[#This Row],[Food]:[Luxury &amp;Other Thing]])</f>
        <v>6204.5</v>
      </c>
      <c r="AL59">
        <f>SUM(Table1_1[[#This Row],[Food]:[Luxury &amp;Other Thing]])</f>
        <v>6204.5</v>
      </c>
    </row>
    <row r="60" spans="1:38" x14ac:dyDescent="0.25">
      <c r="A60" t="s">
        <v>33</v>
      </c>
      <c r="B60" t="s">
        <v>43</v>
      </c>
      <c r="C60">
        <v>2022</v>
      </c>
      <c r="D60">
        <v>166.4</v>
      </c>
      <c r="E60">
        <v>214.9</v>
      </c>
      <c r="F60">
        <v>171.9</v>
      </c>
      <c r="G60">
        <v>171</v>
      </c>
      <c r="H60">
        <v>177.7</v>
      </c>
      <c r="I60">
        <v>165.7</v>
      </c>
      <c r="J60">
        <v>228.6</v>
      </c>
      <c r="K60">
        <v>169.9</v>
      </c>
      <c r="L60">
        <v>123.4</v>
      </c>
      <c r="M60">
        <v>196.4</v>
      </c>
      <c r="N60">
        <v>161.6</v>
      </c>
      <c r="O60">
        <v>191.5</v>
      </c>
      <c r="P60">
        <v>183.3</v>
      </c>
      <c r="Q60">
        <v>175.5</v>
      </c>
      <c r="R60">
        <v>162.6</v>
      </c>
      <c r="S60">
        <v>173.6</v>
      </c>
      <c r="T60">
        <v>171.2</v>
      </c>
      <c r="U60">
        <v>166</v>
      </c>
      <c r="V60">
        <v>174.7</v>
      </c>
      <c r="W60">
        <v>172.3</v>
      </c>
      <c r="X60">
        <v>158.80000000000001</v>
      </c>
      <c r="Y60">
        <v>166.3</v>
      </c>
      <c r="Z60">
        <v>200.1</v>
      </c>
      <c r="AA60">
        <v>180</v>
      </c>
      <c r="AB60">
        <v>171.2</v>
      </c>
      <c r="AC60">
        <v>166.8</v>
      </c>
      <c r="AD60">
        <v>175.3</v>
      </c>
      <c r="AE60">
        <f>SUM(Table1_1[[#This Row],[Cereals and products]:[Food and beverages]])</f>
        <v>2322.3000000000002</v>
      </c>
      <c r="AF60">
        <f>SUM(Table1_1[[#This Row],[Clothing and footwear]:[Clothing]])</f>
        <v>511.70000000000005</v>
      </c>
      <c r="AG60">
        <f>SUM(Table1_1[[#This Row],[Clothing]:[Education]])</f>
        <v>2072.2999999999997</v>
      </c>
      <c r="AH60">
        <f>SUM(Table1_1[[#This Row],[Health]:[Personal care and effects]])</f>
        <v>347</v>
      </c>
      <c r="AI60">
        <f>SUM(Table1_1[[#This Row],[Recreation and amusement]:[Miscellaneous]])</f>
        <v>884.39999999999986</v>
      </c>
      <c r="AJ60">
        <f>SUM(Table1_1[[#This Row],[Fuel and light]])</f>
        <v>180</v>
      </c>
      <c r="AK60">
        <f>SUM(Table1_1[[#This Row],[Food]:[Luxury &amp;Other Thing]])</f>
        <v>6137.6999999999989</v>
      </c>
      <c r="AL60">
        <f>SUM(Table1_1[[#This Row],[Food]:[Luxury &amp;Other Thing]])</f>
        <v>6137.6999999999989</v>
      </c>
    </row>
    <row r="61" spans="1:38" x14ac:dyDescent="0.25">
      <c r="A61" t="s">
        <v>34</v>
      </c>
      <c r="B61" t="s">
        <v>43</v>
      </c>
      <c r="C61">
        <v>2022</v>
      </c>
      <c r="D61">
        <v>165.2</v>
      </c>
      <c r="E61">
        <v>210.9</v>
      </c>
      <c r="F61">
        <v>170.9</v>
      </c>
      <c r="G61">
        <v>170.9</v>
      </c>
      <c r="H61">
        <v>186.5</v>
      </c>
      <c r="I61">
        <v>163.80000000000001</v>
      </c>
      <c r="J61">
        <v>199.7</v>
      </c>
      <c r="K61">
        <v>169.8</v>
      </c>
      <c r="L61">
        <v>121.9</v>
      </c>
      <c r="M61">
        <v>199.9</v>
      </c>
      <c r="N61">
        <v>169.9</v>
      </c>
      <c r="O61">
        <v>188.3</v>
      </c>
      <c r="P61">
        <v>179.6</v>
      </c>
      <c r="Q61">
        <v>181.9</v>
      </c>
      <c r="R61">
        <v>175.3</v>
      </c>
      <c r="S61">
        <v>181</v>
      </c>
      <c r="T61">
        <v>171.2</v>
      </c>
      <c r="U61">
        <v>170.4</v>
      </c>
      <c r="V61">
        <v>178.7</v>
      </c>
      <c r="W61">
        <v>172.1</v>
      </c>
      <c r="X61">
        <v>162.9</v>
      </c>
      <c r="Y61">
        <v>168.2</v>
      </c>
      <c r="Z61">
        <v>196.3</v>
      </c>
      <c r="AA61">
        <v>180.5</v>
      </c>
      <c r="AB61">
        <v>173.4</v>
      </c>
      <c r="AC61">
        <v>170.5</v>
      </c>
      <c r="AD61">
        <v>176.7</v>
      </c>
      <c r="AE61">
        <f>SUM(Table1_1[[#This Row],[Cereals and products]:[Food and beverages]])</f>
        <v>2297.3000000000002</v>
      </c>
      <c r="AF61">
        <f>SUM(Table1_1[[#This Row],[Clothing and footwear]:[Clothing]])</f>
        <v>538.20000000000005</v>
      </c>
      <c r="AG61">
        <f>SUM(Table1_1[[#This Row],[Clothing]:[Education]])</f>
        <v>2111.9</v>
      </c>
      <c r="AH61">
        <f>SUM(Table1_1[[#This Row],[Health]:[Personal care and effects]])</f>
        <v>350.79999999999995</v>
      </c>
      <c r="AI61">
        <f>SUM(Table1_1[[#This Row],[Recreation and amusement]:[Miscellaneous]])</f>
        <v>888.9</v>
      </c>
      <c r="AJ61">
        <f>SUM(Table1_1[[#This Row],[Fuel and light]])</f>
        <v>180.5</v>
      </c>
      <c r="AK61">
        <f>SUM(Table1_1[[#This Row],[Food]:[Luxury &amp;Other Thing]])</f>
        <v>6187.0999999999995</v>
      </c>
      <c r="AL61">
        <f>SUM(Table1_1[[#This Row],[Food]:[Luxury &amp;Other Thing]])</f>
        <v>6187.0999999999995</v>
      </c>
    </row>
    <row r="62" spans="1:38" x14ac:dyDescent="0.25">
      <c r="A62" t="s">
        <v>30</v>
      </c>
      <c r="B62" t="s">
        <v>44</v>
      </c>
      <c r="C62">
        <v>2013</v>
      </c>
      <c r="D62">
        <v>117.3</v>
      </c>
      <c r="E62">
        <v>114.9</v>
      </c>
      <c r="F62">
        <v>116.2</v>
      </c>
      <c r="G62">
        <v>112.8</v>
      </c>
      <c r="H62">
        <v>108.9</v>
      </c>
      <c r="I62">
        <v>116.6</v>
      </c>
      <c r="J62">
        <v>178.1</v>
      </c>
      <c r="K62">
        <v>109.1</v>
      </c>
      <c r="L62">
        <v>103.6</v>
      </c>
      <c r="M62">
        <v>109</v>
      </c>
      <c r="N62">
        <v>111.8</v>
      </c>
      <c r="O62">
        <v>116</v>
      </c>
      <c r="P62">
        <v>122.5</v>
      </c>
      <c r="Q62">
        <v>114.6</v>
      </c>
      <c r="R62">
        <v>113.1</v>
      </c>
      <c r="S62">
        <v>114.4</v>
      </c>
      <c r="T62">
        <v>139.5</v>
      </c>
      <c r="U62">
        <v>111.3</v>
      </c>
      <c r="V62">
        <v>109.7</v>
      </c>
      <c r="W62">
        <v>108.2</v>
      </c>
      <c r="X62">
        <v>109.6</v>
      </c>
      <c r="Y62">
        <v>108.7</v>
      </c>
      <c r="Z62">
        <v>112.8</v>
      </c>
      <c r="AA62">
        <v>112.6</v>
      </c>
      <c r="AB62">
        <v>111</v>
      </c>
      <c r="AC62">
        <v>109.8</v>
      </c>
      <c r="AD62">
        <v>117.4</v>
      </c>
      <c r="AE62">
        <f>SUM(Table1_1[[#This Row],[Cereals and products]:[Food and beverages]])</f>
        <v>1536.8</v>
      </c>
      <c r="AF62">
        <f>SUM(Table1_1[[#This Row],[Clothing and footwear]:[Clothing]])</f>
        <v>342.1</v>
      </c>
      <c r="AG62">
        <f>SUM(Table1_1[[#This Row],[Clothing]:[Education]])</f>
        <v>1365.5</v>
      </c>
      <c r="AH62">
        <f>SUM(Table1_1[[#This Row],[Health]:[Personal care and effects]])</f>
        <v>217.9</v>
      </c>
      <c r="AI62">
        <f>SUM(Table1_1[[#This Row],[Recreation and amusement]:[Miscellaneous]])</f>
        <v>554.9</v>
      </c>
      <c r="AJ62">
        <f>SUM(Table1_1[[#This Row],[Fuel and light]])</f>
        <v>112.6</v>
      </c>
      <c r="AK62">
        <f>SUM(Table1_1[[#This Row],[Food]:[Luxury &amp;Other Thing]])</f>
        <v>4017.2000000000003</v>
      </c>
      <c r="AL62">
        <f>SUM(Table1_1[[#This Row],[Food]:[Luxury &amp;Other Thing]])</f>
        <v>4017.2000000000003</v>
      </c>
    </row>
    <row r="63" spans="1:38" x14ac:dyDescent="0.25">
      <c r="A63" t="s">
        <v>33</v>
      </c>
      <c r="B63" t="s">
        <v>45</v>
      </c>
      <c r="C63">
        <v>2013</v>
      </c>
      <c r="D63">
        <v>119.8</v>
      </c>
      <c r="E63">
        <v>116.3</v>
      </c>
      <c r="F63">
        <v>122.6</v>
      </c>
      <c r="G63">
        <v>112</v>
      </c>
      <c r="H63">
        <v>103.2</v>
      </c>
      <c r="I63">
        <v>110</v>
      </c>
      <c r="J63">
        <v>192.8</v>
      </c>
      <c r="K63">
        <v>106.3</v>
      </c>
      <c r="L63">
        <v>99.5</v>
      </c>
      <c r="M63">
        <v>110.3</v>
      </c>
      <c r="N63">
        <v>111.8</v>
      </c>
      <c r="O63">
        <v>117.1</v>
      </c>
      <c r="P63">
        <v>122.9</v>
      </c>
      <c r="Q63">
        <v>113.5</v>
      </c>
      <c r="R63">
        <v>110.3</v>
      </c>
      <c r="S63">
        <v>113</v>
      </c>
      <c r="T63">
        <v>111.1</v>
      </c>
      <c r="U63">
        <v>110.9</v>
      </c>
      <c r="V63">
        <v>108.6</v>
      </c>
      <c r="W63">
        <v>107.9</v>
      </c>
      <c r="X63">
        <v>109.5</v>
      </c>
      <c r="Y63">
        <v>108.5</v>
      </c>
      <c r="Z63">
        <v>114.1</v>
      </c>
      <c r="AA63">
        <v>110</v>
      </c>
      <c r="AB63">
        <v>111.3</v>
      </c>
      <c r="AC63">
        <v>109.6</v>
      </c>
      <c r="AD63">
        <v>115</v>
      </c>
      <c r="AE63">
        <f>SUM(Table1_1[[#This Row],[Cereals and products]:[Food and beverages]])</f>
        <v>1544.6</v>
      </c>
      <c r="AF63">
        <f>SUM(Table1_1[[#This Row],[Clothing and footwear]:[Clothing]])</f>
        <v>336.8</v>
      </c>
      <c r="AG63">
        <f>SUM(Table1_1[[#This Row],[Clothing]:[Education]])</f>
        <v>1328.6999999999998</v>
      </c>
      <c r="AH63">
        <f>SUM(Table1_1[[#This Row],[Health]:[Personal care and effects]])</f>
        <v>216.5</v>
      </c>
      <c r="AI63">
        <f>SUM(Table1_1[[#This Row],[Recreation and amusement]:[Miscellaneous]])</f>
        <v>553.5</v>
      </c>
      <c r="AJ63">
        <f>SUM(Table1_1[[#This Row],[Fuel and light]])</f>
        <v>110</v>
      </c>
      <c r="AK63">
        <f>SUM(Table1_1[[#This Row],[Food]:[Luxury &amp;Other Thing]])</f>
        <v>3980.0999999999995</v>
      </c>
      <c r="AL63">
        <f>SUM(Table1_1[[#This Row],[Food]:[Luxury &amp;Other Thing]])</f>
        <v>3980.0999999999995</v>
      </c>
    </row>
    <row r="64" spans="1:38" x14ac:dyDescent="0.25">
      <c r="A64" t="s">
        <v>34</v>
      </c>
      <c r="B64" t="s">
        <v>45</v>
      </c>
      <c r="C64">
        <v>2013</v>
      </c>
      <c r="D64">
        <v>118.1</v>
      </c>
      <c r="E64">
        <v>115.4</v>
      </c>
      <c r="F64">
        <v>118.7</v>
      </c>
      <c r="G64">
        <v>112.5</v>
      </c>
      <c r="H64">
        <v>106.8</v>
      </c>
      <c r="I64">
        <v>113.5</v>
      </c>
      <c r="J64">
        <v>183.1</v>
      </c>
      <c r="K64">
        <v>108.2</v>
      </c>
      <c r="L64">
        <v>102.2</v>
      </c>
      <c r="M64">
        <v>109.4</v>
      </c>
      <c r="N64">
        <v>111.8</v>
      </c>
      <c r="O64">
        <v>116.5</v>
      </c>
      <c r="P64">
        <v>122.6</v>
      </c>
      <c r="Q64">
        <v>114.2</v>
      </c>
      <c r="R64">
        <v>111.9</v>
      </c>
      <c r="S64">
        <v>113.8</v>
      </c>
      <c r="T64">
        <v>111.1</v>
      </c>
      <c r="U64">
        <v>111.1</v>
      </c>
      <c r="V64">
        <v>109.3</v>
      </c>
      <c r="W64">
        <v>108.1</v>
      </c>
      <c r="X64">
        <v>109.5</v>
      </c>
      <c r="Y64">
        <v>108.6</v>
      </c>
      <c r="Z64">
        <v>113.1</v>
      </c>
      <c r="AA64">
        <v>111.6</v>
      </c>
      <c r="AB64">
        <v>111.2</v>
      </c>
      <c r="AC64">
        <v>109.7</v>
      </c>
      <c r="AD64">
        <v>116.3</v>
      </c>
      <c r="AE64">
        <f>SUM(Table1_1[[#This Row],[Cereals and products]:[Food and beverages]])</f>
        <v>1538.8</v>
      </c>
      <c r="AF64">
        <f>SUM(Table1_1[[#This Row],[Clothing and footwear]:[Clothing]])</f>
        <v>339.90000000000003</v>
      </c>
      <c r="AG64">
        <f>SUM(Table1_1[[#This Row],[Clothing]:[Education]])</f>
        <v>1333.5</v>
      </c>
      <c r="AH64">
        <f>SUM(Table1_1[[#This Row],[Health]:[Personal care and effects]])</f>
        <v>217.39999999999998</v>
      </c>
      <c r="AI64">
        <f>SUM(Table1_1[[#This Row],[Recreation and amusement]:[Miscellaneous]])</f>
        <v>554.19999999999993</v>
      </c>
      <c r="AJ64">
        <f>SUM(Table1_1[[#This Row],[Fuel and light]])</f>
        <v>111.6</v>
      </c>
      <c r="AK64">
        <f>SUM(Table1_1[[#This Row],[Food]:[Luxury &amp;Other Thing]])</f>
        <v>3983.7999999999997</v>
      </c>
      <c r="AL64">
        <f>SUM(Table1_1[[#This Row],[Food]:[Luxury &amp;Other Thing]])</f>
        <v>3983.7999999999997</v>
      </c>
    </row>
    <row r="65" spans="1:38" x14ac:dyDescent="0.25">
      <c r="A65" t="s">
        <v>30</v>
      </c>
      <c r="B65" t="s">
        <v>45</v>
      </c>
      <c r="C65">
        <v>2014</v>
      </c>
      <c r="D65">
        <v>122.7</v>
      </c>
      <c r="E65">
        <v>122.6</v>
      </c>
      <c r="F65">
        <v>119.9</v>
      </c>
      <c r="G65">
        <v>124</v>
      </c>
      <c r="H65">
        <v>110.5</v>
      </c>
      <c r="I65">
        <v>128.80000000000001</v>
      </c>
      <c r="J65">
        <v>152</v>
      </c>
      <c r="K65">
        <v>116.2</v>
      </c>
      <c r="L65">
        <v>103.3</v>
      </c>
      <c r="M65">
        <v>115.8</v>
      </c>
      <c r="N65">
        <v>116.8</v>
      </c>
      <c r="O65">
        <v>124.5</v>
      </c>
      <c r="P65">
        <v>124.9</v>
      </c>
      <c r="Q65">
        <v>123.3</v>
      </c>
      <c r="R65">
        <v>120.5</v>
      </c>
      <c r="S65">
        <v>122.9</v>
      </c>
      <c r="T65">
        <v>139.5</v>
      </c>
      <c r="U65">
        <v>118.1</v>
      </c>
      <c r="V65">
        <v>115.9</v>
      </c>
      <c r="W65">
        <v>108.8</v>
      </c>
      <c r="X65">
        <v>112</v>
      </c>
      <c r="Y65">
        <v>113.3</v>
      </c>
      <c r="Z65">
        <v>120.8</v>
      </c>
      <c r="AA65">
        <v>117.3</v>
      </c>
      <c r="AB65">
        <v>117.2</v>
      </c>
      <c r="AC65">
        <v>114.1</v>
      </c>
      <c r="AD65">
        <v>121.1</v>
      </c>
      <c r="AE65">
        <f>SUM(Table1_1[[#This Row],[Cereals and products]:[Food and beverages]])</f>
        <v>1582</v>
      </c>
      <c r="AF65">
        <f>SUM(Table1_1[[#This Row],[Clothing and footwear]:[Clothing]])</f>
        <v>366.70000000000005</v>
      </c>
      <c r="AG65">
        <f>SUM(Table1_1[[#This Row],[Clothing]:[Education]])</f>
        <v>1429.6</v>
      </c>
      <c r="AH65">
        <f>SUM(Table1_1[[#This Row],[Health]:[Personal care and effects]])</f>
        <v>224.7</v>
      </c>
      <c r="AI65">
        <f>SUM(Table1_1[[#This Row],[Recreation and amusement]:[Miscellaneous]])</f>
        <v>582.69999999999993</v>
      </c>
      <c r="AJ65">
        <f>SUM(Table1_1[[#This Row],[Fuel and light]])</f>
        <v>117.3</v>
      </c>
      <c r="AK65">
        <f>SUM(Table1_1[[#This Row],[Food]:[Luxury &amp;Other Thing]])</f>
        <v>4185.7</v>
      </c>
      <c r="AL65">
        <f>SUM(Table1_1[[#This Row],[Food]:[Luxury &amp;Other Thing]])</f>
        <v>4185.7</v>
      </c>
    </row>
    <row r="66" spans="1:38" x14ac:dyDescent="0.25">
      <c r="A66" t="s">
        <v>33</v>
      </c>
      <c r="B66" t="s">
        <v>45</v>
      </c>
      <c r="C66">
        <v>2014</v>
      </c>
      <c r="D66">
        <v>124.5</v>
      </c>
      <c r="E66">
        <v>125.6</v>
      </c>
      <c r="F66">
        <v>122.7</v>
      </c>
      <c r="G66">
        <v>124.6</v>
      </c>
      <c r="H66">
        <v>103.2</v>
      </c>
      <c r="I66">
        <v>122.2</v>
      </c>
      <c r="J66">
        <v>153.19999999999999</v>
      </c>
      <c r="K66">
        <v>119.3</v>
      </c>
      <c r="L66">
        <v>99.8</v>
      </c>
      <c r="M66">
        <v>124.6</v>
      </c>
      <c r="N66">
        <v>115.8</v>
      </c>
      <c r="O66">
        <v>126.9</v>
      </c>
      <c r="P66">
        <v>125.4</v>
      </c>
      <c r="Q66">
        <v>120.3</v>
      </c>
      <c r="R66">
        <v>115.4</v>
      </c>
      <c r="S66">
        <v>119.5</v>
      </c>
      <c r="T66">
        <v>117.1</v>
      </c>
      <c r="U66">
        <v>116.4</v>
      </c>
      <c r="V66">
        <v>113</v>
      </c>
      <c r="W66">
        <v>109.6</v>
      </c>
      <c r="X66">
        <v>109.7</v>
      </c>
      <c r="Y66">
        <v>114</v>
      </c>
      <c r="Z66">
        <v>125.8</v>
      </c>
      <c r="AA66">
        <v>112.6</v>
      </c>
      <c r="AB66">
        <v>120.3</v>
      </c>
      <c r="AC66">
        <v>113.4</v>
      </c>
      <c r="AD66">
        <v>119</v>
      </c>
      <c r="AE66">
        <f>SUM(Table1_1[[#This Row],[Cereals and products]:[Food and beverages]])</f>
        <v>1587.8</v>
      </c>
      <c r="AF66">
        <f>SUM(Table1_1[[#This Row],[Clothing and footwear]:[Clothing]])</f>
        <v>355.2</v>
      </c>
      <c r="AG66">
        <f>SUM(Table1_1[[#This Row],[Clothing]:[Education]])</f>
        <v>1393.6999999999998</v>
      </c>
      <c r="AH66">
        <f>SUM(Table1_1[[#This Row],[Health]:[Personal care and effects]])</f>
        <v>222.6</v>
      </c>
      <c r="AI66">
        <f>SUM(Table1_1[[#This Row],[Recreation and amusement]:[Miscellaneous]])</f>
        <v>586.1</v>
      </c>
      <c r="AJ66">
        <f>SUM(Table1_1[[#This Row],[Fuel and light]])</f>
        <v>112.6</v>
      </c>
      <c r="AK66">
        <f>SUM(Table1_1[[#This Row],[Food]:[Luxury &amp;Other Thing]])</f>
        <v>4145.3999999999996</v>
      </c>
      <c r="AL66">
        <f>SUM(Table1_1[[#This Row],[Food]:[Luxury &amp;Other Thing]])</f>
        <v>4145.3999999999996</v>
      </c>
    </row>
    <row r="67" spans="1:38" x14ac:dyDescent="0.25">
      <c r="A67" t="s">
        <v>34</v>
      </c>
      <c r="B67" t="s">
        <v>45</v>
      </c>
      <c r="C67">
        <v>2014</v>
      </c>
      <c r="D67">
        <v>123.3</v>
      </c>
      <c r="E67">
        <v>123.7</v>
      </c>
      <c r="F67">
        <v>121</v>
      </c>
      <c r="G67">
        <v>124.2</v>
      </c>
      <c r="H67">
        <v>107.8</v>
      </c>
      <c r="I67">
        <v>125.7</v>
      </c>
      <c r="J67">
        <v>152.4</v>
      </c>
      <c r="K67">
        <v>117.2</v>
      </c>
      <c r="L67">
        <v>102.1</v>
      </c>
      <c r="M67">
        <v>118.7</v>
      </c>
      <c r="N67">
        <v>116.4</v>
      </c>
      <c r="O67">
        <v>125.6</v>
      </c>
      <c r="P67">
        <v>125.1</v>
      </c>
      <c r="Q67">
        <v>122.1</v>
      </c>
      <c r="R67">
        <v>118.4</v>
      </c>
      <c r="S67">
        <v>121.6</v>
      </c>
      <c r="T67">
        <v>117.1</v>
      </c>
      <c r="U67">
        <v>117.3</v>
      </c>
      <c r="V67">
        <v>114.8</v>
      </c>
      <c r="W67">
        <v>109.1</v>
      </c>
      <c r="X67">
        <v>110.8</v>
      </c>
      <c r="Y67">
        <v>113.7</v>
      </c>
      <c r="Z67">
        <v>122.1</v>
      </c>
      <c r="AA67">
        <v>115.5</v>
      </c>
      <c r="AB67">
        <v>119</v>
      </c>
      <c r="AC67">
        <v>113.8</v>
      </c>
      <c r="AD67">
        <v>120.1</v>
      </c>
      <c r="AE67">
        <f>SUM(Table1_1[[#This Row],[Cereals and products]:[Food and beverages]])</f>
        <v>1583.2</v>
      </c>
      <c r="AF67">
        <f>SUM(Table1_1[[#This Row],[Clothing and footwear]:[Clothing]])</f>
        <v>362.1</v>
      </c>
      <c r="AG67">
        <f>SUM(Table1_1[[#This Row],[Clothing]:[Education]])</f>
        <v>1401.4999999999998</v>
      </c>
      <c r="AH67">
        <f>SUM(Table1_1[[#This Row],[Health]:[Personal care and effects]])</f>
        <v>223.89999999999998</v>
      </c>
      <c r="AI67">
        <f>SUM(Table1_1[[#This Row],[Recreation and amusement]:[Miscellaneous]])</f>
        <v>584.1</v>
      </c>
      <c r="AJ67">
        <f>SUM(Table1_1[[#This Row],[Fuel and light]])</f>
        <v>115.5</v>
      </c>
      <c r="AK67">
        <f>SUM(Table1_1[[#This Row],[Food]:[Luxury &amp;Other Thing]])</f>
        <v>4154.8</v>
      </c>
      <c r="AL67">
        <f>SUM(Table1_1[[#This Row],[Food]:[Luxury &amp;Other Thing]])</f>
        <v>4154.8</v>
      </c>
    </row>
    <row r="68" spans="1:38" x14ac:dyDescent="0.25">
      <c r="A68" t="s">
        <v>30</v>
      </c>
      <c r="B68" t="s">
        <v>45</v>
      </c>
      <c r="C68">
        <v>2015</v>
      </c>
      <c r="D68">
        <v>126.1</v>
      </c>
      <c r="E68">
        <v>130.6</v>
      </c>
      <c r="F68">
        <v>121.7</v>
      </c>
      <c r="G68">
        <v>129.5</v>
      </c>
      <c r="H68">
        <v>117.8</v>
      </c>
      <c r="I68">
        <v>132.1</v>
      </c>
      <c r="J68">
        <v>155.19999999999999</v>
      </c>
      <c r="K68">
        <v>160.80000000000001</v>
      </c>
      <c r="L68">
        <v>94.5</v>
      </c>
      <c r="M68">
        <v>128.30000000000001</v>
      </c>
      <c r="N68">
        <v>123.1</v>
      </c>
      <c r="O68">
        <v>134.19999999999999</v>
      </c>
      <c r="P68">
        <v>132.4</v>
      </c>
      <c r="Q68">
        <v>132.1</v>
      </c>
      <c r="R68">
        <v>128.19999999999999</v>
      </c>
      <c r="S68">
        <v>131.5</v>
      </c>
      <c r="T68">
        <v>139.5</v>
      </c>
      <c r="U68">
        <v>125.6</v>
      </c>
      <c r="V68">
        <v>122.6</v>
      </c>
      <c r="W68">
        <v>114.2</v>
      </c>
      <c r="X68">
        <v>114</v>
      </c>
      <c r="Y68">
        <v>120.9</v>
      </c>
      <c r="Z68">
        <v>132.19999999999999</v>
      </c>
      <c r="AA68">
        <v>125.6</v>
      </c>
      <c r="AB68">
        <v>125.8</v>
      </c>
      <c r="AC68">
        <v>119.6</v>
      </c>
      <c r="AD68">
        <v>128.30000000000001</v>
      </c>
      <c r="AE68">
        <f>SUM(Table1_1[[#This Row],[Cereals and products]:[Food and beverages]])</f>
        <v>1686.3</v>
      </c>
      <c r="AF68">
        <f>SUM(Table1_1[[#This Row],[Clothing and footwear]:[Clothing]])</f>
        <v>391.79999999999995</v>
      </c>
      <c r="AG68">
        <f>SUM(Table1_1[[#This Row],[Clothing]:[Education]])</f>
        <v>1512.2</v>
      </c>
      <c r="AH68">
        <f>SUM(Table1_1[[#This Row],[Health]:[Personal care and effects]])</f>
        <v>236.8</v>
      </c>
      <c r="AI68">
        <f>SUM(Table1_1[[#This Row],[Recreation and amusement]:[Miscellaneous]])</f>
        <v>624.1</v>
      </c>
      <c r="AJ68">
        <f>SUM(Table1_1[[#This Row],[Fuel and light]])</f>
        <v>125.6</v>
      </c>
      <c r="AK68">
        <f>SUM(Table1_1[[#This Row],[Food]:[Luxury &amp;Other Thing]])</f>
        <v>4451.2000000000007</v>
      </c>
      <c r="AL68">
        <f>SUM(Table1_1[[#This Row],[Food]:[Luxury &amp;Other Thing]])</f>
        <v>4451.2000000000007</v>
      </c>
    </row>
    <row r="69" spans="1:38" x14ac:dyDescent="0.25">
      <c r="A69" t="s">
        <v>33</v>
      </c>
      <c r="B69" t="s">
        <v>45</v>
      </c>
      <c r="C69">
        <v>2015</v>
      </c>
      <c r="D69">
        <v>124</v>
      </c>
      <c r="E69">
        <v>129.80000000000001</v>
      </c>
      <c r="F69">
        <v>121.5</v>
      </c>
      <c r="G69">
        <v>128.6</v>
      </c>
      <c r="H69">
        <v>110</v>
      </c>
      <c r="I69">
        <v>123.7</v>
      </c>
      <c r="J69">
        <v>164.6</v>
      </c>
      <c r="K69">
        <v>191.6</v>
      </c>
      <c r="L69">
        <v>90.8</v>
      </c>
      <c r="M69">
        <v>137.1</v>
      </c>
      <c r="N69">
        <v>119.8</v>
      </c>
      <c r="O69">
        <v>133.69999999999999</v>
      </c>
      <c r="P69">
        <v>133.30000000000001</v>
      </c>
      <c r="Q69">
        <v>125</v>
      </c>
      <c r="R69">
        <v>119.3</v>
      </c>
      <c r="S69">
        <v>124.2</v>
      </c>
      <c r="T69">
        <v>122.9</v>
      </c>
      <c r="U69">
        <v>121</v>
      </c>
      <c r="V69">
        <v>118.1</v>
      </c>
      <c r="W69">
        <v>113.3</v>
      </c>
      <c r="X69">
        <v>109.3</v>
      </c>
      <c r="Y69">
        <v>117.9</v>
      </c>
      <c r="Z69">
        <v>137.6</v>
      </c>
      <c r="AA69">
        <v>115.1</v>
      </c>
      <c r="AB69">
        <v>126.6</v>
      </c>
      <c r="AC69">
        <v>116.6</v>
      </c>
      <c r="AD69">
        <v>124.6</v>
      </c>
      <c r="AE69">
        <f>SUM(Table1_1[[#This Row],[Cereals and products]:[Food and beverages]])</f>
        <v>1708.4999999999998</v>
      </c>
      <c r="AF69">
        <f>SUM(Table1_1[[#This Row],[Clothing and footwear]:[Clothing]])</f>
        <v>368.5</v>
      </c>
      <c r="AG69">
        <f>SUM(Table1_1[[#This Row],[Clothing]:[Education]])</f>
        <v>1450.2999999999997</v>
      </c>
      <c r="AH69">
        <f>SUM(Table1_1[[#This Row],[Health]:[Personal care and effects]])</f>
        <v>231.39999999999998</v>
      </c>
      <c r="AI69">
        <f>SUM(Table1_1[[#This Row],[Recreation and amusement]:[Miscellaneous]])</f>
        <v>613.80000000000007</v>
      </c>
      <c r="AJ69">
        <f>SUM(Table1_1[[#This Row],[Fuel and light]])</f>
        <v>115.1</v>
      </c>
      <c r="AK69">
        <f>SUM(Table1_1[[#This Row],[Food]:[Luxury &amp;Other Thing]])</f>
        <v>4372.5</v>
      </c>
      <c r="AL69">
        <f>SUM(Table1_1[[#This Row],[Food]:[Luxury &amp;Other Thing]])</f>
        <v>4372.5</v>
      </c>
    </row>
    <row r="70" spans="1:38" x14ac:dyDescent="0.25">
      <c r="A70" t="s">
        <v>34</v>
      </c>
      <c r="B70" t="s">
        <v>45</v>
      </c>
      <c r="C70">
        <v>2015</v>
      </c>
      <c r="D70">
        <v>125.4</v>
      </c>
      <c r="E70">
        <v>130.30000000000001</v>
      </c>
      <c r="F70">
        <v>121.6</v>
      </c>
      <c r="G70">
        <v>129.19999999999999</v>
      </c>
      <c r="H70">
        <v>114.9</v>
      </c>
      <c r="I70">
        <v>128.19999999999999</v>
      </c>
      <c r="J70">
        <v>158.4</v>
      </c>
      <c r="K70">
        <v>171.2</v>
      </c>
      <c r="L70">
        <v>93.3</v>
      </c>
      <c r="M70">
        <v>131.19999999999999</v>
      </c>
      <c r="N70">
        <v>121.7</v>
      </c>
      <c r="O70">
        <v>134</v>
      </c>
      <c r="P70">
        <v>132.69999999999999</v>
      </c>
      <c r="Q70">
        <v>129.30000000000001</v>
      </c>
      <c r="R70">
        <v>124.5</v>
      </c>
      <c r="S70">
        <v>128.6</v>
      </c>
      <c r="T70">
        <v>122.9</v>
      </c>
      <c r="U70">
        <v>123.4</v>
      </c>
      <c r="V70">
        <v>120.9</v>
      </c>
      <c r="W70">
        <v>113.8</v>
      </c>
      <c r="X70">
        <v>111.5</v>
      </c>
      <c r="Y70">
        <v>119.2</v>
      </c>
      <c r="Z70">
        <v>133.6</v>
      </c>
      <c r="AA70">
        <v>121.6</v>
      </c>
      <c r="AB70">
        <v>126.3</v>
      </c>
      <c r="AC70">
        <v>118.1</v>
      </c>
      <c r="AD70">
        <v>126.6</v>
      </c>
      <c r="AE70">
        <f>SUM(Table1_1[[#This Row],[Cereals and products]:[Food and beverages]])</f>
        <v>1692.1</v>
      </c>
      <c r="AF70">
        <f>SUM(Table1_1[[#This Row],[Clothing and footwear]:[Clothing]])</f>
        <v>382.4</v>
      </c>
      <c r="AG70">
        <f>SUM(Table1_1[[#This Row],[Clothing]:[Education]])</f>
        <v>1475.5999999999997</v>
      </c>
      <c r="AH70">
        <f>SUM(Table1_1[[#This Row],[Health]:[Personal care and effects]])</f>
        <v>234.7</v>
      </c>
      <c r="AI70">
        <f>SUM(Table1_1[[#This Row],[Recreation and amusement]:[Miscellaneous]])</f>
        <v>618.79999999999995</v>
      </c>
      <c r="AJ70">
        <f>SUM(Table1_1[[#This Row],[Fuel and light]])</f>
        <v>121.6</v>
      </c>
      <c r="AK70">
        <f>SUM(Table1_1[[#This Row],[Food]:[Luxury &amp;Other Thing]])</f>
        <v>4403.5999999999995</v>
      </c>
      <c r="AL70">
        <f>SUM(Table1_1[[#This Row],[Food]:[Luxury &amp;Other Thing]])</f>
        <v>4403.5999999999995</v>
      </c>
    </row>
    <row r="71" spans="1:38" x14ac:dyDescent="0.25">
      <c r="A71" t="s">
        <v>30</v>
      </c>
      <c r="B71" t="s">
        <v>45</v>
      </c>
      <c r="C71">
        <v>2016</v>
      </c>
      <c r="D71">
        <v>132</v>
      </c>
      <c r="E71">
        <v>137.4</v>
      </c>
      <c r="F71">
        <v>130.6</v>
      </c>
      <c r="G71">
        <v>136.19999999999999</v>
      </c>
      <c r="H71">
        <v>121.1</v>
      </c>
      <c r="I71">
        <v>136.9</v>
      </c>
      <c r="J71">
        <v>141.80000000000001</v>
      </c>
      <c r="K71">
        <v>170</v>
      </c>
      <c r="L71">
        <v>113.4</v>
      </c>
      <c r="M71">
        <v>136.80000000000001</v>
      </c>
      <c r="N71">
        <v>128.69999999999999</v>
      </c>
      <c r="O71">
        <v>143.1</v>
      </c>
      <c r="P71">
        <v>136.6</v>
      </c>
      <c r="Q71">
        <v>139.9</v>
      </c>
      <c r="R71">
        <v>134.5</v>
      </c>
      <c r="S71">
        <v>139.19999999999999</v>
      </c>
      <c r="T71">
        <v>139.5</v>
      </c>
      <c r="U71">
        <v>132.1</v>
      </c>
      <c r="V71">
        <v>129.1</v>
      </c>
      <c r="W71">
        <v>123.5</v>
      </c>
      <c r="X71">
        <v>118.2</v>
      </c>
      <c r="Y71">
        <v>126.9</v>
      </c>
      <c r="Z71">
        <v>141.19999999999999</v>
      </c>
      <c r="AA71">
        <v>130.30000000000001</v>
      </c>
      <c r="AB71">
        <v>133.69999999999999</v>
      </c>
      <c r="AC71">
        <v>126.1</v>
      </c>
      <c r="AD71">
        <v>133.6</v>
      </c>
      <c r="AE71">
        <f>SUM(Table1_1[[#This Row],[Cereals and products]:[Food and beverages]])</f>
        <v>1764.6</v>
      </c>
      <c r="AF71">
        <f>SUM(Table1_1[[#This Row],[Clothing and footwear]:[Clothing]])</f>
        <v>413.59999999999997</v>
      </c>
      <c r="AG71">
        <f>SUM(Table1_1[[#This Row],[Clothing]:[Education]])</f>
        <v>1588.1000000000001</v>
      </c>
      <c r="AH71">
        <f>SUM(Table1_1[[#This Row],[Health]:[Personal care and effects]])</f>
        <v>252.6</v>
      </c>
      <c r="AI71">
        <f>SUM(Table1_1[[#This Row],[Recreation and amusement]:[Miscellaneous]])</f>
        <v>658.2</v>
      </c>
      <c r="AJ71">
        <f>SUM(Table1_1[[#This Row],[Fuel and light]])</f>
        <v>130.30000000000001</v>
      </c>
      <c r="AK71">
        <f>SUM(Table1_1[[#This Row],[Food]:[Luxury &amp;Other Thing]])</f>
        <v>4677.1000000000004</v>
      </c>
      <c r="AL71">
        <f>SUM(Table1_1[[#This Row],[Food]:[Luxury &amp;Other Thing]])</f>
        <v>4677.1000000000004</v>
      </c>
    </row>
    <row r="72" spans="1:38" x14ac:dyDescent="0.25">
      <c r="A72" t="s">
        <v>33</v>
      </c>
      <c r="B72" t="s">
        <v>45</v>
      </c>
      <c r="C72">
        <v>2016</v>
      </c>
      <c r="D72">
        <v>130.19999999999999</v>
      </c>
      <c r="E72">
        <v>138.5</v>
      </c>
      <c r="F72">
        <v>134.1</v>
      </c>
      <c r="G72">
        <v>132.9</v>
      </c>
      <c r="H72">
        <v>112.6</v>
      </c>
      <c r="I72">
        <v>130.80000000000001</v>
      </c>
      <c r="J72">
        <v>142</v>
      </c>
      <c r="K72">
        <v>174.9</v>
      </c>
      <c r="L72">
        <v>115.6</v>
      </c>
      <c r="M72">
        <v>145.4</v>
      </c>
      <c r="N72">
        <v>122.7</v>
      </c>
      <c r="O72">
        <v>140.30000000000001</v>
      </c>
      <c r="P72">
        <v>135.19999999999999</v>
      </c>
      <c r="Q72">
        <v>129.6</v>
      </c>
      <c r="R72">
        <v>122.1</v>
      </c>
      <c r="S72">
        <v>128.5</v>
      </c>
      <c r="T72">
        <v>129.1</v>
      </c>
      <c r="U72">
        <v>124.7</v>
      </c>
      <c r="V72">
        <v>122.1</v>
      </c>
      <c r="W72">
        <v>121.3</v>
      </c>
      <c r="X72">
        <v>113.4</v>
      </c>
      <c r="Y72">
        <v>121.7</v>
      </c>
      <c r="Z72">
        <v>144.30000000000001</v>
      </c>
      <c r="AA72">
        <v>116.2</v>
      </c>
      <c r="AB72">
        <v>132.1</v>
      </c>
      <c r="AC72">
        <v>121.3</v>
      </c>
      <c r="AD72">
        <v>128.5</v>
      </c>
      <c r="AE72">
        <f>SUM(Table1_1[[#This Row],[Cereals and products]:[Food and beverages]])</f>
        <v>1755.2</v>
      </c>
      <c r="AF72">
        <f>SUM(Table1_1[[#This Row],[Clothing and footwear]:[Clothing]])</f>
        <v>380.2</v>
      </c>
      <c r="AG72">
        <f>SUM(Table1_1[[#This Row],[Clothing]:[Education]])</f>
        <v>1505.1</v>
      </c>
      <c r="AH72">
        <f>SUM(Table1_1[[#This Row],[Health]:[Personal care and effects]])</f>
        <v>243.39999999999998</v>
      </c>
      <c r="AI72">
        <f>SUM(Table1_1[[#This Row],[Recreation and amusement]:[Miscellaneous]])</f>
        <v>635.59999999999991</v>
      </c>
      <c r="AJ72">
        <f>SUM(Table1_1[[#This Row],[Fuel and light]])</f>
        <v>116.2</v>
      </c>
      <c r="AK72">
        <f>SUM(Table1_1[[#This Row],[Food]:[Luxury &amp;Other Thing]])</f>
        <v>4519.5</v>
      </c>
      <c r="AL72">
        <f>SUM(Table1_1[[#This Row],[Food]:[Luxury &amp;Other Thing]])</f>
        <v>4519.5</v>
      </c>
    </row>
    <row r="73" spans="1:38" x14ac:dyDescent="0.25">
      <c r="A73" t="s">
        <v>34</v>
      </c>
      <c r="B73" t="s">
        <v>45</v>
      </c>
      <c r="C73">
        <v>2016</v>
      </c>
      <c r="D73">
        <v>131.4</v>
      </c>
      <c r="E73">
        <v>137.80000000000001</v>
      </c>
      <c r="F73">
        <v>132</v>
      </c>
      <c r="G73">
        <v>135</v>
      </c>
      <c r="H73">
        <v>118</v>
      </c>
      <c r="I73">
        <v>134.1</v>
      </c>
      <c r="J73">
        <v>141.9</v>
      </c>
      <c r="K73">
        <v>171.7</v>
      </c>
      <c r="L73">
        <v>114.1</v>
      </c>
      <c r="M73">
        <v>139.69999999999999</v>
      </c>
      <c r="N73">
        <v>126.2</v>
      </c>
      <c r="O73">
        <v>141.80000000000001</v>
      </c>
      <c r="P73">
        <v>136.1</v>
      </c>
      <c r="Q73">
        <v>135.80000000000001</v>
      </c>
      <c r="R73">
        <v>129.30000000000001</v>
      </c>
      <c r="S73">
        <v>135</v>
      </c>
      <c r="T73">
        <v>129.1</v>
      </c>
      <c r="U73">
        <v>128.6</v>
      </c>
      <c r="V73">
        <v>126.4</v>
      </c>
      <c r="W73">
        <v>122.6</v>
      </c>
      <c r="X73">
        <v>115.7</v>
      </c>
      <c r="Y73">
        <v>124</v>
      </c>
      <c r="Z73">
        <v>142</v>
      </c>
      <c r="AA73">
        <v>125</v>
      </c>
      <c r="AB73">
        <v>132.80000000000001</v>
      </c>
      <c r="AC73">
        <v>123.8</v>
      </c>
      <c r="AD73">
        <v>131.19999999999999</v>
      </c>
      <c r="AE73">
        <f>SUM(Table1_1[[#This Row],[Cereals and products]:[Food and beverages]])</f>
        <v>1759.8</v>
      </c>
      <c r="AF73">
        <f>SUM(Table1_1[[#This Row],[Clothing and footwear]:[Clothing]])</f>
        <v>400.1</v>
      </c>
      <c r="AG73">
        <f>SUM(Table1_1[[#This Row],[Clothing]:[Education]])</f>
        <v>1546.3</v>
      </c>
      <c r="AH73">
        <f>SUM(Table1_1[[#This Row],[Health]:[Personal care and effects]])</f>
        <v>249</v>
      </c>
      <c r="AI73">
        <f>SUM(Table1_1[[#This Row],[Recreation and amusement]:[Miscellaneous]])</f>
        <v>647.59999999999991</v>
      </c>
      <c r="AJ73">
        <f>SUM(Table1_1[[#This Row],[Fuel and light]])</f>
        <v>125</v>
      </c>
      <c r="AK73">
        <f>SUM(Table1_1[[#This Row],[Food]:[Luxury &amp;Other Thing]])</f>
        <v>4602.7999999999993</v>
      </c>
      <c r="AL73">
        <f>SUM(Table1_1[[#This Row],[Food]:[Luxury &amp;Other Thing]])</f>
        <v>4602.7999999999993</v>
      </c>
    </row>
    <row r="74" spans="1:38" x14ac:dyDescent="0.25">
      <c r="A74" t="s">
        <v>30</v>
      </c>
      <c r="B74" t="s">
        <v>45</v>
      </c>
      <c r="C74">
        <v>2017</v>
      </c>
      <c r="D74">
        <v>136.30000000000001</v>
      </c>
      <c r="E74">
        <v>142.5</v>
      </c>
      <c r="F74">
        <v>140.5</v>
      </c>
      <c r="G74">
        <v>141.5</v>
      </c>
      <c r="H74">
        <v>121.6</v>
      </c>
      <c r="I74">
        <v>147.30000000000001</v>
      </c>
      <c r="J74">
        <v>168</v>
      </c>
      <c r="K74">
        <v>135.80000000000001</v>
      </c>
      <c r="L74">
        <v>122.5</v>
      </c>
      <c r="M74">
        <v>136</v>
      </c>
      <c r="N74">
        <v>131.9</v>
      </c>
      <c r="O74">
        <v>151.4</v>
      </c>
      <c r="P74">
        <v>142.4</v>
      </c>
      <c r="Q74">
        <v>148.19999999999999</v>
      </c>
      <c r="R74">
        <v>141.5</v>
      </c>
      <c r="S74">
        <v>147.30000000000001</v>
      </c>
      <c r="T74">
        <v>139.5</v>
      </c>
      <c r="U74">
        <v>139.4</v>
      </c>
      <c r="V74">
        <v>135.80000000000001</v>
      </c>
      <c r="W74">
        <v>128.1</v>
      </c>
      <c r="X74">
        <v>121.6</v>
      </c>
      <c r="Y74">
        <v>133.69999999999999</v>
      </c>
      <c r="Z74">
        <v>152.1</v>
      </c>
      <c r="AA74">
        <v>141.1</v>
      </c>
      <c r="AB74">
        <v>141.5</v>
      </c>
      <c r="AC74">
        <v>131.69999999999999</v>
      </c>
      <c r="AD74">
        <v>140</v>
      </c>
      <c r="AE74">
        <f>SUM(Table1_1[[#This Row],[Cereals and products]:[Food and beverages]])</f>
        <v>1817.7000000000003</v>
      </c>
      <c r="AF74">
        <f>SUM(Table1_1[[#This Row],[Clothing and footwear]:[Clothing]])</f>
        <v>437</v>
      </c>
      <c r="AG74">
        <f>SUM(Table1_1[[#This Row],[Clothing]:[Education]])</f>
        <v>1669.8</v>
      </c>
      <c r="AH74">
        <f>SUM(Table1_1[[#This Row],[Health]:[Personal care and effects]])</f>
        <v>263.89999999999998</v>
      </c>
      <c r="AI74">
        <f>SUM(Table1_1[[#This Row],[Recreation and amusement]:[Miscellaneous]])</f>
        <v>700.09999999999991</v>
      </c>
      <c r="AJ74">
        <f>SUM(Table1_1[[#This Row],[Fuel and light]])</f>
        <v>141.1</v>
      </c>
      <c r="AK74">
        <f>SUM(Table1_1[[#This Row],[Food]:[Luxury &amp;Other Thing]])</f>
        <v>4888.5</v>
      </c>
      <c r="AL74">
        <f>SUM(Table1_1[[#This Row],[Food]:[Luxury &amp;Other Thing]])</f>
        <v>4888.5</v>
      </c>
    </row>
    <row r="75" spans="1:38" x14ac:dyDescent="0.25">
      <c r="A75" t="s">
        <v>33</v>
      </c>
      <c r="B75" t="s">
        <v>45</v>
      </c>
      <c r="C75">
        <v>2017</v>
      </c>
      <c r="D75">
        <v>134.30000000000001</v>
      </c>
      <c r="E75">
        <v>142.1</v>
      </c>
      <c r="F75">
        <v>146.69999999999999</v>
      </c>
      <c r="G75">
        <v>139.5</v>
      </c>
      <c r="H75">
        <v>115.2</v>
      </c>
      <c r="I75">
        <v>136.4</v>
      </c>
      <c r="J75">
        <v>185.2</v>
      </c>
      <c r="K75">
        <v>122.2</v>
      </c>
      <c r="L75">
        <v>123.9</v>
      </c>
      <c r="M75">
        <v>138.30000000000001</v>
      </c>
      <c r="N75">
        <v>125.4</v>
      </c>
      <c r="O75">
        <v>146</v>
      </c>
      <c r="P75">
        <v>141.5</v>
      </c>
      <c r="Q75">
        <v>135</v>
      </c>
      <c r="R75">
        <v>125.4</v>
      </c>
      <c r="S75">
        <v>133.5</v>
      </c>
      <c r="T75">
        <v>138.6</v>
      </c>
      <c r="U75">
        <v>128.80000000000001</v>
      </c>
      <c r="V75">
        <v>127.4</v>
      </c>
      <c r="W75">
        <v>124.9</v>
      </c>
      <c r="X75">
        <v>115.3</v>
      </c>
      <c r="Y75">
        <v>125.1</v>
      </c>
      <c r="Z75">
        <v>156.19999999999999</v>
      </c>
      <c r="AA75">
        <v>125.7</v>
      </c>
      <c r="AB75">
        <v>136.6</v>
      </c>
      <c r="AC75">
        <v>124.9</v>
      </c>
      <c r="AD75">
        <v>134.80000000000001</v>
      </c>
      <c r="AE75">
        <f>SUM(Table1_1[[#This Row],[Cereals and products]:[Food and beverages]])</f>
        <v>1796.7</v>
      </c>
      <c r="AF75">
        <f>SUM(Table1_1[[#This Row],[Clothing and footwear]:[Clothing]])</f>
        <v>393.9</v>
      </c>
      <c r="AG75">
        <f>SUM(Table1_1[[#This Row],[Clothing]:[Education]])</f>
        <v>1572.4999999999998</v>
      </c>
      <c r="AH75">
        <f>SUM(Table1_1[[#This Row],[Health]:[Personal care and effects]])</f>
        <v>252.3</v>
      </c>
      <c r="AI75">
        <f>SUM(Table1_1[[#This Row],[Recreation and amusement]:[Miscellaneous]])</f>
        <v>668.49999999999989</v>
      </c>
      <c r="AJ75">
        <f>SUM(Table1_1[[#This Row],[Fuel and light]])</f>
        <v>125.7</v>
      </c>
      <c r="AK75">
        <f>SUM(Table1_1[[#This Row],[Food]:[Luxury &amp;Other Thing]])</f>
        <v>4683.8999999999996</v>
      </c>
      <c r="AL75">
        <f>SUM(Table1_1[[#This Row],[Food]:[Luxury &amp;Other Thing]])</f>
        <v>4683.8999999999996</v>
      </c>
    </row>
    <row r="76" spans="1:38" x14ac:dyDescent="0.25">
      <c r="A76" t="s">
        <v>34</v>
      </c>
      <c r="B76" t="s">
        <v>45</v>
      </c>
      <c r="C76">
        <v>2017</v>
      </c>
      <c r="D76">
        <v>135.69999999999999</v>
      </c>
      <c r="E76">
        <v>142.4</v>
      </c>
      <c r="F76">
        <v>142.9</v>
      </c>
      <c r="G76">
        <v>140.80000000000001</v>
      </c>
      <c r="H76">
        <v>119.2</v>
      </c>
      <c r="I76">
        <v>142.19999999999999</v>
      </c>
      <c r="J76">
        <v>173.8</v>
      </c>
      <c r="K76">
        <v>131.19999999999999</v>
      </c>
      <c r="L76">
        <v>123</v>
      </c>
      <c r="M76">
        <v>136.80000000000001</v>
      </c>
      <c r="N76">
        <v>129.19999999999999</v>
      </c>
      <c r="O76">
        <v>148.9</v>
      </c>
      <c r="P76">
        <v>142.1</v>
      </c>
      <c r="Q76">
        <v>143</v>
      </c>
      <c r="R76">
        <v>134.80000000000001</v>
      </c>
      <c r="S76">
        <v>141.80000000000001</v>
      </c>
      <c r="T76">
        <v>138.6</v>
      </c>
      <c r="U76">
        <v>134.4</v>
      </c>
      <c r="V76">
        <v>132.6</v>
      </c>
      <c r="W76">
        <v>126.8</v>
      </c>
      <c r="X76">
        <v>118.3</v>
      </c>
      <c r="Y76">
        <v>128.9</v>
      </c>
      <c r="Z76">
        <v>153.19999999999999</v>
      </c>
      <c r="AA76">
        <v>135.30000000000001</v>
      </c>
      <c r="AB76">
        <v>138.6</v>
      </c>
      <c r="AC76">
        <v>128.4</v>
      </c>
      <c r="AD76">
        <v>137.6</v>
      </c>
      <c r="AE76">
        <f>SUM(Table1_1[[#This Row],[Cereals and products]:[Food and beverages]])</f>
        <v>1808.2</v>
      </c>
      <c r="AF76">
        <f>SUM(Table1_1[[#This Row],[Clothing and footwear]:[Clothing]])</f>
        <v>419.6</v>
      </c>
      <c r="AG76">
        <f>SUM(Table1_1[[#This Row],[Clothing]:[Education]])</f>
        <v>1626.3</v>
      </c>
      <c r="AH76">
        <f>SUM(Table1_1[[#This Row],[Health]:[Personal care and effects]])</f>
        <v>259.39999999999998</v>
      </c>
      <c r="AI76">
        <f>SUM(Table1_1[[#This Row],[Recreation and amusement]:[Miscellaneous]])</f>
        <v>684.4</v>
      </c>
      <c r="AJ76">
        <f>SUM(Table1_1[[#This Row],[Fuel and light]])</f>
        <v>135.30000000000001</v>
      </c>
      <c r="AK76">
        <f>SUM(Table1_1[[#This Row],[Food]:[Luxury &amp;Other Thing]])</f>
        <v>4797.8999999999996</v>
      </c>
      <c r="AL76">
        <f>SUM(Table1_1[[#This Row],[Food]:[Luxury &amp;Other Thing]])</f>
        <v>4797.8999999999996</v>
      </c>
    </row>
    <row r="77" spans="1:38" x14ac:dyDescent="0.25">
      <c r="A77" t="s">
        <v>30</v>
      </c>
      <c r="B77" t="s">
        <v>45</v>
      </c>
      <c r="C77">
        <v>2018</v>
      </c>
      <c r="D77">
        <v>137.1</v>
      </c>
      <c r="E77">
        <v>150.80000000000001</v>
      </c>
      <c r="F77">
        <v>136.69999999999999</v>
      </c>
      <c r="G77">
        <v>141.9</v>
      </c>
      <c r="H77">
        <v>122.8</v>
      </c>
      <c r="I77">
        <v>143.9</v>
      </c>
      <c r="J77">
        <v>147.5</v>
      </c>
      <c r="K77">
        <v>121</v>
      </c>
      <c r="L77">
        <v>111.6</v>
      </c>
      <c r="M77">
        <v>140.6</v>
      </c>
      <c r="N77">
        <v>137.5</v>
      </c>
      <c r="O77">
        <v>156.1</v>
      </c>
      <c r="P77">
        <v>140</v>
      </c>
      <c r="Q77">
        <v>151.69999999999999</v>
      </c>
      <c r="R77">
        <v>145.5</v>
      </c>
      <c r="S77">
        <v>150.80000000000001</v>
      </c>
      <c r="T77">
        <v>139.5</v>
      </c>
      <c r="U77">
        <v>148</v>
      </c>
      <c r="V77">
        <v>145.4</v>
      </c>
      <c r="W77">
        <v>133.1</v>
      </c>
      <c r="X77">
        <v>130.30000000000001</v>
      </c>
      <c r="Y77">
        <v>143.1</v>
      </c>
      <c r="Z77">
        <v>161.9</v>
      </c>
      <c r="AA77">
        <v>150.30000000000001</v>
      </c>
      <c r="AB77">
        <v>150.19999999999999</v>
      </c>
      <c r="AC77">
        <v>140.1</v>
      </c>
      <c r="AD77">
        <v>142.4</v>
      </c>
      <c r="AE77">
        <f>SUM(Table1_1[[#This Row],[Cereals and products]:[Food and beverages]])</f>
        <v>1787.4999999999995</v>
      </c>
      <c r="AF77">
        <f>SUM(Table1_1[[#This Row],[Clothing and footwear]:[Clothing]])</f>
        <v>448</v>
      </c>
      <c r="AG77">
        <f>SUM(Table1_1[[#This Row],[Clothing]:[Education]])</f>
        <v>1749.8</v>
      </c>
      <c r="AH77">
        <f>SUM(Table1_1[[#This Row],[Health]:[Personal care and effects]])</f>
        <v>278.5</v>
      </c>
      <c r="AI77">
        <f>SUM(Table1_1[[#This Row],[Recreation and amusement]:[Miscellaneous]])</f>
        <v>745.6</v>
      </c>
      <c r="AJ77">
        <f>SUM(Table1_1[[#This Row],[Fuel and light]])</f>
        <v>150.30000000000001</v>
      </c>
      <c r="AK77">
        <f>SUM(Table1_1[[#This Row],[Food]:[Luxury &amp;Other Thing]])</f>
        <v>5009.3999999999996</v>
      </c>
      <c r="AL77">
        <f>SUM(Table1_1[[#This Row],[Food]:[Luxury &amp;Other Thing]])</f>
        <v>5009.3999999999996</v>
      </c>
    </row>
    <row r="78" spans="1:38" x14ac:dyDescent="0.25">
      <c r="A78" t="s">
        <v>33</v>
      </c>
      <c r="B78" t="s">
        <v>45</v>
      </c>
      <c r="C78">
        <v>2018</v>
      </c>
      <c r="D78">
        <v>138.1</v>
      </c>
      <c r="E78">
        <v>146.30000000000001</v>
      </c>
      <c r="F78">
        <v>137.80000000000001</v>
      </c>
      <c r="G78">
        <v>141.6</v>
      </c>
      <c r="H78">
        <v>118.1</v>
      </c>
      <c r="I78">
        <v>141.5</v>
      </c>
      <c r="J78">
        <v>145.19999999999999</v>
      </c>
      <c r="K78">
        <v>115.3</v>
      </c>
      <c r="L78">
        <v>112.5</v>
      </c>
      <c r="M78">
        <v>141.4</v>
      </c>
      <c r="N78">
        <v>128</v>
      </c>
      <c r="O78">
        <v>152.6</v>
      </c>
      <c r="P78">
        <v>139.1</v>
      </c>
      <c r="Q78">
        <v>142.4</v>
      </c>
      <c r="R78">
        <v>130.19999999999999</v>
      </c>
      <c r="S78">
        <v>140.5</v>
      </c>
      <c r="T78">
        <v>146.9</v>
      </c>
      <c r="U78">
        <v>135.80000000000001</v>
      </c>
      <c r="V78">
        <v>136.80000000000001</v>
      </c>
      <c r="W78">
        <v>130.5</v>
      </c>
      <c r="X78">
        <v>121.2</v>
      </c>
      <c r="Y78">
        <v>131.30000000000001</v>
      </c>
      <c r="Z78">
        <v>164.4</v>
      </c>
      <c r="AA78">
        <v>136.69999999999999</v>
      </c>
      <c r="AB78">
        <v>146.1</v>
      </c>
      <c r="AC78">
        <v>132.19999999999999</v>
      </c>
      <c r="AD78">
        <v>139</v>
      </c>
      <c r="AE78">
        <f>SUM(Table1_1[[#This Row],[Cereals and products]:[Food and beverages]])</f>
        <v>1757.4999999999998</v>
      </c>
      <c r="AF78">
        <f>SUM(Table1_1[[#This Row],[Clothing and footwear]:[Clothing]])</f>
        <v>413.1</v>
      </c>
      <c r="AG78">
        <f>SUM(Table1_1[[#This Row],[Clothing]:[Education]])</f>
        <v>1662.8</v>
      </c>
      <c r="AH78">
        <f>SUM(Table1_1[[#This Row],[Health]:[Personal care and effects]])</f>
        <v>267.3</v>
      </c>
      <c r="AI78">
        <f>SUM(Table1_1[[#This Row],[Recreation and amusement]:[Miscellaneous]])</f>
        <v>710.7</v>
      </c>
      <c r="AJ78">
        <f>SUM(Table1_1[[#This Row],[Fuel and light]])</f>
        <v>136.69999999999999</v>
      </c>
      <c r="AK78">
        <f>SUM(Table1_1[[#This Row],[Food]:[Luxury &amp;Other Thing]])</f>
        <v>4811.3999999999996</v>
      </c>
      <c r="AL78">
        <f>SUM(Table1_1[[#This Row],[Food]:[Luxury &amp;Other Thing]])</f>
        <v>4811.3999999999996</v>
      </c>
    </row>
    <row r="79" spans="1:38" x14ac:dyDescent="0.25">
      <c r="A79" t="s">
        <v>34</v>
      </c>
      <c r="B79" t="s">
        <v>45</v>
      </c>
      <c r="C79">
        <v>2018</v>
      </c>
      <c r="D79">
        <v>137.4</v>
      </c>
      <c r="E79">
        <v>149.19999999999999</v>
      </c>
      <c r="F79">
        <v>137.1</v>
      </c>
      <c r="G79">
        <v>141.80000000000001</v>
      </c>
      <c r="H79">
        <v>121.1</v>
      </c>
      <c r="I79">
        <v>142.80000000000001</v>
      </c>
      <c r="J79">
        <v>146.69999999999999</v>
      </c>
      <c r="K79">
        <v>119.1</v>
      </c>
      <c r="L79">
        <v>111.9</v>
      </c>
      <c r="M79">
        <v>140.9</v>
      </c>
      <c r="N79">
        <v>133.5</v>
      </c>
      <c r="O79">
        <v>154.5</v>
      </c>
      <c r="P79">
        <v>139.69999999999999</v>
      </c>
      <c r="Q79">
        <v>148</v>
      </c>
      <c r="R79">
        <v>139.1</v>
      </c>
      <c r="S79">
        <v>146.69999999999999</v>
      </c>
      <c r="T79">
        <v>146.9</v>
      </c>
      <c r="U79">
        <v>142.19999999999999</v>
      </c>
      <c r="V79">
        <v>142.1</v>
      </c>
      <c r="W79">
        <v>132</v>
      </c>
      <c r="X79">
        <v>125.5</v>
      </c>
      <c r="Y79">
        <v>136.5</v>
      </c>
      <c r="Z79">
        <v>162.6</v>
      </c>
      <c r="AA79">
        <v>145.1</v>
      </c>
      <c r="AB79">
        <v>147.80000000000001</v>
      </c>
      <c r="AC79">
        <v>136.30000000000001</v>
      </c>
      <c r="AD79">
        <v>140.80000000000001</v>
      </c>
      <c r="AE79">
        <f>SUM(Table1_1[[#This Row],[Cereals and products]:[Food and beverages]])</f>
        <v>1775.7000000000003</v>
      </c>
      <c r="AF79">
        <f>SUM(Table1_1[[#This Row],[Clothing and footwear]:[Clothing]])</f>
        <v>433.8</v>
      </c>
      <c r="AG79">
        <f>SUM(Table1_1[[#This Row],[Clothing]:[Education]])</f>
        <v>1714.4999999999998</v>
      </c>
      <c r="AH79">
        <f>SUM(Table1_1[[#This Row],[Health]:[Personal care and effects]])</f>
        <v>274.10000000000002</v>
      </c>
      <c r="AI79">
        <f>SUM(Table1_1[[#This Row],[Recreation and amusement]:[Miscellaneous]])</f>
        <v>728.3</v>
      </c>
      <c r="AJ79">
        <f>SUM(Table1_1[[#This Row],[Fuel and light]])</f>
        <v>145.1</v>
      </c>
      <c r="AK79">
        <f>SUM(Table1_1[[#This Row],[Food]:[Luxury &amp;Other Thing]])</f>
        <v>4926.4000000000005</v>
      </c>
      <c r="AL79">
        <f>SUM(Table1_1[[#This Row],[Food]:[Luxury &amp;Other Thing]])</f>
        <v>4926.4000000000005</v>
      </c>
    </row>
    <row r="80" spans="1:38" x14ac:dyDescent="0.25">
      <c r="A80" t="s">
        <v>30</v>
      </c>
      <c r="B80" t="s">
        <v>45</v>
      </c>
      <c r="C80">
        <v>2019</v>
      </c>
      <c r="D80">
        <v>141.80000000000001</v>
      </c>
      <c r="E80">
        <v>163.69999999999999</v>
      </c>
      <c r="F80">
        <v>143.80000000000001</v>
      </c>
      <c r="G80">
        <v>147.1</v>
      </c>
      <c r="H80">
        <v>126</v>
      </c>
      <c r="I80">
        <v>146.19999999999999</v>
      </c>
      <c r="J80">
        <v>191.4</v>
      </c>
      <c r="K80">
        <v>136.19999999999999</v>
      </c>
      <c r="L80">
        <v>113.8</v>
      </c>
      <c r="M80">
        <v>147.30000000000001</v>
      </c>
      <c r="N80">
        <v>138.69999999999999</v>
      </c>
      <c r="O80">
        <v>157.69999999999999</v>
      </c>
      <c r="P80">
        <v>150.9</v>
      </c>
      <c r="Q80">
        <v>152.30000000000001</v>
      </c>
      <c r="R80">
        <v>147</v>
      </c>
      <c r="S80">
        <v>151.5</v>
      </c>
      <c r="T80">
        <v>139.5</v>
      </c>
      <c r="U80">
        <v>150.9</v>
      </c>
      <c r="V80">
        <v>154.30000000000001</v>
      </c>
      <c r="W80">
        <v>140.6</v>
      </c>
      <c r="X80">
        <v>132.1</v>
      </c>
      <c r="Y80">
        <v>149.1</v>
      </c>
      <c r="Z80">
        <v>167.2</v>
      </c>
      <c r="AA80">
        <v>148.4</v>
      </c>
      <c r="AB80">
        <v>160.80000000000001</v>
      </c>
      <c r="AC80">
        <v>146.1</v>
      </c>
      <c r="AD80">
        <v>149.9</v>
      </c>
      <c r="AE80">
        <f>SUM(Table1_1[[#This Row],[Cereals and products]:[Food and beverages]])</f>
        <v>1904.6000000000001</v>
      </c>
      <c r="AF80">
        <f>SUM(Table1_1[[#This Row],[Clothing and footwear]:[Clothing]])</f>
        <v>450.8</v>
      </c>
      <c r="AG80">
        <f>SUM(Table1_1[[#This Row],[Clothing]:[Education]])</f>
        <v>1793.6999999999998</v>
      </c>
      <c r="AH80">
        <f>SUM(Table1_1[[#This Row],[Health]:[Personal care and effects]])</f>
        <v>294.89999999999998</v>
      </c>
      <c r="AI80">
        <f>SUM(Table1_1[[#This Row],[Recreation and amusement]:[Miscellaneous]])</f>
        <v>771.6</v>
      </c>
      <c r="AJ80">
        <f>SUM(Table1_1[[#This Row],[Fuel and light]])</f>
        <v>148.4</v>
      </c>
      <c r="AK80">
        <f>SUM(Table1_1[[#This Row],[Food]:[Luxury &amp;Other Thing]])</f>
        <v>5215.6000000000004</v>
      </c>
      <c r="AL80">
        <f>SUM(Table1_1[[#This Row],[Food]:[Luxury &amp;Other Thing]])</f>
        <v>5215.6000000000004</v>
      </c>
    </row>
    <row r="81" spans="1:38" x14ac:dyDescent="0.25">
      <c r="A81" t="s">
        <v>33</v>
      </c>
      <c r="B81" t="s">
        <v>45</v>
      </c>
      <c r="C81">
        <v>2019</v>
      </c>
      <c r="D81">
        <v>144.1</v>
      </c>
      <c r="E81">
        <v>162.4</v>
      </c>
      <c r="F81">
        <v>148.4</v>
      </c>
      <c r="G81">
        <v>145.9</v>
      </c>
      <c r="H81">
        <v>121.5</v>
      </c>
      <c r="I81">
        <v>148.80000000000001</v>
      </c>
      <c r="J81">
        <v>215.7</v>
      </c>
      <c r="K81">
        <v>134.6</v>
      </c>
      <c r="L81">
        <v>115</v>
      </c>
      <c r="M81">
        <v>146.30000000000001</v>
      </c>
      <c r="N81">
        <v>130.5</v>
      </c>
      <c r="O81">
        <v>157.19999999999999</v>
      </c>
      <c r="P81">
        <v>153.6</v>
      </c>
      <c r="Q81">
        <v>146.30000000000001</v>
      </c>
      <c r="R81">
        <v>132.6</v>
      </c>
      <c r="S81">
        <v>144.19999999999999</v>
      </c>
      <c r="T81">
        <v>153.5</v>
      </c>
      <c r="U81">
        <v>139.1</v>
      </c>
      <c r="V81">
        <v>142.80000000000001</v>
      </c>
      <c r="W81">
        <v>139.80000000000001</v>
      </c>
      <c r="X81">
        <v>121.7</v>
      </c>
      <c r="Y81">
        <v>136.69999999999999</v>
      </c>
      <c r="Z81">
        <v>169.9</v>
      </c>
      <c r="AA81">
        <v>132.19999999999999</v>
      </c>
      <c r="AB81">
        <v>151.80000000000001</v>
      </c>
      <c r="AC81">
        <v>136.30000000000001</v>
      </c>
      <c r="AD81">
        <v>147</v>
      </c>
      <c r="AE81">
        <f>SUM(Table1_1[[#This Row],[Cereals and products]:[Food and beverages]])</f>
        <v>1923.9999999999998</v>
      </c>
      <c r="AF81">
        <f>SUM(Table1_1[[#This Row],[Clothing and footwear]:[Clothing]])</f>
        <v>423.09999999999997</v>
      </c>
      <c r="AG81">
        <f>SUM(Table1_1[[#This Row],[Clothing]:[Education]])</f>
        <v>1710.6000000000001</v>
      </c>
      <c r="AH81">
        <f>SUM(Table1_1[[#This Row],[Health]:[Personal care and effects]])</f>
        <v>282.60000000000002</v>
      </c>
      <c r="AI81">
        <f>SUM(Table1_1[[#This Row],[Recreation and amusement]:[Miscellaneous]])</f>
        <v>726.90000000000009</v>
      </c>
      <c r="AJ81">
        <f>SUM(Table1_1[[#This Row],[Fuel and light]])</f>
        <v>132.19999999999999</v>
      </c>
      <c r="AK81">
        <f>SUM(Table1_1[[#This Row],[Food]:[Luxury &amp;Other Thing]])</f>
        <v>5067.2000000000007</v>
      </c>
      <c r="AL81">
        <f>SUM(Table1_1[[#This Row],[Food]:[Luxury &amp;Other Thing]])</f>
        <v>5067.2000000000007</v>
      </c>
    </row>
    <row r="82" spans="1:38" x14ac:dyDescent="0.25">
      <c r="A82" t="s">
        <v>34</v>
      </c>
      <c r="B82" t="s">
        <v>45</v>
      </c>
      <c r="C82">
        <v>2019</v>
      </c>
      <c r="D82">
        <v>142.5</v>
      </c>
      <c r="E82">
        <v>163.19999999999999</v>
      </c>
      <c r="F82">
        <v>145.6</v>
      </c>
      <c r="G82">
        <v>146.69999999999999</v>
      </c>
      <c r="H82">
        <v>124.3</v>
      </c>
      <c r="I82">
        <v>147.4</v>
      </c>
      <c r="J82">
        <v>199.6</v>
      </c>
      <c r="K82">
        <v>135.69999999999999</v>
      </c>
      <c r="L82">
        <v>114.2</v>
      </c>
      <c r="M82">
        <v>147</v>
      </c>
      <c r="N82">
        <v>135.30000000000001</v>
      </c>
      <c r="O82">
        <v>157.5</v>
      </c>
      <c r="P82">
        <v>151.9</v>
      </c>
      <c r="Q82">
        <v>149.9</v>
      </c>
      <c r="R82">
        <v>141</v>
      </c>
      <c r="S82">
        <v>148.6</v>
      </c>
      <c r="T82">
        <v>153.5</v>
      </c>
      <c r="U82">
        <v>145.30000000000001</v>
      </c>
      <c r="V82">
        <v>149.9</v>
      </c>
      <c r="W82">
        <v>140.30000000000001</v>
      </c>
      <c r="X82">
        <v>126.6</v>
      </c>
      <c r="Y82">
        <v>142.1</v>
      </c>
      <c r="Z82">
        <v>167.9</v>
      </c>
      <c r="AA82">
        <v>142.30000000000001</v>
      </c>
      <c r="AB82">
        <v>155.5</v>
      </c>
      <c r="AC82">
        <v>141.30000000000001</v>
      </c>
      <c r="AD82">
        <v>148.6</v>
      </c>
      <c r="AE82">
        <f>SUM(Table1_1[[#This Row],[Cereals and products]:[Food and beverages]])</f>
        <v>1910.9</v>
      </c>
      <c r="AF82">
        <f>SUM(Table1_1[[#This Row],[Clothing and footwear]:[Clothing]])</f>
        <v>439.5</v>
      </c>
      <c r="AG82">
        <f>SUM(Table1_1[[#This Row],[Clothing]:[Education]])</f>
        <v>1762.8999999999999</v>
      </c>
      <c r="AH82">
        <f>SUM(Table1_1[[#This Row],[Health]:[Personal care and effects]])</f>
        <v>290.20000000000005</v>
      </c>
      <c r="AI82">
        <f>SUM(Table1_1[[#This Row],[Recreation and amusement]:[Miscellaneous]])</f>
        <v>749.09999999999991</v>
      </c>
      <c r="AJ82">
        <f>SUM(Table1_1[[#This Row],[Fuel and light]])</f>
        <v>142.30000000000001</v>
      </c>
      <c r="AK82">
        <f>SUM(Table1_1[[#This Row],[Food]:[Luxury &amp;Other Thing]])</f>
        <v>5152.6000000000004</v>
      </c>
      <c r="AL82">
        <f>SUM(Table1_1[[#This Row],[Food]:[Luxury &amp;Other Thing]])</f>
        <v>5152.6000000000004</v>
      </c>
    </row>
    <row r="83" spans="1:38" x14ac:dyDescent="0.25">
      <c r="A83" t="s">
        <v>30</v>
      </c>
      <c r="B83" t="s">
        <v>45</v>
      </c>
      <c r="C83">
        <v>2020</v>
      </c>
      <c r="D83">
        <v>145.4</v>
      </c>
      <c r="E83">
        <v>188.6</v>
      </c>
      <c r="F83">
        <v>171.6</v>
      </c>
      <c r="G83">
        <v>153.80000000000001</v>
      </c>
      <c r="H83">
        <v>145.4</v>
      </c>
      <c r="I83">
        <v>146.5</v>
      </c>
      <c r="J83">
        <v>222.2</v>
      </c>
      <c r="K83">
        <v>155.9</v>
      </c>
      <c r="L83">
        <v>114.9</v>
      </c>
      <c r="M83">
        <v>162</v>
      </c>
      <c r="N83">
        <v>150</v>
      </c>
      <c r="O83">
        <v>162.69999999999999</v>
      </c>
      <c r="P83">
        <v>163.4</v>
      </c>
      <c r="Q83">
        <v>156.30000000000001</v>
      </c>
      <c r="R83">
        <v>151</v>
      </c>
      <c r="S83">
        <v>155.5</v>
      </c>
      <c r="T83">
        <v>139.5</v>
      </c>
      <c r="U83">
        <v>152.80000000000001</v>
      </c>
      <c r="V83">
        <v>160.4</v>
      </c>
      <c r="W83">
        <v>156.19999999999999</v>
      </c>
      <c r="X83">
        <v>146.1</v>
      </c>
      <c r="Y83">
        <v>153.6</v>
      </c>
      <c r="Z83">
        <v>183.4</v>
      </c>
      <c r="AA83">
        <v>147.5</v>
      </c>
      <c r="AB83">
        <v>161.6</v>
      </c>
      <c r="AC83">
        <v>154.5</v>
      </c>
      <c r="AD83">
        <v>159.80000000000001</v>
      </c>
      <c r="AE83">
        <f>SUM(Table1_1[[#This Row],[Cereals and products]:[Food and beverages]])</f>
        <v>2082.4</v>
      </c>
      <c r="AF83">
        <f>SUM(Table1_1[[#This Row],[Clothing and footwear]:[Clothing]])</f>
        <v>462.8</v>
      </c>
      <c r="AG83">
        <f>SUM(Table1_1[[#This Row],[Clothing]:[Education]])</f>
        <v>1863.8999999999996</v>
      </c>
      <c r="AH83">
        <f>SUM(Table1_1[[#This Row],[Health]:[Personal care and effects]])</f>
        <v>316.60000000000002</v>
      </c>
      <c r="AI83">
        <f>SUM(Table1_1[[#This Row],[Recreation and amusement]:[Miscellaneous]])</f>
        <v>800.6</v>
      </c>
      <c r="AJ83">
        <f>SUM(Table1_1[[#This Row],[Fuel and light]])</f>
        <v>147.5</v>
      </c>
      <c r="AK83">
        <f>SUM(Table1_1[[#This Row],[Food]:[Luxury &amp;Other Thing]])</f>
        <v>5526.3000000000011</v>
      </c>
      <c r="AL83">
        <f>SUM(Table1_1[[#This Row],[Food]:[Luxury &amp;Other Thing]])</f>
        <v>5526.3000000000011</v>
      </c>
    </row>
    <row r="84" spans="1:38" x14ac:dyDescent="0.25">
      <c r="A84" t="s">
        <v>33</v>
      </c>
      <c r="B84" t="s">
        <v>45</v>
      </c>
      <c r="C84">
        <v>2020</v>
      </c>
      <c r="D84">
        <v>149.69999999999999</v>
      </c>
      <c r="E84">
        <v>195.5</v>
      </c>
      <c r="F84">
        <v>176.9</v>
      </c>
      <c r="G84">
        <v>153.9</v>
      </c>
      <c r="H84">
        <v>138</v>
      </c>
      <c r="I84">
        <v>150.5</v>
      </c>
      <c r="J84">
        <v>245.3</v>
      </c>
      <c r="K84">
        <v>158.69999999999999</v>
      </c>
      <c r="L84">
        <v>117.2</v>
      </c>
      <c r="M84">
        <v>161.4</v>
      </c>
      <c r="N84">
        <v>141.5</v>
      </c>
      <c r="O84">
        <v>165.1</v>
      </c>
      <c r="P84">
        <v>167</v>
      </c>
      <c r="Q84">
        <v>151.1</v>
      </c>
      <c r="R84">
        <v>136.4</v>
      </c>
      <c r="S84">
        <v>148.80000000000001</v>
      </c>
      <c r="T84">
        <v>158</v>
      </c>
      <c r="U84">
        <v>145.1</v>
      </c>
      <c r="V84">
        <v>152</v>
      </c>
      <c r="W84">
        <v>157.9</v>
      </c>
      <c r="X84">
        <v>135.19999999999999</v>
      </c>
      <c r="Y84">
        <v>144.4</v>
      </c>
      <c r="Z84">
        <v>188.8</v>
      </c>
      <c r="AA84">
        <v>137.30000000000001</v>
      </c>
      <c r="AB84">
        <v>156.4</v>
      </c>
      <c r="AC84">
        <v>146.6</v>
      </c>
      <c r="AD84">
        <v>156.69999999999999</v>
      </c>
      <c r="AE84">
        <f>SUM(Table1_1[[#This Row],[Cereals and products]:[Food and beverages]])</f>
        <v>2120.6999999999998</v>
      </c>
      <c r="AF84">
        <f>SUM(Table1_1[[#This Row],[Clothing and footwear]:[Clothing]])</f>
        <v>436.3</v>
      </c>
      <c r="AG84">
        <f>SUM(Table1_1[[#This Row],[Clothing]:[Education]])</f>
        <v>1811.4</v>
      </c>
      <c r="AH84">
        <f>SUM(Table1_1[[#This Row],[Health]:[Personal care and effects]])</f>
        <v>309.89999999999998</v>
      </c>
      <c r="AI84">
        <f>SUM(Table1_1[[#This Row],[Recreation and amusement]:[Miscellaneous]])</f>
        <v>773.50000000000011</v>
      </c>
      <c r="AJ84">
        <f>SUM(Table1_1[[#This Row],[Fuel and light]])</f>
        <v>137.30000000000001</v>
      </c>
      <c r="AK84">
        <f>SUM(Table1_1[[#This Row],[Food]:[Luxury &amp;Other Thing]])</f>
        <v>5451.7999999999993</v>
      </c>
      <c r="AL84">
        <f>SUM(Table1_1[[#This Row],[Food]:[Luxury &amp;Other Thing]])</f>
        <v>5451.7999999999993</v>
      </c>
    </row>
    <row r="85" spans="1:38" x14ac:dyDescent="0.25">
      <c r="A85" t="s">
        <v>34</v>
      </c>
      <c r="B85" t="s">
        <v>45</v>
      </c>
      <c r="C85">
        <v>2020</v>
      </c>
      <c r="D85">
        <v>146.80000000000001</v>
      </c>
      <c r="E85">
        <v>191</v>
      </c>
      <c r="F85">
        <v>173.6</v>
      </c>
      <c r="G85">
        <v>153.80000000000001</v>
      </c>
      <c r="H85">
        <v>142.69999999999999</v>
      </c>
      <c r="I85">
        <v>148.4</v>
      </c>
      <c r="J85">
        <v>230</v>
      </c>
      <c r="K85">
        <v>156.80000000000001</v>
      </c>
      <c r="L85">
        <v>115.7</v>
      </c>
      <c r="M85">
        <v>161.80000000000001</v>
      </c>
      <c r="N85">
        <v>146.5</v>
      </c>
      <c r="O85">
        <v>163.80000000000001</v>
      </c>
      <c r="P85">
        <v>164.7</v>
      </c>
      <c r="Q85">
        <v>154.30000000000001</v>
      </c>
      <c r="R85">
        <v>144.9</v>
      </c>
      <c r="S85">
        <v>152.80000000000001</v>
      </c>
      <c r="T85">
        <v>158</v>
      </c>
      <c r="U85">
        <v>149.19999999999999</v>
      </c>
      <c r="V85">
        <v>157.19999999999999</v>
      </c>
      <c r="W85">
        <v>156.9</v>
      </c>
      <c r="X85">
        <v>140.4</v>
      </c>
      <c r="Y85">
        <v>148.4</v>
      </c>
      <c r="Z85">
        <v>184.8</v>
      </c>
      <c r="AA85">
        <v>143.6</v>
      </c>
      <c r="AB85">
        <v>158.6</v>
      </c>
      <c r="AC85">
        <v>150.69999999999999</v>
      </c>
      <c r="AD85">
        <v>158.4</v>
      </c>
      <c r="AE85">
        <f>SUM(Table1_1[[#This Row],[Cereals and products]:[Food and beverages]])</f>
        <v>2095.6</v>
      </c>
      <c r="AF85">
        <f>SUM(Table1_1[[#This Row],[Clothing and footwear]:[Clothing]])</f>
        <v>452.00000000000006</v>
      </c>
      <c r="AG85">
        <f>SUM(Table1_1[[#This Row],[Clothing]:[Education]])</f>
        <v>1849.1000000000001</v>
      </c>
      <c r="AH85">
        <f>SUM(Table1_1[[#This Row],[Health]:[Personal care and effects]])</f>
        <v>314.10000000000002</v>
      </c>
      <c r="AI85">
        <f>SUM(Table1_1[[#This Row],[Recreation and amusement]:[Miscellaneous]])</f>
        <v>786.10000000000014</v>
      </c>
      <c r="AJ85">
        <f>SUM(Table1_1[[#This Row],[Fuel and light]])</f>
        <v>143.6</v>
      </c>
      <c r="AK85">
        <f>SUM(Table1_1[[#This Row],[Food]:[Luxury &amp;Other Thing]])</f>
        <v>5496.9000000000005</v>
      </c>
      <c r="AL85">
        <f>SUM(Table1_1[[#This Row],[Food]:[Luxury &amp;Other Thing]])</f>
        <v>5496.9000000000005</v>
      </c>
    </row>
    <row r="86" spans="1:38" x14ac:dyDescent="0.25">
      <c r="A86" t="s">
        <v>30</v>
      </c>
      <c r="B86" t="s">
        <v>45</v>
      </c>
      <c r="C86">
        <v>2021</v>
      </c>
      <c r="D86">
        <v>146.9</v>
      </c>
      <c r="E86">
        <v>199.8</v>
      </c>
      <c r="F86">
        <v>171.5</v>
      </c>
      <c r="G86">
        <v>159.1</v>
      </c>
      <c r="H86">
        <v>198.4</v>
      </c>
      <c r="I86">
        <v>153.19999999999999</v>
      </c>
      <c r="J86">
        <v>183.9</v>
      </c>
      <c r="K86">
        <v>165.4</v>
      </c>
      <c r="L86">
        <v>122.1</v>
      </c>
      <c r="M86">
        <v>170.8</v>
      </c>
      <c r="N86">
        <v>169.1</v>
      </c>
      <c r="O86">
        <v>174.3</v>
      </c>
      <c r="P86">
        <v>167.5</v>
      </c>
      <c r="Q86">
        <v>170.4</v>
      </c>
      <c r="R86">
        <v>166</v>
      </c>
      <c r="S86">
        <v>169.8</v>
      </c>
      <c r="T86">
        <v>139.5</v>
      </c>
      <c r="U86">
        <v>162.9</v>
      </c>
      <c r="V86">
        <v>173.4</v>
      </c>
      <c r="W86">
        <v>162.4</v>
      </c>
      <c r="X86">
        <v>158.9</v>
      </c>
      <c r="Y86">
        <v>163.80000000000001</v>
      </c>
      <c r="Z86">
        <v>191.4</v>
      </c>
      <c r="AA86">
        <v>165.3</v>
      </c>
      <c r="AB86">
        <v>169.3</v>
      </c>
      <c r="AC86">
        <v>165.2</v>
      </c>
      <c r="AD86">
        <v>167.6</v>
      </c>
      <c r="AE86">
        <f>SUM(Table1_1[[#This Row],[Cereals and products]:[Food and beverages]])</f>
        <v>2182</v>
      </c>
      <c r="AF86">
        <f>SUM(Table1_1[[#This Row],[Clothing and footwear]:[Clothing]])</f>
        <v>506.2</v>
      </c>
      <c r="AG86">
        <f>SUM(Table1_1[[#This Row],[Clothing]:[Education]])</f>
        <v>1993.1000000000001</v>
      </c>
      <c r="AH86">
        <f>SUM(Table1_1[[#This Row],[Health]:[Personal care and effects]])</f>
        <v>335.8</v>
      </c>
      <c r="AI86">
        <f>SUM(Table1_1[[#This Row],[Recreation and amusement]:[Miscellaneous]])</f>
        <v>855</v>
      </c>
      <c r="AJ86">
        <f>SUM(Table1_1[[#This Row],[Fuel and light]])</f>
        <v>165.3</v>
      </c>
      <c r="AK86">
        <f>SUM(Table1_1[[#This Row],[Food]:[Luxury &amp;Other Thing]])</f>
        <v>5872.1</v>
      </c>
      <c r="AL86">
        <f>SUM(Table1_1[[#This Row],[Food]:[Luxury &amp;Other Thing]])</f>
        <v>5872.1</v>
      </c>
    </row>
    <row r="87" spans="1:38" x14ac:dyDescent="0.25">
      <c r="A87" t="s">
        <v>33</v>
      </c>
      <c r="B87" t="s">
        <v>45</v>
      </c>
      <c r="C87">
        <v>2021</v>
      </c>
      <c r="D87">
        <v>151</v>
      </c>
      <c r="E87">
        <v>204.9</v>
      </c>
      <c r="F87">
        <v>175.4</v>
      </c>
      <c r="G87">
        <v>159.6</v>
      </c>
      <c r="H87">
        <v>175.8</v>
      </c>
      <c r="I87">
        <v>160.30000000000001</v>
      </c>
      <c r="J87">
        <v>229.1</v>
      </c>
      <c r="K87">
        <v>165.1</v>
      </c>
      <c r="L87">
        <v>123.1</v>
      </c>
      <c r="M87">
        <v>167.2</v>
      </c>
      <c r="N87">
        <v>156.1</v>
      </c>
      <c r="O87">
        <v>176.8</v>
      </c>
      <c r="P87">
        <v>173.5</v>
      </c>
      <c r="Q87">
        <v>162.30000000000001</v>
      </c>
      <c r="R87">
        <v>145.30000000000001</v>
      </c>
      <c r="S87">
        <v>159.69999999999999</v>
      </c>
      <c r="T87">
        <v>164.2</v>
      </c>
      <c r="U87">
        <v>155.19999999999999</v>
      </c>
      <c r="V87">
        <v>164.2</v>
      </c>
      <c r="W87">
        <v>161.80000000000001</v>
      </c>
      <c r="X87">
        <v>151.19999999999999</v>
      </c>
      <c r="Y87">
        <v>156.69999999999999</v>
      </c>
      <c r="Z87">
        <v>197</v>
      </c>
      <c r="AA87">
        <v>161.6</v>
      </c>
      <c r="AB87">
        <v>160.80000000000001</v>
      </c>
      <c r="AC87">
        <v>157.30000000000001</v>
      </c>
      <c r="AD87">
        <v>165.6</v>
      </c>
      <c r="AE87">
        <f>SUM(Table1_1[[#This Row],[Cereals and products]:[Food and beverages]])</f>
        <v>2217.8999999999996</v>
      </c>
      <c r="AF87">
        <f>SUM(Table1_1[[#This Row],[Clothing and footwear]:[Clothing]])</f>
        <v>467.3</v>
      </c>
      <c r="AG87">
        <f>SUM(Table1_1[[#This Row],[Clothing]:[Education]])</f>
        <v>1940</v>
      </c>
      <c r="AH87">
        <f>SUM(Table1_1[[#This Row],[Health]:[Personal care and effects]])</f>
        <v>326</v>
      </c>
      <c r="AI87">
        <f>SUM(Table1_1[[#This Row],[Recreation and amusement]:[Miscellaneous]])</f>
        <v>833.39999999999986</v>
      </c>
      <c r="AJ87">
        <f>SUM(Table1_1[[#This Row],[Fuel and light]])</f>
        <v>161.6</v>
      </c>
      <c r="AK87">
        <f>SUM(Table1_1[[#This Row],[Food]:[Luxury &amp;Other Thing]])</f>
        <v>5784.5999999999995</v>
      </c>
      <c r="AL87">
        <f>SUM(Table1_1[[#This Row],[Food]:[Luxury &amp;Other Thing]])</f>
        <v>5784.5999999999995</v>
      </c>
    </row>
    <row r="88" spans="1:38" x14ac:dyDescent="0.25">
      <c r="A88" t="s">
        <v>34</v>
      </c>
      <c r="B88" t="s">
        <v>45</v>
      </c>
      <c r="C88">
        <v>2021</v>
      </c>
      <c r="D88">
        <v>148.19999999999999</v>
      </c>
      <c r="E88">
        <v>201.6</v>
      </c>
      <c r="F88">
        <v>173</v>
      </c>
      <c r="G88">
        <v>159.30000000000001</v>
      </c>
      <c r="H88">
        <v>190.1</v>
      </c>
      <c r="I88">
        <v>156.5</v>
      </c>
      <c r="J88">
        <v>199.2</v>
      </c>
      <c r="K88">
        <v>165.3</v>
      </c>
      <c r="L88">
        <v>122.4</v>
      </c>
      <c r="M88">
        <v>169.6</v>
      </c>
      <c r="N88">
        <v>163.69999999999999</v>
      </c>
      <c r="O88">
        <v>175.5</v>
      </c>
      <c r="P88">
        <v>169.7</v>
      </c>
      <c r="Q88">
        <v>167.2</v>
      </c>
      <c r="R88">
        <v>157.4</v>
      </c>
      <c r="S88">
        <v>165.8</v>
      </c>
      <c r="T88">
        <v>164.2</v>
      </c>
      <c r="U88">
        <v>159.30000000000001</v>
      </c>
      <c r="V88">
        <v>169.9</v>
      </c>
      <c r="W88">
        <v>162.19999999999999</v>
      </c>
      <c r="X88">
        <v>154.80000000000001</v>
      </c>
      <c r="Y88">
        <v>159.80000000000001</v>
      </c>
      <c r="Z88">
        <v>192.9</v>
      </c>
      <c r="AA88">
        <v>163.9</v>
      </c>
      <c r="AB88">
        <v>164.3</v>
      </c>
      <c r="AC88">
        <v>161.4</v>
      </c>
      <c r="AD88">
        <v>166.7</v>
      </c>
      <c r="AE88">
        <f>SUM(Table1_1[[#This Row],[Cereals and products]:[Food and beverages]])</f>
        <v>2194.1</v>
      </c>
      <c r="AF88">
        <f>SUM(Table1_1[[#This Row],[Clothing and footwear]:[Clothing]])</f>
        <v>490.40000000000003</v>
      </c>
      <c r="AG88">
        <f>SUM(Table1_1[[#This Row],[Clothing]:[Education]])</f>
        <v>1981.7</v>
      </c>
      <c r="AH88">
        <f>SUM(Table1_1[[#This Row],[Health]:[Personal care and effects]])</f>
        <v>332.1</v>
      </c>
      <c r="AI88">
        <f>SUM(Table1_1[[#This Row],[Recreation and amusement]:[Miscellaneous]])</f>
        <v>842.30000000000007</v>
      </c>
      <c r="AJ88">
        <f>SUM(Table1_1[[#This Row],[Fuel and light]])</f>
        <v>163.9</v>
      </c>
      <c r="AK88">
        <f>SUM(Table1_1[[#This Row],[Food]:[Luxury &amp;Other Thing]])</f>
        <v>5840.6</v>
      </c>
      <c r="AL88">
        <f>SUM(Table1_1[[#This Row],[Food]:[Luxury &amp;Other Thing]])</f>
        <v>5840.6</v>
      </c>
    </row>
    <row r="89" spans="1:38" x14ac:dyDescent="0.25">
      <c r="A89" t="s">
        <v>30</v>
      </c>
      <c r="B89" t="s">
        <v>45</v>
      </c>
      <c r="C89">
        <v>2022</v>
      </c>
      <c r="D89">
        <v>166.9</v>
      </c>
      <c r="E89">
        <v>207.2</v>
      </c>
      <c r="F89">
        <v>180.2</v>
      </c>
      <c r="G89">
        <v>172.3</v>
      </c>
      <c r="H89">
        <v>194</v>
      </c>
      <c r="I89">
        <v>159.1</v>
      </c>
      <c r="J89">
        <v>171.6</v>
      </c>
      <c r="K89">
        <v>170.2</v>
      </c>
      <c r="L89">
        <v>121.5</v>
      </c>
      <c r="M89">
        <v>204.8</v>
      </c>
      <c r="N89">
        <v>176.4</v>
      </c>
      <c r="O89">
        <v>186.9</v>
      </c>
      <c r="P89">
        <v>176.6</v>
      </c>
      <c r="Q89">
        <v>187.2</v>
      </c>
      <c r="R89">
        <v>185.2</v>
      </c>
      <c r="S89">
        <v>186.9</v>
      </c>
      <c r="T89">
        <v>139.5</v>
      </c>
      <c r="U89">
        <v>175.5</v>
      </c>
      <c r="V89">
        <v>182.3</v>
      </c>
      <c r="W89">
        <v>173.4</v>
      </c>
      <c r="X89">
        <v>167.5</v>
      </c>
      <c r="Y89">
        <v>170.8</v>
      </c>
      <c r="Z89">
        <v>195.5</v>
      </c>
      <c r="AA89">
        <v>181.9</v>
      </c>
      <c r="AB89">
        <v>176.9</v>
      </c>
      <c r="AC89">
        <v>174.6</v>
      </c>
      <c r="AD89">
        <v>177.8</v>
      </c>
      <c r="AE89">
        <f>SUM(Table1_1[[#This Row],[Cereals and products]:[Food and beverages]])</f>
        <v>2287.6999999999998</v>
      </c>
      <c r="AF89">
        <f>SUM(Table1_1[[#This Row],[Clothing and footwear]:[Clothing]])</f>
        <v>559.29999999999995</v>
      </c>
      <c r="AG89">
        <f>SUM(Table1_1[[#This Row],[Clothing]:[Education]])</f>
        <v>2122.6</v>
      </c>
      <c r="AH89">
        <f>SUM(Table1_1[[#This Row],[Health]:[Personal care and effects]])</f>
        <v>355.70000000000005</v>
      </c>
      <c r="AI89">
        <f>SUM(Table1_1[[#This Row],[Recreation and amusement]:[Miscellaneous]])</f>
        <v>899.7</v>
      </c>
      <c r="AJ89">
        <f>SUM(Table1_1[[#This Row],[Fuel and light]])</f>
        <v>181.9</v>
      </c>
      <c r="AK89">
        <f>SUM(Table1_1[[#This Row],[Food]:[Luxury &amp;Other Thing]])</f>
        <v>6225</v>
      </c>
      <c r="AL89">
        <f>SUM(Table1_1[[#This Row],[Food]:[Luxury &amp;Other Thing]])</f>
        <v>6225</v>
      </c>
    </row>
    <row r="90" spans="1:38" x14ac:dyDescent="0.25">
      <c r="A90" t="s">
        <v>33</v>
      </c>
      <c r="B90" t="s">
        <v>45</v>
      </c>
      <c r="C90">
        <v>2022</v>
      </c>
      <c r="D90">
        <v>168.4</v>
      </c>
      <c r="E90">
        <v>213.4</v>
      </c>
      <c r="F90">
        <v>183.2</v>
      </c>
      <c r="G90">
        <v>172.3</v>
      </c>
      <c r="H90">
        <v>180</v>
      </c>
      <c r="I90">
        <v>162.6</v>
      </c>
      <c r="J90">
        <v>205.5</v>
      </c>
      <c r="K90">
        <v>171</v>
      </c>
      <c r="L90">
        <v>123.4</v>
      </c>
      <c r="M90">
        <v>198.8</v>
      </c>
      <c r="N90">
        <v>162.1</v>
      </c>
      <c r="O90">
        <v>192.4</v>
      </c>
      <c r="P90">
        <v>181.3</v>
      </c>
      <c r="Q90">
        <v>176.7</v>
      </c>
      <c r="R90">
        <v>163.5</v>
      </c>
      <c r="S90">
        <v>174.7</v>
      </c>
      <c r="T90">
        <v>171.8</v>
      </c>
      <c r="U90">
        <v>166.9</v>
      </c>
      <c r="V90">
        <v>175.8</v>
      </c>
      <c r="W90">
        <v>173.8</v>
      </c>
      <c r="X90">
        <v>158.9</v>
      </c>
      <c r="Y90">
        <v>166.7</v>
      </c>
      <c r="Z90">
        <v>200.6</v>
      </c>
      <c r="AA90">
        <v>180.3</v>
      </c>
      <c r="AB90">
        <v>171.5</v>
      </c>
      <c r="AC90">
        <v>167.4</v>
      </c>
      <c r="AD90">
        <v>174.1</v>
      </c>
      <c r="AE90">
        <f>SUM(Table1_1[[#This Row],[Cereals and products]:[Food and beverages]])</f>
        <v>2314.4</v>
      </c>
      <c r="AF90">
        <f>SUM(Table1_1[[#This Row],[Clothing and footwear]:[Clothing]])</f>
        <v>514.9</v>
      </c>
      <c r="AG90">
        <f>SUM(Table1_1[[#This Row],[Clothing]:[Education]])</f>
        <v>2081.1999999999998</v>
      </c>
      <c r="AH90">
        <f>SUM(Table1_1[[#This Row],[Health]:[Personal care and effects]])</f>
        <v>349.6</v>
      </c>
      <c r="AI90">
        <f>SUM(Table1_1[[#This Row],[Recreation and amusement]:[Miscellaneous]])</f>
        <v>886.49999999999989</v>
      </c>
      <c r="AJ90">
        <f>SUM(Table1_1[[#This Row],[Fuel and light]])</f>
        <v>180.3</v>
      </c>
      <c r="AK90">
        <f>SUM(Table1_1[[#This Row],[Food]:[Luxury &amp;Other Thing]])</f>
        <v>6146.6</v>
      </c>
      <c r="AL90">
        <f>SUM(Table1_1[[#This Row],[Food]:[Luxury &amp;Other Thing]])</f>
        <v>6146.6</v>
      </c>
    </row>
    <row r="91" spans="1:38" x14ac:dyDescent="0.25">
      <c r="A91" t="s">
        <v>34</v>
      </c>
      <c r="B91" t="s">
        <v>45</v>
      </c>
      <c r="C91">
        <v>2022</v>
      </c>
      <c r="D91">
        <v>167.4</v>
      </c>
      <c r="E91">
        <v>209.4</v>
      </c>
      <c r="F91">
        <v>181.4</v>
      </c>
      <c r="G91">
        <v>172.3</v>
      </c>
      <c r="H91">
        <v>188.9</v>
      </c>
      <c r="I91">
        <v>160.69999999999999</v>
      </c>
      <c r="J91">
        <v>183.1</v>
      </c>
      <c r="K91">
        <v>170.5</v>
      </c>
      <c r="L91">
        <v>122.1</v>
      </c>
      <c r="M91">
        <v>202.8</v>
      </c>
      <c r="N91">
        <v>170.4</v>
      </c>
      <c r="O91">
        <v>189.5</v>
      </c>
      <c r="P91">
        <v>178.3</v>
      </c>
      <c r="Q91">
        <v>183.1</v>
      </c>
      <c r="R91">
        <v>176.2</v>
      </c>
      <c r="S91">
        <v>182.1</v>
      </c>
      <c r="T91">
        <v>171.8</v>
      </c>
      <c r="U91">
        <v>171.4</v>
      </c>
      <c r="V91">
        <v>179.8</v>
      </c>
      <c r="W91">
        <v>173.6</v>
      </c>
      <c r="X91">
        <v>163</v>
      </c>
      <c r="Y91">
        <v>168.5</v>
      </c>
      <c r="Z91">
        <v>196.9</v>
      </c>
      <c r="AA91">
        <v>181.3</v>
      </c>
      <c r="AB91">
        <v>173.7</v>
      </c>
      <c r="AC91">
        <v>171.1</v>
      </c>
      <c r="AD91">
        <v>176.5</v>
      </c>
      <c r="AE91">
        <f>SUM(Table1_1[[#This Row],[Cereals and products]:[Food and beverages]])</f>
        <v>2296.8000000000002</v>
      </c>
      <c r="AF91">
        <f>SUM(Table1_1[[#This Row],[Clothing and footwear]:[Clothing]])</f>
        <v>541.4</v>
      </c>
      <c r="AG91">
        <f>SUM(Table1_1[[#This Row],[Clothing]:[Education]])</f>
        <v>2121.4</v>
      </c>
      <c r="AH91">
        <f>SUM(Table1_1[[#This Row],[Health]:[Personal care and effects]])</f>
        <v>353.4</v>
      </c>
      <c r="AI91">
        <f>SUM(Table1_1[[#This Row],[Recreation and amusement]:[Miscellaneous]])</f>
        <v>891.50000000000011</v>
      </c>
      <c r="AJ91">
        <f>SUM(Table1_1[[#This Row],[Fuel and light]])</f>
        <v>181.3</v>
      </c>
      <c r="AK91">
        <f>SUM(Table1_1[[#This Row],[Food]:[Luxury &amp;Other Thing]])</f>
        <v>6204.5</v>
      </c>
      <c r="AL91">
        <f>SUM(Table1_1[[#This Row],[Food]:[Luxury &amp;Other Thing]])</f>
        <v>6204.5</v>
      </c>
    </row>
    <row r="92" spans="1:38" x14ac:dyDescent="0.25">
      <c r="A92" t="s">
        <v>30</v>
      </c>
      <c r="B92" t="s">
        <v>38</v>
      </c>
      <c r="C92">
        <v>2013</v>
      </c>
      <c r="D92">
        <v>110.9</v>
      </c>
      <c r="E92">
        <v>109.8</v>
      </c>
      <c r="F92">
        <v>105.9</v>
      </c>
      <c r="G92">
        <v>107.5</v>
      </c>
      <c r="H92">
        <v>105.3</v>
      </c>
      <c r="I92">
        <v>108.1</v>
      </c>
      <c r="J92">
        <v>107.3</v>
      </c>
      <c r="K92">
        <v>106.1</v>
      </c>
      <c r="L92">
        <v>103.7</v>
      </c>
      <c r="M92">
        <v>104</v>
      </c>
      <c r="N92">
        <v>107.4</v>
      </c>
      <c r="O92">
        <v>109.9</v>
      </c>
      <c r="P92">
        <v>108.1</v>
      </c>
      <c r="Q92">
        <v>108.8</v>
      </c>
      <c r="R92">
        <v>107.9</v>
      </c>
      <c r="S92">
        <v>108.6</v>
      </c>
      <c r="T92">
        <v>139.5</v>
      </c>
      <c r="U92">
        <v>106.8</v>
      </c>
      <c r="V92">
        <v>105.7</v>
      </c>
      <c r="W92">
        <v>102.1</v>
      </c>
      <c r="X92">
        <v>104.1</v>
      </c>
      <c r="Y92">
        <v>105</v>
      </c>
      <c r="Z92">
        <v>108.1</v>
      </c>
      <c r="AA92">
        <v>107.5</v>
      </c>
      <c r="AB92">
        <v>105.5</v>
      </c>
      <c r="AC92">
        <v>104.8</v>
      </c>
      <c r="AD92">
        <v>107.2</v>
      </c>
      <c r="AE92">
        <f>SUM(Table1_1[[#This Row],[Cereals and products]:[Food and beverages]])</f>
        <v>1394</v>
      </c>
      <c r="AF92">
        <f>SUM(Table1_1[[#This Row],[Clothing and footwear]:[Clothing]])</f>
        <v>325.29999999999995</v>
      </c>
      <c r="AG92">
        <f>SUM(Table1_1[[#This Row],[Clothing]:[Education]])</f>
        <v>1309.5999999999999</v>
      </c>
      <c r="AH92">
        <f>SUM(Table1_1[[#This Row],[Health]:[Personal care and effects]])</f>
        <v>207.8</v>
      </c>
      <c r="AI92">
        <f>SUM(Table1_1[[#This Row],[Recreation and amusement]:[Miscellaneous]])</f>
        <v>530.9</v>
      </c>
      <c r="AJ92">
        <f>SUM(Table1_1[[#This Row],[Fuel and light]])</f>
        <v>107.5</v>
      </c>
      <c r="AK92">
        <f>SUM(Table1_1[[#This Row],[Food]:[Luxury &amp;Other Thing]])</f>
        <v>3767.6</v>
      </c>
      <c r="AL92">
        <f>SUM(Table1_1[[#This Row],[Food]:[Luxury &amp;Other Thing]])</f>
        <v>3767.6</v>
      </c>
    </row>
    <row r="93" spans="1:38" x14ac:dyDescent="0.25">
      <c r="A93" t="s">
        <v>33</v>
      </c>
      <c r="B93" t="s">
        <v>38</v>
      </c>
      <c r="C93">
        <v>2013</v>
      </c>
      <c r="D93">
        <v>115.4</v>
      </c>
      <c r="E93">
        <v>114.2</v>
      </c>
      <c r="F93">
        <v>102.7</v>
      </c>
      <c r="G93">
        <v>105.5</v>
      </c>
      <c r="H93">
        <v>101.5</v>
      </c>
      <c r="I93">
        <v>110.6</v>
      </c>
      <c r="J93">
        <v>123.7</v>
      </c>
      <c r="K93">
        <v>105.2</v>
      </c>
      <c r="L93">
        <v>101.9</v>
      </c>
      <c r="M93">
        <v>105</v>
      </c>
      <c r="N93">
        <v>109.1</v>
      </c>
      <c r="O93">
        <v>111.3</v>
      </c>
      <c r="P93">
        <v>111.1</v>
      </c>
      <c r="Q93">
        <v>108.5</v>
      </c>
      <c r="R93">
        <v>106.7</v>
      </c>
      <c r="S93">
        <v>108.3</v>
      </c>
      <c r="T93">
        <v>100.5</v>
      </c>
      <c r="U93">
        <v>107.1</v>
      </c>
      <c r="V93">
        <v>106.2</v>
      </c>
      <c r="W93">
        <v>102.6</v>
      </c>
      <c r="X93">
        <v>103.9</v>
      </c>
      <c r="Y93">
        <v>104.6</v>
      </c>
      <c r="Z93">
        <v>109.8</v>
      </c>
      <c r="AA93">
        <v>107.2</v>
      </c>
      <c r="AB93">
        <v>105.7</v>
      </c>
      <c r="AC93">
        <v>104.9</v>
      </c>
      <c r="AD93">
        <v>106.6</v>
      </c>
      <c r="AE93">
        <f>SUM(Table1_1[[#This Row],[Cereals and products]:[Food and beverages]])</f>
        <v>1417.1999999999998</v>
      </c>
      <c r="AF93">
        <f>SUM(Table1_1[[#This Row],[Clothing and footwear]:[Clothing]])</f>
        <v>323.5</v>
      </c>
      <c r="AG93">
        <f>SUM(Table1_1[[#This Row],[Clothing]:[Education]])</f>
        <v>1271.1000000000001</v>
      </c>
      <c r="AH93">
        <f>SUM(Table1_1[[#This Row],[Health]:[Personal care and effects]])</f>
        <v>208.8</v>
      </c>
      <c r="AI93">
        <f>SUM(Table1_1[[#This Row],[Recreation and amusement]:[Miscellaneous]])</f>
        <v>532.19999999999993</v>
      </c>
      <c r="AJ93">
        <f>SUM(Table1_1[[#This Row],[Fuel and light]])</f>
        <v>107.2</v>
      </c>
      <c r="AK93">
        <f>SUM(Table1_1[[#This Row],[Food]:[Luxury &amp;Other Thing]])</f>
        <v>3752.8</v>
      </c>
      <c r="AL93">
        <f>SUM(Table1_1[[#This Row],[Food]:[Luxury &amp;Other Thing]])</f>
        <v>3752.8</v>
      </c>
    </row>
    <row r="94" spans="1:38" x14ac:dyDescent="0.25">
      <c r="A94" t="s">
        <v>34</v>
      </c>
      <c r="B94" t="s">
        <v>38</v>
      </c>
      <c r="C94">
        <v>2013</v>
      </c>
      <c r="D94">
        <v>112.3</v>
      </c>
      <c r="E94">
        <v>111.3</v>
      </c>
      <c r="F94">
        <v>104.7</v>
      </c>
      <c r="G94">
        <v>106.8</v>
      </c>
      <c r="H94">
        <v>103.9</v>
      </c>
      <c r="I94">
        <v>109.3</v>
      </c>
      <c r="J94">
        <v>112.9</v>
      </c>
      <c r="K94">
        <v>105.8</v>
      </c>
      <c r="L94">
        <v>103.1</v>
      </c>
      <c r="M94">
        <v>104.3</v>
      </c>
      <c r="N94">
        <v>108.1</v>
      </c>
      <c r="O94">
        <v>110.5</v>
      </c>
      <c r="P94">
        <v>109.2</v>
      </c>
      <c r="Q94">
        <v>108.7</v>
      </c>
      <c r="R94">
        <v>107.4</v>
      </c>
      <c r="S94">
        <v>108.5</v>
      </c>
      <c r="T94">
        <v>100.5</v>
      </c>
      <c r="U94">
        <v>106.9</v>
      </c>
      <c r="V94">
        <v>105.9</v>
      </c>
      <c r="W94">
        <v>102.3</v>
      </c>
      <c r="X94">
        <v>104</v>
      </c>
      <c r="Y94">
        <v>104.8</v>
      </c>
      <c r="Z94">
        <v>108.6</v>
      </c>
      <c r="AA94">
        <v>107.4</v>
      </c>
      <c r="AB94">
        <v>105.6</v>
      </c>
      <c r="AC94">
        <v>104.8</v>
      </c>
      <c r="AD94">
        <v>106.9</v>
      </c>
      <c r="AE94">
        <f>SUM(Table1_1[[#This Row],[Cereals and products]:[Food and beverages]])</f>
        <v>1402.1999999999998</v>
      </c>
      <c r="AF94">
        <f>SUM(Table1_1[[#This Row],[Clothing and footwear]:[Clothing]])</f>
        <v>324.60000000000002</v>
      </c>
      <c r="AG94">
        <f>SUM(Table1_1[[#This Row],[Clothing]:[Education]])</f>
        <v>1270.5999999999999</v>
      </c>
      <c r="AH94">
        <f>SUM(Table1_1[[#This Row],[Health]:[Personal care and effects]])</f>
        <v>208.2</v>
      </c>
      <c r="AI94">
        <f>SUM(Table1_1[[#This Row],[Recreation and amusement]:[Miscellaneous]])</f>
        <v>531.19999999999993</v>
      </c>
      <c r="AJ94">
        <f>SUM(Table1_1[[#This Row],[Fuel and light]])</f>
        <v>107.4</v>
      </c>
      <c r="AK94">
        <f>SUM(Table1_1[[#This Row],[Food]:[Luxury &amp;Other Thing]])</f>
        <v>3736.7999999999993</v>
      </c>
      <c r="AL94">
        <f>SUM(Table1_1[[#This Row],[Food]:[Luxury &amp;Other Thing]])</f>
        <v>3736.7999999999993</v>
      </c>
    </row>
    <row r="95" spans="1:38" x14ac:dyDescent="0.25">
      <c r="A95" t="s">
        <v>30</v>
      </c>
      <c r="B95" t="s">
        <v>38</v>
      </c>
      <c r="C95">
        <v>2014</v>
      </c>
      <c r="D95">
        <v>120.3</v>
      </c>
      <c r="E95">
        <v>120.2</v>
      </c>
      <c r="F95">
        <v>116.9</v>
      </c>
      <c r="G95">
        <v>118</v>
      </c>
      <c r="H95">
        <v>110.1</v>
      </c>
      <c r="I95">
        <v>126.3</v>
      </c>
      <c r="J95">
        <v>123.9</v>
      </c>
      <c r="K95">
        <v>111.5</v>
      </c>
      <c r="L95">
        <v>103.5</v>
      </c>
      <c r="M95">
        <v>111.6</v>
      </c>
      <c r="N95">
        <v>114.2</v>
      </c>
      <c r="O95">
        <v>119.2</v>
      </c>
      <c r="P95">
        <v>118.2</v>
      </c>
      <c r="Q95">
        <v>118.7</v>
      </c>
      <c r="R95">
        <v>116.8</v>
      </c>
      <c r="S95">
        <v>118.5</v>
      </c>
      <c r="T95">
        <v>139.5</v>
      </c>
      <c r="U95">
        <v>114.1</v>
      </c>
      <c r="V95">
        <v>112.1</v>
      </c>
      <c r="W95">
        <v>108.9</v>
      </c>
      <c r="X95">
        <v>111.4</v>
      </c>
      <c r="Y95">
        <v>110.9</v>
      </c>
      <c r="Z95">
        <v>116.3</v>
      </c>
      <c r="AA95">
        <v>113.4</v>
      </c>
      <c r="AB95">
        <v>113.1</v>
      </c>
      <c r="AC95">
        <v>111.8</v>
      </c>
      <c r="AD95">
        <v>116</v>
      </c>
      <c r="AE95">
        <f>SUM(Table1_1[[#This Row],[Cereals and products]:[Food and beverages]])</f>
        <v>1513.8999999999999</v>
      </c>
      <c r="AF95">
        <f>SUM(Table1_1[[#This Row],[Clothing and footwear]:[Clothing]])</f>
        <v>354</v>
      </c>
      <c r="AG95">
        <f>SUM(Table1_1[[#This Row],[Clothing]:[Education]])</f>
        <v>1393.7</v>
      </c>
      <c r="AH95">
        <f>SUM(Table1_1[[#This Row],[Health]:[Personal care and effects]])</f>
        <v>221</v>
      </c>
      <c r="AI95">
        <f>SUM(Table1_1[[#This Row],[Recreation and amusement]:[Miscellaneous]])</f>
        <v>565.5</v>
      </c>
      <c r="AJ95">
        <f>SUM(Table1_1[[#This Row],[Fuel and light]])</f>
        <v>113.4</v>
      </c>
      <c r="AK95">
        <f>SUM(Table1_1[[#This Row],[Food]:[Luxury &amp;Other Thing]])</f>
        <v>4048.1</v>
      </c>
      <c r="AL95">
        <f>SUM(Table1_1[[#This Row],[Food]:[Luxury &amp;Other Thing]])</f>
        <v>4048.1</v>
      </c>
    </row>
    <row r="96" spans="1:38" x14ac:dyDescent="0.25">
      <c r="A96" t="s">
        <v>33</v>
      </c>
      <c r="B96" t="s">
        <v>38</v>
      </c>
      <c r="C96">
        <v>2014</v>
      </c>
      <c r="D96">
        <v>122.7</v>
      </c>
      <c r="E96">
        <v>124.1</v>
      </c>
      <c r="F96">
        <v>114.2</v>
      </c>
      <c r="G96">
        <v>119.1</v>
      </c>
      <c r="H96">
        <v>103.5</v>
      </c>
      <c r="I96">
        <v>129.19999999999999</v>
      </c>
      <c r="J96">
        <v>127</v>
      </c>
      <c r="K96">
        <v>112.6</v>
      </c>
      <c r="L96">
        <v>101.3</v>
      </c>
      <c r="M96">
        <v>117</v>
      </c>
      <c r="N96">
        <v>112.9</v>
      </c>
      <c r="O96">
        <v>121.7</v>
      </c>
      <c r="P96">
        <v>120</v>
      </c>
      <c r="Q96">
        <v>116.8</v>
      </c>
      <c r="R96">
        <v>112.9</v>
      </c>
      <c r="S96">
        <v>116.2</v>
      </c>
      <c r="T96">
        <v>114.3</v>
      </c>
      <c r="U96">
        <v>114.1</v>
      </c>
      <c r="V96">
        <v>111.2</v>
      </c>
      <c r="W96">
        <v>109.3</v>
      </c>
      <c r="X96">
        <v>111.3</v>
      </c>
      <c r="Y96">
        <v>111.5</v>
      </c>
      <c r="Z96">
        <v>118.3</v>
      </c>
      <c r="AA96">
        <v>111.1</v>
      </c>
      <c r="AB96">
        <v>112.9</v>
      </c>
      <c r="AC96">
        <v>111.7</v>
      </c>
      <c r="AD96">
        <v>115.6</v>
      </c>
      <c r="AE96">
        <f>SUM(Table1_1[[#This Row],[Cereals and products]:[Food and beverages]])</f>
        <v>1525.3000000000002</v>
      </c>
      <c r="AF96">
        <f>SUM(Table1_1[[#This Row],[Clothing and footwear]:[Clothing]])</f>
        <v>345.9</v>
      </c>
      <c r="AG96">
        <f>SUM(Table1_1[[#This Row],[Clothing]:[Education]])</f>
        <v>1359.8999999999999</v>
      </c>
      <c r="AH96">
        <f>SUM(Table1_1[[#This Row],[Health]:[Personal care and effects]])</f>
        <v>220.5</v>
      </c>
      <c r="AI96">
        <f>SUM(Table1_1[[#This Row],[Recreation and amusement]:[Miscellaneous]])</f>
        <v>565.5</v>
      </c>
      <c r="AJ96">
        <f>SUM(Table1_1[[#This Row],[Fuel and light]])</f>
        <v>111.1</v>
      </c>
      <c r="AK96">
        <f>SUM(Table1_1[[#This Row],[Food]:[Luxury &amp;Other Thing]])</f>
        <v>4017.1000000000004</v>
      </c>
      <c r="AL96">
        <f>SUM(Table1_1[[#This Row],[Food]:[Luxury &amp;Other Thing]])</f>
        <v>4017.1000000000004</v>
      </c>
    </row>
    <row r="97" spans="1:38" x14ac:dyDescent="0.25">
      <c r="A97" t="s">
        <v>34</v>
      </c>
      <c r="B97" t="s">
        <v>38</v>
      </c>
      <c r="C97">
        <v>2014</v>
      </c>
      <c r="D97">
        <v>121.1</v>
      </c>
      <c r="E97">
        <v>121.6</v>
      </c>
      <c r="F97">
        <v>115.9</v>
      </c>
      <c r="G97">
        <v>118.4</v>
      </c>
      <c r="H97">
        <v>107.7</v>
      </c>
      <c r="I97">
        <v>127.7</v>
      </c>
      <c r="J97">
        <v>125</v>
      </c>
      <c r="K97">
        <v>111.9</v>
      </c>
      <c r="L97">
        <v>102.8</v>
      </c>
      <c r="M97">
        <v>113.4</v>
      </c>
      <c r="N97">
        <v>113.7</v>
      </c>
      <c r="O97">
        <v>120.4</v>
      </c>
      <c r="P97">
        <v>118.9</v>
      </c>
      <c r="Q97">
        <v>118</v>
      </c>
      <c r="R97">
        <v>115.2</v>
      </c>
      <c r="S97">
        <v>117.6</v>
      </c>
      <c r="T97">
        <v>114.3</v>
      </c>
      <c r="U97">
        <v>114.1</v>
      </c>
      <c r="V97">
        <v>111.8</v>
      </c>
      <c r="W97">
        <v>109.1</v>
      </c>
      <c r="X97">
        <v>111.3</v>
      </c>
      <c r="Y97">
        <v>111.2</v>
      </c>
      <c r="Z97">
        <v>116.8</v>
      </c>
      <c r="AA97">
        <v>112.5</v>
      </c>
      <c r="AB97">
        <v>113</v>
      </c>
      <c r="AC97">
        <v>111.8</v>
      </c>
      <c r="AD97">
        <v>115.8</v>
      </c>
      <c r="AE97">
        <f>SUM(Table1_1[[#This Row],[Cereals and products]:[Food and beverages]])</f>
        <v>1518.5000000000005</v>
      </c>
      <c r="AF97">
        <f>SUM(Table1_1[[#This Row],[Clothing and footwear]:[Clothing]])</f>
        <v>350.79999999999995</v>
      </c>
      <c r="AG97">
        <f>SUM(Table1_1[[#This Row],[Clothing]:[Education]])</f>
        <v>1364.8999999999999</v>
      </c>
      <c r="AH97">
        <f>SUM(Table1_1[[#This Row],[Health]:[Personal care and effects]])</f>
        <v>220.89999999999998</v>
      </c>
      <c r="AI97">
        <f>SUM(Table1_1[[#This Row],[Recreation and amusement]:[Miscellaneous]])</f>
        <v>565.29999999999995</v>
      </c>
      <c r="AJ97">
        <f>SUM(Table1_1[[#This Row],[Fuel and light]])</f>
        <v>112.5</v>
      </c>
      <c r="AK97">
        <f>SUM(Table1_1[[#This Row],[Food]:[Luxury &amp;Other Thing]])</f>
        <v>4020.4000000000005</v>
      </c>
      <c r="AL97">
        <f>SUM(Table1_1[[#This Row],[Food]:[Luxury &amp;Other Thing]])</f>
        <v>4020.4000000000005</v>
      </c>
    </row>
    <row r="98" spans="1:38" x14ac:dyDescent="0.25">
      <c r="A98" t="s">
        <v>30</v>
      </c>
      <c r="B98" t="s">
        <v>38</v>
      </c>
      <c r="C98">
        <v>2015</v>
      </c>
      <c r="D98">
        <v>123.5</v>
      </c>
      <c r="E98">
        <v>127.1</v>
      </c>
      <c r="F98">
        <v>117.3</v>
      </c>
      <c r="G98">
        <v>127.7</v>
      </c>
      <c r="H98">
        <v>112.5</v>
      </c>
      <c r="I98">
        <v>134.1</v>
      </c>
      <c r="J98">
        <v>128.5</v>
      </c>
      <c r="K98">
        <v>124.3</v>
      </c>
      <c r="L98">
        <v>97.6</v>
      </c>
      <c r="M98">
        <v>120.7</v>
      </c>
      <c r="N98">
        <v>120.2</v>
      </c>
      <c r="O98">
        <v>129.80000000000001</v>
      </c>
      <c r="P98">
        <v>124.4</v>
      </c>
      <c r="Q98">
        <v>127.3</v>
      </c>
      <c r="R98">
        <v>124.1</v>
      </c>
      <c r="S98">
        <v>126.8</v>
      </c>
      <c r="T98">
        <v>139.5</v>
      </c>
      <c r="U98">
        <v>121.5</v>
      </c>
      <c r="V98">
        <v>119.4</v>
      </c>
      <c r="W98">
        <v>112.3</v>
      </c>
      <c r="X98">
        <v>113.3</v>
      </c>
      <c r="Y98">
        <v>116.7</v>
      </c>
      <c r="Z98">
        <v>126.7</v>
      </c>
      <c r="AA98">
        <v>121.9</v>
      </c>
      <c r="AB98">
        <v>120.5</v>
      </c>
      <c r="AC98">
        <v>116.9</v>
      </c>
      <c r="AD98">
        <v>122.4</v>
      </c>
      <c r="AE98">
        <f>SUM(Table1_1[[#This Row],[Cereals and products]:[Food and beverages]])</f>
        <v>1587.7</v>
      </c>
      <c r="AF98">
        <f>SUM(Table1_1[[#This Row],[Clothing and footwear]:[Clothing]])</f>
        <v>378.2</v>
      </c>
      <c r="AG98">
        <f>SUM(Table1_1[[#This Row],[Clothing]:[Education]])</f>
        <v>1470</v>
      </c>
      <c r="AH98">
        <f>SUM(Table1_1[[#This Row],[Health]:[Personal care and effects]])</f>
        <v>231.7</v>
      </c>
      <c r="AI98">
        <f>SUM(Table1_1[[#This Row],[Recreation and amusement]:[Miscellaneous]])</f>
        <v>602.70000000000005</v>
      </c>
      <c r="AJ98">
        <f>SUM(Table1_1[[#This Row],[Fuel and light]])</f>
        <v>121.9</v>
      </c>
      <c r="AK98">
        <f>SUM(Table1_1[[#This Row],[Food]:[Luxury &amp;Other Thing]])</f>
        <v>4270.3</v>
      </c>
      <c r="AL98">
        <f>SUM(Table1_1[[#This Row],[Food]:[Luxury &amp;Other Thing]])</f>
        <v>4270.3</v>
      </c>
    </row>
    <row r="99" spans="1:38" x14ac:dyDescent="0.25">
      <c r="A99" t="s">
        <v>33</v>
      </c>
      <c r="B99" t="s">
        <v>38</v>
      </c>
      <c r="C99">
        <v>2015</v>
      </c>
      <c r="D99">
        <v>123.8</v>
      </c>
      <c r="E99">
        <v>129.69999999999999</v>
      </c>
      <c r="F99">
        <v>111.3</v>
      </c>
      <c r="G99">
        <v>126.6</v>
      </c>
      <c r="H99">
        <v>105.2</v>
      </c>
      <c r="I99">
        <v>130.80000000000001</v>
      </c>
      <c r="J99">
        <v>135.6</v>
      </c>
      <c r="K99">
        <v>142.6</v>
      </c>
      <c r="L99">
        <v>90.8</v>
      </c>
      <c r="M99">
        <v>128.80000000000001</v>
      </c>
      <c r="N99">
        <v>117.7</v>
      </c>
      <c r="O99">
        <v>129.9</v>
      </c>
      <c r="P99">
        <v>126.1</v>
      </c>
      <c r="Q99">
        <v>122.4</v>
      </c>
      <c r="R99">
        <v>117.4</v>
      </c>
      <c r="S99">
        <v>121.6</v>
      </c>
      <c r="T99">
        <v>119.6</v>
      </c>
      <c r="U99">
        <v>118.7</v>
      </c>
      <c r="V99">
        <v>114.9</v>
      </c>
      <c r="W99">
        <v>112.4</v>
      </c>
      <c r="X99">
        <v>110.8</v>
      </c>
      <c r="Y99">
        <v>116</v>
      </c>
      <c r="Z99">
        <v>131.30000000000001</v>
      </c>
      <c r="AA99">
        <v>114.9</v>
      </c>
      <c r="AB99">
        <v>122</v>
      </c>
      <c r="AC99">
        <v>115.2</v>
      </c>
      <c r="AD99">
        <v>120.7</v>
      </c>
      <c r="AE99">
        <f>SUM(Table1_1[[#This Row],[Cereals and products]:[Food and beverages]])</f>
        <v>1598.9</v>
      </c>
      <c r="AF99">
        <f>SUM(Table1_1[[#This Row],[Clothing and footwear]:[Clothing]])</f>
        <v>361.4</v>
      </c>
      <c r="AG99">
        <f>SUM(Table1_1[[#This Row],[Clothing]:[Education]])</f>
        <v>1422</v>
      </c>
      <c r="AH99">
        <f>SUM(Table1_1[[#This Row],[Health]:[Personal care and effects]])</f>
        <v>227.3</v>
      </c>
      <c r="AI99">
        <f>SUM(Table1_1[[#This Row],[Recreation and amusement]:[Miscellaneous]])</f>
        <v>599.40000000000009</v>
      </c>
      <c r="AJ99">
        <f>SUM(Table1_1[[#This Row],[Fuel and light]])</f>
        <v>114.9</v>
      </c>
      <c r="AK99">
        <f>SUM(Table1_1[[#This Row],[Food]:[Luxury &amp;Other Thing]])</f>
        <v>4209</v>
      </c>
      <c r="AL99">
        <f>SUM(Table1_1[[#This Row],[Food]:[Luxury &amp;Other Thing]])</f>
        <v>4209</v>
      </c>
    </row>
    <row r="100" spans="1:38" x14ac:dyDescent="0.25">
      <c r="A100" t="s">
        <v>34</v>
      </c>
      <c r="B100" t="s">
        <v>38</v>
      </c>
      <c r="C100">
        <v>2015</v>
      </c>
      <c r="D100">
        <v>123.6</v>
      </c>
      <c r="E100">
        <v>128</v>
      </c>
      <c r="F100">
        <v>115</v>
      </c>
      <c r="G100">
        <v>127.3</v>
      </c>
      <c r="H100">
        <v>109.8</v>
      </c>
      <c r="I100">
        <v>132.6</v>
      </c>
      <c r="J100">
        <v>130.9</v>
      </c>
      <c r="K100">
        <v>130.5</v>
      </c>
      <c r="L100">
        <v>95.3</v>
      </c>
      <c r="M100">
        <v>123.4</v>
      </c>
      <c r="N100">
        <v>119.2</v>
      </c>
      <c r="O100">
        <v>129.80000000000001</v>
      </c>
      <c r="P100">
        <v>125</v>
      </c>
      <c r="Q100">
        <v>125.4</v>
      </c>
      <c r="R100">
        <v>121.3</v>
      </c>
      <c r="S100">
        <v>124.7</v>
      </c>
      <c r="T100">
        <v>119.6</v>
      </c>
      <c r="U100">
        <v>120.2</v>
      </c>
      <c r="V100">
        <v>117.7</v>
      </c>
      <c r="W100">
        <v>112.3</v>
      </c>
      <c r="X100">
        <v>112</v>
      </c>
      <c r="Y100">
        <v>116.3</v>
      </c>
      <c r="Z100">
        <v>127.9</v>
      </c>
      <c r="AA100">
        <v>119.2</v>
      </c>
      <c r="AB100">
        <v>121.4</v>
      </c>
      <c r="AC100">
        <v>116.1</v>
      </c>
      <c r="AD100">
        <v>121.6</v>
      </c>
      <c r="AE100">
        <f>SUM(Table1_1[[#This Row],[Cereals and products]:[Food and beverages]])</f>
        <v>1590.4</v>
      </c>
      <c r="AF100">
        <f>SUM(Table1_1[[#This Row],[Clothing and footwear]:[Clothing]])</f>
        <v>371.4</v>
      </c>
      <c r="AG100">
        <f>SUM(Table1_1[[#This Row],[Clothing]:[Education]])</f>
        <v>1438.0000000000002</v>
      </c>
      <c r="AH100">
        <f>SUM(Table1_1[[#This Row],[Health]:[Personal care and effects]])</f>
        <v>230</v>
      </c>
      <c r="AI100">
        <f>SUM(Table1_1[[#This Row],[Recreation and amusement]:[Miscellaneous]])</f>
        <v>600.9</v>
      </c>
      <c r="AJ100">
        <f>SUM(Table1_1[[#This Row],[Fuel and light]])</f>
        <v>119.2</v>
      </c>
      <c r="AK100">
        <f>SUM(Table1_1[[#This Row],[Food]:[Luxury &amp;Other Thing]])</f>
        <v>4230.7</v>
      </c>
      <c r="AL100">
        <f>SUM(Table1_1[[#This Row],[Food]:[Luxury &amp;Other Thing]])</f>
        <v>4230.7</v>
      </c>
    </row>
    <row r="101" spans="1:38" x14ac:dyDescent="0.25">
      <c r="A101" t="s">
        <v>30</v>
      </c>
      <c r="B101" t="s">
        <v>38</v>
      </c>
      <c r="C101">
        <v>2016</v>
      </c>
      <c r="D101">
        <v>127.6</v>
      </c>
      <c r="E101">
        <v>137.5</v>
      </c>
      <c r="F101">
        <v>124.4</v>
      </c>
      <c r="G101">
        <v>132.4</v>
      </c>
      <c r="H101">
        <v>118.2</v>
      </c>
      <c r="I101">
        <v>138.1</v>
      </c>
      <c r="J101">
        <v>141.80000000000001</v>
      </c>
      <c r="K101">
        <v>166</v>
      </c>
      <c r="L101">
        <v>107.5</v>
      </c>
      <c r="M101">
        <v>132.19999999999999</v>
      </c>
      <c r="N101">
        <v>126.1</v>
      </c>
      <c r="O101">
        <v>138.30000000000001</v>
      </c>
      <c r="P101">
        <v>133.6</v>
      </c>
      <c r="Q101">
        <v>135.4</v>
      </c>
      <c r="R101">
        <v>131.1</v>
      </c>
      <c r="S101">
        <v>134.80000000000001</v>
      </c>
      <c r="T101">
        <v>139.5</v>
      </c>
      <c r="U101">
        <v>128.5</v>
      </c>
      <c r="V101">
        <v>125.8</v>
      </c>
      <c r="W101">
        <v>119.7</v>
      </c>
      <c r="X101">
        <v>115.1</v>
      </c>
      <c r="Y101">
        <v>123.6</v>
      </c>
      <c r="Z101">
        <v>136</v>
      </c>
      <c r="AA101">
        <v>127.4</v>
      </c>
      <c r="AB101">
        <v>129.1</v>
      </c>
      <c r="AC101">
        <v>122.5</v>
      </c>
      <c r="AD101">
        <v>130.30000000000001</v>
      </c>
      <c r="AE101">
        <f>SUM(Table1_1[[#This Row],[Cereals and products]:[Food and beverages]])</f>
        <v>1723.6999999999998</v>
      </c>
      <c r="AF101">
        <f>SUM(Table1_1[[#This Row],[Clothing and footwear]:[Clothing]])</f>
        <v>401.3</v>
      </c>
      <c r="AG101">
        <f>SUM(Table1_1[[#This Row],[Clothing]:[Education]])</f>
        <v>1545.9999999999998</v>
      </c>
      <c r="AH101">
        <f>SUM(Table1_1[[#This Row],[Health]:[Personal care and effects]])</f>
        <v>245.5</v>
      </c>
      <c r="AI101">
        <f>SUM(Table1_1[[#This Row],[Recreation and amusement]:[Miscellaneous]])</f>
        <v>638.6</v>
      </c>
      <c r="AJ101">
        <f>SUM(Table1_1[[#This Row],[Fuel and light]])</f>
        <v>127.4</v>
      </c>
      <c r="AK101">
        <f>SUM(Table1_1[[#This Row],[Food]:[Luxury &amp;Other Thing]])</f>
        <v>4555.1000000000004</v>
      </c>
      <c r="AL101">
        <f>SUM(Table1_1[[#This Row],[Food]:[Luxury &amp;Other Thing]])</f>
        <v>4555.1000000000004</v>
      </c>
    </row>
    <row r="102" spans="1:38" x14ac:dyDescent="0.25">
      <c r="A102" t="s">
        <v>33</v>
      </c>
      <c r="B102" t="s">
        <v>38</v>
      </c>
      <c r="C102">
        <v>2016</v>
      </c>
      <c r="D102">
        <v>125</v>
      </c>
      <c r="E102">
        <v>142.1</v>
      </c>
      <c r="F102">
        <v>127</v>
      </c>
      <c r="G102">
        <v>130.4</v>
      </c>
      <c r="H102">
        <v>109.6</v>
      </c>
      <c r="I102">
        <v>133.5</v>
      </c>
      <c r="J102">
        <v>151.4</v>
      </c>
      <c r="K102">
        <v>182.8</v>
      </c>
      <c r="L102">
        <v>111.1</v>
      </c>
      <c r="M102">
        <v>141.5</v>
      </c>
      <c r="N102">
        <v>121.5</v>
      </c>
      <c r="O102">
        <v>136.30000000000001</v>
      </c>
      <c r="P102">
        <v>134.6</v>
      </c>
      <c r="Q102">
        <v>127.2</v>
      </c>
      <c r="R102">
        <v>120.7</v>
      </c>
      <c r="S102">
        <v>126.2</v>
      </c>
      <c r="T102">
        <v>126</v>
      </c>
      <c r="U102">
        <v>123.2</v>
      </c>
      <c r="V102">
        <v>120.3</v>
      </c>
      <c r="W102">
        <v>118.5</v>
      </c>
      <c r="X102">
        <v>110.7</v>
      </c>
      <c r="Y102">
        <v>119.8</v>
      </c>
      <c r="Z102">
        <v>142.19999999999999</v>
      </c>
      <c r="AA102">
        <v>115</v>
      </c>
      <c r="AB102">
        <v>128</v>
      </c>
      <c r="AC102">
        <v>118.7</v>
      </c>
      <c r="AD102">
        <v>126.6</v>
      </c>
      <c r="AE102">
        <f>SUM(Table1_1[[#This Row],[Cereals and products]:[Food and beverages]])</f>
        <v>1746.7999999999997</v>
      </c>
      <c r="AF102">
        <f>SUM(Table1_1[[#This Row],[Clothing and footwear]:[Clothing]])</f>
        <v>374.1</v>
      </c>
      <c r="AG102">
        <f>SUM(Table1_1[[#This Row],[Clothing]:[Education]])</f>
        <v>1477.8000000000002</v>
      </c>
      <c r="AH102">
        <f>SUM(Table1_1[[#This Row],[Health]:[Personal care and effects]])</f>
        <v>238.8</v>
      </c>
      <c r="AI102">
        <f>SUM(Table1_1[[#This Row],[Recreation and amusement]:[Miscellaneous]])</f>
        <v>623.70000000000005</v>
      </c>
      <c r="AJ102">
        <f>SUM(Table1_1[[#This Row],[Fuel and light]])</f>
        <v>115</v>
      </c>
      <c r="AK102">
        <f>SUM(Table1_1[[#This Row],[Food]:[Luxury &amp;Other Thing]])</f>
        <v>4461.2</v>
      </c>
      <c r="AL102">
        <f>SUM(Table1_1[[#This Row],[Food]:[Luxury &amp;Other Thing]])</f>
        <v>4461.2</v>
      </c>
    </row>
    <row r="103" spans="1:38" x14ac:dyDescent="0.25">
      <c r="A103" t="s">
        <v>34</v>
      </c>
      <c r="B103" t="s">
        <v>38</v>
      </c>
      <c r="C103">
        <v>2016</v>
      </c>
      <c r="D103">
        <v>126.8</v>
      </c>
      <c r="E103">
        <v>139.1</v>
      </c>
      <c r="F103">
        <v>125.4</v>
      </c>
      <c r="G103">
        <v>131.69999999999999</v>
      </c>
      <c r="H103">
        <v>115</v>
      </c>
      <c r="I103">
        <v>136</v>
      </c>
      <c r="J103">
        <v>145.1</v>
      </c>
      <c r="K103">
        <v>171.7</v>
      </c>
      <c r="L103">
        <v>108.7</v>
      </c>
      <c r="M103">
        <v>135.30000000000001</v>
      </c>
      <c r="N103">
        <v>124.2</v>
      </c>
      <c r="O103">
        <v>137.4</v>
      </c>
      <c r="P103">
        <v>134</v>
      </c>
      <c r="Q103">
        <v>132.19999999999999</v>
      </c>
      <c r="R103">
        <v>126.8</v>
      </c>
      <c r="S103">
        <v>131.4</v>
      </c>
      <c r="T103">
        <v>126</v>
      </c>
      <c r="U103">
        <v>126</v>
      </c>
      <c r="V103">
        <v>123.7</v>
      </c>
      <c r="W103">
        <v>119.2</v>
      </c>
      <c r="X103">
        <v>112.8</v>
      </c>
      <c r="Y103">
        <v>121.5</v>
      </c>
      <c r="Z103">
        <v>137.69999999999999</v>
      </c>
      <c r="AA103">
        <v>122.7</v>
      </c>
      <c r="AB103">
        <v>128.5</v>
      </c>
      <c r="AC103">
        <v>120.7</v>
      </c>
      <c r="AD103">
        <v>128.6</v>
      </c>
      <c r="AE103">
        <f>SUM(Table1_1[[#This Row],[Cereals and products]:[Food and beverages]])</f>
        <v>1730.4</v>
      </c>
      <c r="AF103">
        <f>SUM(Table1_1[[#This Row],[Clothing and footwear]:[Clothing]])</f>
        <v>390.4</v>
      </c>
      <c r="AG103">
        <f>SUM(Table1_1[[#This Row],[Clothing]:[Education]])</f>
        <v>1508.5</v>
      </c>
      <c r="AH103">
        <f>SUM(Table1_1[[#This Row],[Health]:[Personal care and effects]])</f>
        <v>242.9</v>
      </c>
      <c r="AI103">
        <f>SUM(Table1_1[[#This Row],[Recreation and amusement]:[Miscellaneous]])</f>
        <v>631.1</v>
      </c>
      <c r="AJ103">
        <f>SUM(Table1_1[[#This Row],[Fuel and light]])</f>
        <v>122.7</v>
      </c>
      <c r="AK103">
        <f>SUM(Table1_1[[#This Row],[Food]:[Luxury &amp;Other Thing]])</f>
        <v>4503.3</v>
      </c>
      <c r="AL103">
        <f>SUM(Table1_1[[#This Row],[Food]:[Luxury &amp;Other Thing]])</f>
        <v>4503.3</v>
      </c>
    </row>
    <row r="104" spans="1:38" x14ac:dyDescent="0.25">
      <c r="A104" t="s">
        <v>30</v>
      </c>
      <c r="B104" t="s">
        <v>38</v>
      </c>
      <c r="C104">
        <v>2017</v>
      </c>
      <c r="D104">
        <v>133.1</v>
      </c>
      <c r="E104">
        <v>140.30000000000001</v>
      </c>
      <c r="F104">
        <v>126.8</v>
      </c>
      <c r="G104">
        <v>138.19999999999999</v>
      </c>
      <c r="H104">
        <v>120.8</v>
      </c>
      <c r="I104">
        <v>140.19999999999999</v>
      </c>
      <c r="J104">
        <v>123.8</v>
      </c>
      <c r="K104">
        <v>141.80000000000001</v>
      </c>
      <c r="L104">
        <v>118.6</v>
      </c>
      <c r="M104">
        <v>134</v>
      </c>
      <c r="N104">
        <v>130.30000000000001</v>
      </c>
      <c r="O104">
        <v>145.80000000000001</v>
      </c>
      <c r="P104">
        <v>133.80000000000001</v>
      </c>
      <c r="Q104">
        <v>142.5</v>
      </c>
      <c r="R104">
        <v>137.30000000000001</v>
      </c>
      <c r="S104">
        <v>141.80000000000001</v>
      </c>
      <c r="T104">
        <v>139.5</v>
      </c>
      <c r="U104">
        <v>134.9</v>
      </c>
      <c r="V104">
        <v>131.4</v>
      </c>
      <c r="W104">
        <v>123.7</v>
      </c>
      <c r="X104">
        <v>119.4</v>
      </c>
      <c r="Y104">
        <v>129.4</v>
      </c>
      <c r="Z104">
        <v>145.5</v>
      </c>
      <c r="AA104">
        <v>135</v>
      </c>
      <c r="AB104">
        <v>136.30000000000001</v>
      </c>
      <c r="AC104">
        <v>127.9</v>
      </c>
      <c r="AD104">
        <v>133.30000000000001</v>
      </c>
      <c r="AE104">
        <f>SUM(Table1_1[[#This Row],[Cereals and products]:[Food and beverages]])</f>
        <v>1727.4999999999995</v>
      </c>
      <c r="AF104">
        <f>SUM(Table1_1[[#This Row],[Clothing and footwear]:[Clothing]])</f>
        <v>421.6</v>
      </c>
      <c r="AG104">
        <f>SUM(Table1_1[[#This Row],[Clothing]:[Education]])</f>
        <v>1616.7</v>
      </c>
      <c r="AH104">
        <f>SUM(Table1_1[[#This Row],[Health]:[Personal care and effects]])</f>
        <v>255.10000000000002</v>
      </c>
      <c r="AI104">
        <f>SUM(Table1_1[[#This Row],[Recreation and amusement]:[Miscellaneous]])</f>
        <v>674.1</v>
      </c>
      <c r="AJ104">
        <f>SUM(Table1_1[[#This Row],[Fuel and light]])</f>
        <v>135</v>
      </c>
      <c r="AK104">
        <f>SUM(Table1_1[[#This Row],[Food]:[Luxury &amp;Other Thing]])</f>
        <v>4694.9999999999991</v>
      </c>
      <c r="AL104">
        <f>SUM(Table1_1[[#This Row],[Food]:[Luxury &amp;Other Thing]])</f>
        <v>4694.9999999999991</v>
      </c>
    </row>
    <row r="105" spans="1:38" x14ac:dyDescent="0.25">
      <c r="A105" t="s">
        <v>33</v>
      </c>
      <c r="B105" t="s">
        <v>38</v>
      </c>
      <c r="C105">
        <v>2017</v>
      </c>
      <c r="D105">
        <v>132.6</v>
      </c>
      <c r="E105">
        <v>144.1</v>
      </c>
      <c r="F105">
        <v>125.6</v>
      </c>
      <c r="G105">
        <v>136.80000000000001</v>
      </c>
      <c r="H105">
        <v>113.4</v>
      </c>
      <c r="I105">
        <v>135.19999999999999</v>
      </c>
      <c r="J105">
        <v>129.19999999999999</v>
      </c>
      <c r="K105">
        <v>131.5</v>
      </c>
      <c r="L105">
        <v>121</v>
      </c>
      <c r="M105">
        <v>139.9</v>
      </c>
      <c r="N105">
        <v>123.8</v>
      </c>
      <c r="O105">
        <v>142.9</v>
      </c>
      <c r="P105">
        <v>133.6</v>
      </c>
      <c r="Q105">
        <v>131.5</v>
      </c>
      <c r="R105">
        <v>123.2</v>
      </c>
      <c r="S105">
        <v>130.19999999999999</v>
      </c>
      <c r="T105">
        <v>132.1</v>
      </c>
      <c r="U105">
        <v>126.5</v>
      </c>
      <c r="V105">
        <v>123.6</v>
      </c>
      <c r="W105">
        <v>122</v>
      </c>
      <c r="X105">
        <v>114.3</v>
      </c>
      <c r="Y105">
        <v>122.8</v>
      </c>
      <c r="Z105">
        <v>148.30000000000001</v>
      </c>
      <c r="AA105">
        <v>120.1</v>
      </c>
      <c r="AB105">
        <v>133.80000000000001</v>
      </c>
      <c r="AC105">
        <v>122.6</v>
      </c>
      <c r="AD105">
        <v>129.30000000000001</v>
      </c>
      <c r="AE105">
        <f>SUM(Table1_1[[#This Row],[Cereals and products]:[Food and beverages]])</f>
        <v>1709.6</v>
      </c>
      <c r="AF105">
        <f>SUM(Table1_1[[#This Row],[Clothing and footwear]:[Clothing]])</f>
        <v>384.9</v>
      </c>
      <c r="AG105">
        <f>SUM(Table1_1[[#This Row],[Clothing]:[Education]])</f>
        <v>1528.3999999999999</v>
      </c>
      <c r="AH105">
        <f>SUM(Table1_1[[#This Row],[Health]:[Personal care and effects]])</f>
        <v>245.6</v>
      </c>
      <c r="AI105">
        <f>SUM(Table1_1[[#This Row],[Recreation and amusement]:[Miscellaneous]])</f>
        <v>647.6</v>
      </c>
      <c r="AJ105">
        <f>SUM(Table1_1[[#This Row],[Fuel and light]])</f>
        <v>120.1</v>
      </c>
      <c r="AK105">
        <f>SUM(Table1_1[[#This Row],[Food]:[Luxury &amp;Other Thing]])</f>
        <v>4516.0999999999995</v>
      </c>
      <c r="AL105">
        <f>SUM(Table1_1[[#This Row],[Food]:[Luxury &amp;Other Thing]])</f>
        <v>4516.0999999999995</v>
      </c>
    </row>
    <row r="106" spans="1:38" x14ac:dyDescent="0.25">
      <c r="A106" t="s">
        <v>34</v>
      </c>
      <c r="B106" t="s">
        <v>38</v>
      </c>
      <c r="C106">
        <v>2017</v>
      </c>
      <c r="D106">
        <v>132.9</v>
      </c>
      <c r="E106">
        <v>141.6</v>
      </c>
      <c r="F106">
        <v>126.3</v>
      </c>
      <c r="G106">
        <v>137.69999999999999</v>
      </c>
      <c r="H106">
        <v>118.1</v>
      </c>
      <c r="I106">
        <v>137.9</v>
      </c>
      <c r="J106">
        <v>125.6</v>
      </c>
      <c r="K106">
        <v>138.30000000000001</v>
      </c>
      <c r="L106">
        <v>119.4</v>
      </c>
      <c r="M106">
        <v>136</v>
      </c>
      <c r="N106">
        <v>127.6</v>
      </c>
      <c r="O106">
        <v>144.5</v>
      </c>
      <c r="P106">
        <v>133.69999999999999</v>
      </c>
      <c r="Q106">
        <v>138.19999999999999</v>
      </c>
      <c r="R106">
        <v>131.4</v>
      </c>
      <c r="S106">
        <v>137.19999999999999</v>
      </c>
      <c r="T106">
        <v>132.1</v>
      </c>
      <c r="U106">
        <v>130.9</v>
      </c>
      <c r="V106">
        <v>128.4</v>
      </c>
      <c r="W106">
        <v>123</v>
      </c>
      <c r="X106">
        <v>116.7</v>
      </c>
      <c r="Y106">
        <v>125.7</v>
      </c>
      <c r="Z106">
        <v>146.19999999999999</v>
      </c>
      <c r="AA106">
        <v>129.4</v>
      </c>
      <c r="AB106">
        <v>134.80000000000001</v>
      </c>
      <c r="AC106">
        <v>125.3</v>
      </c>
      <c r="AD106">
        <v>131.4</v>
      </c>
      <c r="AE106">
        <f>SUM(Table1_1[[#This Row],[Cereals and products]:[Food and beverages]])</f>
        <v>1719.6000000000001</v>
      </c>
      <c r="AF106">
        <f>SUM(Table1_1[[#This Row],[Clothing and footwear]:[Clothing]])</f>
        <v>406.8</v>
      </c>
      <c r="AG106">
        <f>SUM(Table1_1[[#This Row],[Clothing]:[Education]])</f>
        <v>1574</v>
      </c>
      <c r="AH106">
        <f>SUM(Table1_1[[#This Row],[Health]:[Personal care and effects]])</f>
        <v>251.4</v>
      </c>
      <c r="AI106">
        <f>SUM(Table1_1[[#This Row],[Recreation and amusement]:[Miscellaneous]])</f>
        <v>661.39999999999986</v>
      </c>
      <c r="AJ106">
        <f>SUM(Table1_1[[#This Row],[Fuel and light]])</f>
        <v>129.4</v>
      </c>
      <c r="AK106">
        <f>SUM(Table1_1[[#This Row],[Food]:[Luxury &amp;Other Thing]])</f>
        <v>4613.2</v>
      </c>
      <c r="AL106">
        <f>SUM(Table1_1[[#This Row],[Food]:[Luxury &amp;Other Thing]])</f>
        <v>4613.2</v>
      </c>
    </row>
    <row r="107" spans="1:38" x14ac:dyDescent="0.25">
      <c r="A107" t="s">
        <v>30</v>
      </c>
      <c r="B107" t="s">
        <v>38</v>
      </c>
      <c r="C107">
        <v>2018</v>
      </c>
      <c r="D107">
        <v>137.4</v>
      </c>
      <c r="E107">
        <v>145.69999999999999</v>
      </c>
      <c r="F107">
        <v>135.5</v>
      </c>
      <c r="G107">
        <v>142.9</v>
      </c>
      <c r="H107">
        <v>123.6</v>
      </c>
      <c r="I107">
        <v>157.5</v>
      </c>
      <c r="J107">
        <v>137.80000000000001</v>
      </c>
      <c r="K107">
        <v>127.2</v>
      </c>
      <c r="L107">
        <v>111.8</v>
      </c>
      <c r="M107">
        <v>137.4</v>
      </c>
      <c r="N107">
        <v>132.19999999999999</v>
      </c>
      <c r="O107">
        <v>154.30000000000001</v>
      </c>
      <c r="P107">
        <v>139.1</v>
      </c>
      <c r="Q107">
        <v>150.80000000000001</v>
      </c>
      <c r="R107">
        <v>144.1</v>
      </c>
      <c r="S107">
        <v>149.80000000000001</v>
      </c>
      <c r="T107">
        <v>139.5</v>
      </c>
      <c r="U107">
        <v>141.80000000000001</v>
      </c>
      <c r="V107">
        <v>138.4</v>
      </c>
      <c r="W107">
        <v>131.19999999999999</v>
      </c>
      <c r="X107">
        <v>126.4</v>
      </c>
      <c r="Y107">
        <v>136.80000000000001</v>
      </c>
      <c r="Z107">
        <v>157</v>
      </c>
      <c r="AA107">
        <v>144.30000000000001</v>
      </c>
      <c r="AB107">
        <v>144.4</v>
      </c>
      <c r="AC107">
        <v>135.1</v>
      </c>
      <c r="AD107">
        <v>139.80000000000001</v>
      </c>
      <c r="AE107">
        <f>SUM(Table1_1[[#This Row],[Cereals and products]:[Food and beverages]])</f>
        <v>1782.4</v>
      </c>
      <c r="AF107">
        <f>SUM(Table1_1[[#This Row],[Clothing and footwear]:[Clothing]])</f>
        <v>444.7</v>
      </c>
      <c r="AG107">
        <f>SUM(Table1_1[[#This Row],[Clothing]:[Education]])</f>
        <v>1704.5</v>
      </c>
      <c r="AH107">
        <f>SUM(Table1_1[[#This Row],[Health]:[Personal care and effects]])</f>
        <v>269.60000000000002</v>
      </c>
      <c r="AI107">
        <f>SUM(Table1_1[[#This Row],[Recreation and amusement]:[Miscellaneous]])</f>
        <v>717.6</v>
      </c>
      <c r="AJ107">
        <f>SUM(Table1_1[[#This Row],[Fuel and light]])</f>
        <v>144.30000000000001</v>
      </c>
      <c r="AK107">
        <f>SUM(Table1_1[[#This Row],[Food]:[Luxury &amp;Other Thing]])</f>
        <v>4918.8</v>
      </c>
      <c r="AL107">
        <f>SUM(Table1_1[[#This Row],[Food]:[Luxury &amp;Other Thing]])</f>
        <v>4918.8</v>
      </c>
    </row>
    <row r="108" spans="1:38" x14ac:dyDescent="0.25">
      <c r="A108" t="s">
        <v>33</v>
      </c>
      <c r="B108" t="s">
        <v>38</v>
      </c>
      <c r="C108">
        <v>2018</v>
      </c>
      <c r="D108">
        <v>135</v>
      </c>
      <c r="E108">
        <v>148.19999999999999</v>
      </c>
      <c r="F108">
        <v>130.5</v>
      </c>
      <c r="G108">
        <v>140.69999999999999</v>
      </c>
      <c r="H108">
        <v>116.4</v>
      </c>
      <c r="I108">
        <v>151.30000000000001</v>
      </c>
      <c r="J108">
        <v>131.4</v>
      </c>
      <c r="K108">
        <v>112.8</v>
      </c>
      <c r="L108">
        <v>105.3</v>
      </c>
      <c r="M108">
        <v>139.6</v>
      </c>
      <c r="N108">
        <v>126.6</v>
      </c>
      <c r="O108">
        <v>148.69999999999999</v>
      </c>
      <c r="P108">
        <v>136.4</v>
      </c>
      <c r="Q108">
        <v>138.6</v>
      </c>
      <c r="R108">
        <v>127.9</v>
      </c>
      <c r="S108">
        <v>137</v>
      </c>
      <c r="T108">
        <v>143.19999999999999</v>
      </c>
      <c r="U108">
        <v>132.5</v>
      </c>
      <c r="V108">
        <v>132</v>
      </c>
      <c r="W108">
        <v>128.1</v>
      </c>
      <c r="X108">
        <v>119.8</v>
      </c>
      <c r="Y108">
        <v>128</v>
      </c>
      <c r="Z108">
        <v>160.30000000000001</v>
      </c>
      <c r="AA108">
        <v>124.7</v>
      </c>
      <c r="AB108">
        <v>140.4</v>
      </c>
      <c r="AC108">
        <v>128.9</v>
      </c>
      <c r="AD108">
        <v>135.4</v>
      </c>
      <c r="AE108">
        <f>SUM(Table1_1[[#This Row],[Cereals and products]:[Food and beverages]])</f>
        <v>1722.8999999999999</v>
      </c>
      <c r="AF108">
        <f>SUM(Table1_1[[#This Row],[Clothing and footwear]:[Clothing]])</f>
        <v>403.5</v>
      </c>
      <c r="AG108">
        <f>SUM(Table1_1[[#This Row],[Clothing]:[Education]])</f>
        <v>1612.5000000000002</v>
      </c>
      <c r="AH108">
        <f>SUM(Table1_1[[#This Row],[Health]:[Personal care and effects]])</f>
        <v>260.10000000000002</v>
      </c>
      <c r="AI108">
        <f>SUM(Table1_1[[#This Row],[Recreation and amusement]:[Miscellaneous]])</f>
        <v>682.3</v>
      </c>
      <c r="AJ108">
        <f>SUM(Table1_1[[#This Row],[Fuel and light]])</f>
        <v>124.7</v>
      </c>
      <c r="AK108">
        <f>SUM(Table1_1[[#This Row],[Food]:[Luxury &amp;Other Thing]])</f>
        <v>4681.2999999999993</v>
      </c>
      <c r="AL108">
        <f>SUM(Table1_1[[#This Row],[Food]:[Luxury &amp;Other Thing]])</f>
        <v>4681.2999999999993</v>
      </c>
    </row>
    <row r="109" spans="1:38" x14ac:dyDescent="0.25">
      <c r="A109" t="s">
        <v>34</v>
      </c>
      <c r="B109" t="s">
        <v>38</v>
      </c>
      <c r="C109">
        <v>2018</v>
      </c>
      <c r="D109">
        <v>136.6</v>
      </c>
      <c r="E109">
        <v>146.6</v>
      </c>
      <c r="F109">
        <v>133.6</v>
      </c>
      <c r="G109">
        <v>142.1</v>
      </c>
      <c r="H109">
        <v>121</v>
      </c>
      <c r="I109">
        <v>154.6</v>
      </c>
      <c r="J109">
        <v>135.6</v>
      </c>
      <c r="K109">
        <v>122.3</v>
      </c>
      <c r="L109">
        <v>109.6</v>
      </c>
      <c r="M109">
        <v>138.1</v>
      </c>
      <c r="N109">
        <v>129.9</v>
      </c>
      <c r="O109">
        <v>151.69999999999999</v>
      </c>
      <c r="P109">
        <v>138.1</v>
      </c>
      <c r="Q109">
        <v>146</v>
      </c>
      <c r="R109">
        <v>137.4</v>
      </c>
      <c r="S109">
        <v>144.69999999999999</v>
      </c>
      <c r="T109">
        <v>143.19999999999999</v>
      </c>
      <c r="U109">
        <v>137.4</v>
      </c>
      <c r="V109">
        <v>136</v>
      </c>
      <c r="W109">
        <v>129.9</v>
      </c>
      <c r="X109">
        <v>122.9</v>
      </c>
      <c r="Y109">
        <v>131.80000000000001</v>
      </c>
      <c r="Z109">
        <v>157.9</v>
      </c>
      <c r="AA109">
        <v>136.9</v>
      </c>
      <c r="AB109">
        <v>142.1</v>
      </c>
      <c r="AC109">
        <v>132.1</v>
      </c>
      <c r="AD109">
        <v>137.80000000000001</v>
      </c>
      <c r="AE109">
        <f>SUM(Table1_1[[#This Row],[Cereals and products]:[Food and beverages]])</f>
        <v>1759.8</v>
      </c>
      <c r="AF109">
        <f>SUM(Table1_1[[#This Row],[Clothing and footwear]:[Clothing]])</f>
        <v>428.09999999999997</v>
      </c>
      <c r="AG109">
        <f>SUM(Table1_1[[#This Row],[Clothing]:[Education]])</f>
        <v>1666.2</v>
      </c>
      <c r="AH109">
        <f>SUM(Table1_1[[#This Row],[Health]:[Personal care and effects]])</f>
        <v>265.89999999999998</v>
      </c>
      <c r="AI109">
        <f>SUM(Table1_1[[#This Row],[Recreation and amusement]:[Miscellaneous]])</f>
        <v>700.80000000000007</v>
      </c>
      <c r="AJ109">
        <f>SUM(Table1_1[[#This Row],[Fuel and light]])</f>
        <v>136.9</v>
      </c>
      <c r="AK109">
        <f>SUM(Table1_1[[#This Row],[Food]:[Luxury &amp;Other Thing]])</f>
        <v>4820.8</v>
      </c>
      <c r="AL109">
        <f>SUM(Table1_1[[#This Row],[Food]:[Luxury &amp;Other Thing]])</f>
        <v>4820.8</v>
      </c>
    </row>
    <row r="110" spans="1:38" x14ac:dyDescent="0.25">
      <c r="A110" t="s">
        <v>30</v>
      </c>
      <c r="B110" t="s">
        <v>38</v>
      </c>
      <c r="C110">
        <v>2019</v>
      </c>
      <c r="D110">
        <v>137.4</v>
      </c>
      <c r="E110">
        <v>159.5</v>
      </c>
      <c r="F110">
        <v>134.5</v>
      </c>
      <c r="G110">
        <v>142.6</v>
      </c>
      <c r="H110">
        <v>124</v>
      </c>
      <c r="I110">
        <v>143.69999999999999</v>
      </c>
      <c r="J110">
        <v>133.4</v>
      </c>
      <c r="K110">
        <v>125.1</v>
      </c>
      <c r="L110">
        <v>109.3</v>
      </c>
      <c r="M110">
        <v>139.30000000000001</v>
      </c>
      <c r="N110">
        <v>137.69999999999999</v>
      </c>
      <c r="O110">
        <v>156.4</v>
      </c>
      <c r="P110">
        <v>139.19999999999999</v>
      </c>
      <c r="Q110">
        <v>151.30000000000001</v>
      </c>
      <c r="R110">
        <v>146.6</v>
      </c>
      <c r="S110">
        <v>150.69999999999999</v>
      </c>
      <c r="T110">
        <v>139.5</v>
      </c>
      <c r="U110">
        <v>149.5</v>
      </c>
      <c r="V110">
        <v>151.30000000000001</v>
      </c>
      <c r="W110">
        <v>133.9</v>
      </c>
      <c r="X110">
        <v>130.19999999999999</v>
      </c>
      <c r="Y110">
        <v>145.9</v>
      </c>
      <c r="Z110">
        <v>163.30000000000001</v>
      </c>
      <c r="AA110">
        <v>146.9</v>
      </c>
      <c r="AB110">
        <v>156.69999999999999</v>
      </c>
      <c r="AC110">
        <v>142.9</v>
      </c>
      <c r="AD110">
        <v>142.4</v>
      </c>
      <c r="AE110">
        <f>SUM(Table1_1[[#This Row],[Cereals and products]:[Food and beverages]])</f>
        <v>1782.1000000000001</v>
      </c>
      <c r="AF110">
        <f>SUM(Table1_1[[#This Row],[Clothing and footwear]:[Clothing]])</f>
        <v>448.59999999999997</v>
      </c>
      <c r="AG110">
        <f>SUM(Table1_1[[#This Row],[Clothing]:[Education]])</f>
        <v>1765.8</v>
      </c>
      <c r="AH110">
        <f>SUM(Table1_1[[#This Row],[Health]:[Personal care and effects]])</f>
        <v>285.20000000000005</v>
      </c>
      <c r="AI110">
        <f>SUM(Table1_1[[#This Row],[Recreation and amusement]:[Miscellaneous]])</f>
        <v>755.69999999999993</v>
      </c>
      <c r="AJ110">
        <f>SUM(Table1_1[[#This Row],[Fuel and light]])</f>
        <v>146.9</v>
      </c>
      <c r="AK110">
        <f>SUM(Table1_1[[#This Row],[Food]:[Luxury &amp;Other Thing]])</f>
        <v>5037.3999999999996</v>
      </c>
      <c r="AL110">
        <f>SUM(Table1_1[[#This Row],[Food]:[Luxury &amp;Other Thing]])</f>
        <v>5037.3999999999996</v>
      </c>
    </row>
    <row r="111" spans="1:38" x14ac:dyDescent="0.25">
      <c r="A111" t="s">
        <v>33</v>
      </c>
      <c r="B111" t="s">
        <v>38</v>
      </c>
      <c r="C111">
        <v>2019</v>
      </c>
      <c r="D111">
        <v>140.4</v>
      </c>
      <c r="E111">
        <v>156.69999999999999</v>
      </c>
      <c r="F111">
        <v>138.30000000000001</v>
      </c>
      <c r="G111">
        <v>142.4</v>
      </c>
      <c r="H111">
        <v>118.6</v>
      </c>
      <c r="I111">
        <v>149.69999999999999</v>
      </c>
      <c r="J111">
        <v>161.6</v>
      </c>
      <c r="K111">
        <v>124.4</v>
      </c>
      <c r="L111">
        <v>111.2</v>
      </c>
      <c r="M111">
        <v>141</v>
      </c>
      <c r="N111">
        <v>128.9</v>
      </c>
      <c r="O111">
        <v>154.5</v>
      </c>
      <c r="P111">
        <v>143.80000000000001</v>
      </c>
      <c r="Q111">
        <v>144</v>
      </c>
      <c r="R111">
        <v>131.69999999999999</v>
      </c>
      <c r="S111">
        <v>142.19999999999999</v>
      </c>
      <c r="T111">
        <v>150.1</v>
      </c>
      <c r="U111">
        <v>137.19999999999999</v>
      </c>
      <c r="V111">
        <v>139.80000000000001</v>
      </c>
      <c r="W111">
        <v>132.6</v>
      </c>
      <c r="X111">
        <v>120.1</v>
      </c>
      <c r="Y111">
        <v>134</v>
      </c>
      <c r="Z111">
        <v>166.2</v>
      </c>
      <c r="AA111">
        <v>129.4</v>
      </c>
      <c r="AB111">
        <v>148</v>
      </c>
      <c r="AC111">
        <v>133.30000000000001</v>
      </c>
      <c r="AD111">
        <v>141.5</v>
      </c>
      <c r="AE111">
        <f>SUM(Table1_1[[#This Row],[Cereals and products]:[Food and beverages]])</f>
        <v>1811.5000000000002</v>
      </c>
      <c r="AF111">
        <f>SUM(Table1_1[[#This Row],[Clothing and footwear]:[Clothing]])</f>
        <v>417.9</v>
      </c>
      <c r="AG111">
        <f>SUM(Table1_1[[#This Row],[Clothing]:[Education]])</f>
        <v>1675.3000000000002</v>
      </c>
      <c r="AH111">
        <f>SUM(Table1_1[[#This Row],[Health]:[Personal care and effects]])</f>
        <v>272.39999999999998</v>
      </c>
      <c r="AI111">
        <f>SUM(Table1_1[[#This Row],[Recreation and amusement]:[Miscellaneous]])</f>
        <v>710.90000000000009</v>
      </c>
      <c r="AJ111">
        <f>SUM(Table1_1[[#This Row],[Fuel and light]])</f>
        <v>129.4</v>
      </c>
      <c r="AK111">
        <f>SUM(Table1_1[[#This Row],[Food]:[Luxury &amp;Other Thing]])</f>
        <v>4888</v>
      </c>
      <c r="AL111">
        <f>SUM(Table1_1[[#This Row],[Food]:[Luxury &amp;Other Thing]])</f>
        <v>4888</v>
      </c>
    </row>
    <row r="112" spans="1:38" x14ac:dyDescent="0.25">
      <c r="A112" t="s">
        <v>34</v>
      </c>
      <c r="B112" t="s">
        <v>38</v>
      </c>
      <c r="C112">
        <v>2019</v>
      </c>
      <c r="D112">
        <v>138.30000000000001</v>
      </c>
      <c r="E112">
        <v>158.5</v>
      </c>
      <c r="F112">
        <v>136</v>
      </c>
      <c r="G112">
        <v>142.5</v>
      </c>
      <c r="H112">
        <v>122</v>
      </c>
      <c r="I112">
        <v>146.5</v>
      </c>
      <c r="J112">
        <v>143</v>
      </c>
      <c r="K112">
        <v>124.9</v>
      </c>
      <c r="L112">
        <v>109.9</v>
      </c>
      <c r="M112">
        <v>139.9</v>
      </c>
      <c r="N112">
        <v>134</v>
      </c>
      <c r="O112">
        <v>155.5</v>
      </c>
      <c r="P112">
        <v>140.9</v>
      </c>
      <c r="Q112">
        <v>148.4</v>
      </c>
      <c r="R112">
        <v>140.4</v>
      </c>
      <c r="S112">
        <v>147.30000000000001</v>
      </c>
      <c r="T112">
        <v>150.1</v>
      </c>
      <c r="U112">
        <v>143.69999999999999</v>
      </c>
      <c r="V112">
        <v>146.9</v>
      </c>
      <c r="W112">
        <v>133.4</v>
      </c>
      <c r="X112">
        <v>124.9</v>
      </c>
      <c r="Y112">
        <v>139.19999999999999</v>
      </c>
      <c r="Z112">
        <v>164.1</v>
      </c>
      <c r="AA112">
        <v>140.30000000000001</v>
      </c>
      <c r="AB112">
        <v>151.6</v>
      </c>
      <c r="AC112">
        <v>138.19999999999999</v>
      </c>
      <c r="AD112">
        <v>142</v>
      </c>
      <c r="AE112">
        <f>SUM(Table1_1[[#This Row],[Cereals and products]:[Food and beverages]])</f>
        <v>1791.9000000000003</v>
      </c>
      <c r="AF112">
        <f>SUM(Table1_1[[#This Row],[Clothing and footwear]:[Clothing]])</f>
        <v>436.1</v>
      </c>
      <c r="AG112">
        <f>SUM(Table1_1[[#This Row],[Clothing]:[Education]])</f>
        <v>1730.3</v>
      </c>
      <c r="AH112">
        <f>SUM(Table1_1[[#This Row],[Health]:[Personal care and effects]])</f>
        <v>280.3</v>
      </c>
      <c r="AI112">
        <f>SUM(Table1_1[[#This Row],[Recreation and amusement]:[Miscellaneous]])</f>
        <v>733.39999999999986</v>
      </c>
      <c r="AJ112">
        <f>SUM(Table1_1[[#This Row],[Fuel and light]])</f>
        <v>140.30000000000001</v>
      </c>
      <c r="AK112">
        <f>SUM(Table1_1[[#This Row],[Food]:[Luxury &amp;Other Thing]])</f>
        <v>4972</v>
      </c>
      <c r="AL112">
        <f>SUM(Table1_1[[#This Row],[Food]:[Luxury &amp;Other Thing]])</f>
        <v>4972</v>
      </c>
    </row>
    <row r="113" spans="1:38" x14ac:dyDescent="0.25">
      <c r="A113" t="s">
        <v>30</v>
      </c>
      <c r="B113" t="s">
        <v>38</v>
      </c>
      <c r="C113">
        <v>2020</v>
      </c>
      <c r="D113" s="24">
        <v>149.23333333333332</v>
      </c>
      <c r="E113" s="24">
        <v>167.13333333333335</v>
      </c>
      <c r="F113" s="24">
        <v>149.20000000000002</v>
      </c>
      <c r="G113" s="24">
        <v>155.56666666666669</v>
      </c>
      <c r="H113" s="24">
        <v>134.6</v>
      </c>
      <c r="I113" s="24">
        <v>150.03333333333333</v>
      </c>
      <c r="J113" s="24">
        <v>170.43333333333331</v>
      </c>
      <c r="K113" s="24">
        <v>150.46666666666667</v>
      </c>
      <c r="L113" s="24">
        <v>120.43333333333334</v>
      </c>
      <c r="M113" s="24">
        <v>156.6</v>
      </c>
      <c r="N113" s="24">
        <v>136.5</v>
      </c>
      <c r="O113" s="24">
        <v>159.50617283950621</v>
      </c>
      <c r="P113" s="24">
        <v>151.66666666666666</v>
      </c>
      <c r="Q113" s="24">
        <v>150.42469135802469</v>
      </c>
      <c r="R113" s="24">
        <v>140.22592592592594</v>
      </c>
      <c r="S113" s="24">
        <v>148.88148148148147</v>
      </c>
      <c r="T113" s="24">
        <v>151.53703703703707</v>
      </c>
      <c r="U113" s="24">
        <v>145.47160493827161</v>
      </c>
      <c r="V113" s="24">
        <v>149.93333333333334</v>
      </c>
      <c r="W113" s="24">
        <v>145.21481481481479</v>
      </c>
      <c r="X113" s="24">
        <v>129.23333333333335</v>
      </c>
      <c r="Y113" s="24">
        <v>143.17654320987654</v>
      </c>
      <c r="Z113" s="24">
        <v>171.78765432098763</v>
      </c>
      <c r="AA113" s="24">
        <v>147.19629629629631</v>
      </c>
      <c r="AB113" s="24">
        <v>155.86296296296297</v>
      </c>
      <c r="AC113" s="24">
        <v>142.98518518518517</v>
      </c>
      <c r="AD113" s="24">
        <v>148.38765432098768</v>
      </c>
      <c r="AE113" s="24">
        <f>SUM(Table1_1[[#This Row],[Cereals and products]:[Food and beverages]])</f>
        <v>1951.372839506173</v>
      </c>
      <c r="AF113" s="24">
        <f>SUM(Table1_1[[#This Row],[Clothing and footwear]:[Clothing]])</f>
        <v>439.53209876543212</v>
      </c>
      <c r="AG113" s="24">
        <f>SUM(Table1_1[[#This Row],[Clothing]:[Education]])</f>
        <v>1778.9456790123461</v>
      </c>
      <c r="AH113" s="24">
        <f>SUM(Table1_1[[#This Row],[Health]:[Personal care and effects]])</f>
        <v>295.14814814814815</v>
      </c>
      <c r="AI113" s="24">
        <f>SUM(Table1_1[[#This Row],[Recreation and amusement]:[Miscellaneous]])</f>
        <v>761.00864197530859</v>
      </c>
      <c r="AJ113" s="24">
        <f>SUM(Table1_1[[#This Row],[Fuel and light]])</f>
        <v>147.19629629629631</v>
      </c>
      <c r="AK113" s="24">
        <f>SUM(Table1_1[[#This Row],[Food]:[Luxury &amp;Other Thing]])</f>
        <v>5226.0074074074082</v>
      </c>
      <c r="AL113">
        <f>SUM(Table1_1[[#This Row],[Food]:[Luxury &amp;Other Thing]])</f>
        <v>5226.0074074074082</v>
      </c>
    </row>
    <row r="114" spans="1:38" x14ac:dyDescent="0.25">
      <c r="A114" t="s">
        <v>33</v>
      </c>
      <c r="B114" t="s">
        <v>38</v>
      </c>
      <c r="C114">
        <v>2020</v>
      </c>
      <c r="D114" s="24">
        <v>149.91111111111113</v>
      </c>
      <c r="E114" s="24">
        <v>167.14444444444447</v>
      </c>
      <c r="F114" s="24">
        <v>149.9666666666667</v>
      </c>
      <c r="G114" s="24">
        <v>155.55555555555557</v>
      </c>
      <c r="H114" s="24">
        <v>133.76666666666665</v>
      </c>
      <c r="I114" s="24">
        <v>150.94444444444446</v>
      </c>
      <c r="J114" s="24">
        <v>173.01111111111109</v>
      </c>
      <c r="K114" s="24">
        <v>150.55555555555557</v>
      </c>
      <c r="L114" s="24">
        <v>120.64444444444445</v>
      </c>
      <c r="M114" s="24">
        <v>155.9</v>
      </c>
      <c r="N114" s="24">
        <v>135.6</v>
      </c>
      <c r="O114" s="24">
        <v>159.48600823045271</v>
      </c>
      <c r="P114" s="24">
        <v>152.18888888888887</v>
      </c>
      <c r="Q114" s="24">
        <v>150.31069958847738</v>
      </c>
      <c r="R114" s="24">
        <v>139.9345679012346</v>
      </c>
      <c r="S114" s="24">
        <v>148.74197530864197</v>
      </c>
      <c r="T114" s="24">
        <v>152.21604938271608</v>
      </c>
      <c r="U114" s="24">
        <v>145.21769547325104</v>
      </c>
      <c r="V114" s="24">
        <v>148.47777777777779</v>
      </c>
      <c r="W114" s="24">
        <v>145.21975308641973</v>
      </c>
      <c r="X114" s="24">
        <v>128.94444444444446</v>
      </c>
      <c r="Y114" s="24">
        <v>142.81316872427985</v>
      </c>
      <c r="Z114" s="24">
        <v>171.82798353909462</v>
      </c>
      <c r="AA114" s="24">
        <v>146.96172839506175</v>
      </c>
      <c r="AB114" s="24">
        <v>155.61728395061729</v>
      </c>
      <c r="AC114" s="24">
        <v>142.74691358024691</v>
      </c>
      <c r="AD114" s="24">
        <v>148.32798353909467</v>
      </c>
      <c r="AE114" s="24">
        <f>SUM(Table1_1[[#This Row],[Cereals and products]:[Food and beverages]])</f>
        <v>1954.6748971193417</v>
      </c>
      <c r="AF114" s="24">
        <f>SUM(Table1_1[[#This Row],[Clothing and footwear]:[Clothing]])</f>
        <v>438.98724279835392</v>
      </c>
      <c r="AG114" s="24">
        <f>SUM(Table1_1[[#This Row],[Clothing]:[Education]])</f>
        <v>1776.2831275720166</v>
      </c>
      <c r="AH114" s="24">
        <f>SUM(Table1_1[[#This Row],[Health]:[Personal care and effects]])</f>
        <v>293.69753086419752</v>
      </c>
      <c r="AI114" s="24">
        <f>SUM(Table1_1[[#This Row],[Recreation and amusement]:[Miscellaneous]])</f>
        <v>759.96707818930042</v>
      </c>
      <c r="AJ114" s="24">
        <f>SUM(Table1_1[[#This Row],[Fuel and light]])</f>
        <v>146.96172839506175</v>
      </c>
      <c r="AK114" s="24">
        <f>SUM(Table1_1[[#This Row],[Food]:[Luxury &amp;Other Thing]])</f>
        <v>5223.6098765432098</v>
      </c>
      <c r="AL114">
        <f>SUM(Table1_1[[#This Row],[Food]:[Luxury &amp;Other Thing]])</f>
        <v>5223.6098765432098</v>
      </c>
    </row>
    <row r="115" spans="1:38" x14ac:dyDescent="0.25">
      <c r="A115" t="s">
        <v>34</v>
      </c>
      <c r="B115" t="s">
        <v>38</v>
      </c>
      <c r="C115">
        <v>2020</v>
      </c>
      <c r="D115" s="24">
        <v>149.28148148148148</v>
      </c>
      <c r="E115" s="24">
        <v>167.12592592592594</v>
      </c>
      <c r="F115" s="24">
        <v>149.32222222222222</v>
      </c>
      <c r="G115" s="24">
        <v>155.5740740740741</v>
      </c>
      <c r="H115" s="24">
        <v>134.48888888888888</v>
      </c>
      <c r="I115" s="24">
        <v>150.2925925925926</v>
      </c>
      <c r="J115" s="24">
        <v>170.68148148148146</v>
      </c>
      <c r="K115" s="24">
        <v>150.47407407407408</v>
      </c>
      <c r="L115" s="24">
        <v>120.45925925925927</v>
      </c>
      <c r="M115" s="24">
        <v>156.53333333333333</v>
      </c>
      <c r="N115" s="24">
        <v>136.29999999999998</v>
      </c>
      <c r="O115" s="24">
        <v>159.50727023319618</v>
      </c>
      <c r="P115" s="24">
        <v>151.75185185185185</v>
      </c>
      <c r="Q115" s="24">
        <v>150.45130315500685</v>
      </c>
      <c r="R115" s="24">
        <v>140.26831275720167</v>
      </c>
      <c r="S115" s="24">
        <v>148.91152263374485</v>
      </c>
      <c r="T115" s="24">
        <v>152.01028806584364</v>
      </c>
      <c r="U115" s="24">
        <v>145.46433470507546</v>
      </c>
      <c r="V115" s="24">
        <v>149.7037037037037</v>
      </c>
      <c r="W115" s="24">
        <v>145.21522633744851</v>
      </c>
      <c r="X115" s="24">
        <v>129.1925925925926</v>
      </c>
      <c r="Y115" s="24">
        <v>143.09903978052125</v>
      </c>
      <c r="Z115" s="24">
        <v>171.75212620027432</v>
      </c>
      <c r="AA115" s="24">
        <v>147.26008230452678</v>
      </c>
      <c r="AB115" s="24">
        <v>155.80082304526749</v>
      </c>
      <c r="AC115" s="24">
        <v>142.9736625514403</v>
      </c>
      <c r="AD115" s="24">
        <v>148.3854595336077</v>
      </c>
      <c r="AE115" s="24">
        <f>SUM(Table1_1[[#This Row],[Cereals and products]:[Food and beverages]])</f>
        <v>1951.7924554183812</v>
      </c>
      <c r="AF115" s="24">
        <f>SUM(Table1_1[[#This Row],[Clothing and footwear]:[Clothing]])</f>
        <v>439.63113854595338</v>
      </c>
      <c r="AG115" s="24">
        <f>SUM(Table1_1[[#This Row],[Clothing]:[Education]])</f>
        <v>1779.1293552812069</v>
      </c>
      <c r="AH115" s="24">
        <f>SUM(Table1_1[[#This Row],[Health]:[Personal care and effects]])</f>
        <v>294.91893004115218</v>
      </c>
      <c r="AI115" s="24">
        <f>SUM(Table1_1[[#This Row],[Recreation and amusement]:[Miscellaneous]])</f>
        <v>760.88573388203019</v>
      </c>
      <c r="AJ115" s="24">
        <f>SUM(Table1_1[[#This Row],[Fuel and light]])</f>
        <v>147.26008230452678</v>
      </c>
      <c r="AK115" s="24">
        <f>SUM(Table1_1[[#This Row],[Food]:[Luxury &amp;Other Thing]])</f>
        <v>5226.3576131687232</v>
      </c>
      <c r="AL115">
        <f>SUM(Table1_1[[#This Row],[Food]:[Luxury &amp;Other Thing]])</f>
        <v>5226.3576131687232</v>
      </c>
    </row>
    <row r="116" spans="1:38" x14ac:dyDescent="0.25">
      <c r="A116" t="s">
        <v>30</v>
      </c>
      <c r="B116" t="s">
        <v>38</v>
      </c>
      <c r="C116">
        <v>2021</v>
      </c>
      <c r="D116">
        <v>145.1</v>
      </c>
      <c r="E116">
        <v>198.5</v>
      </c>
      <c r="F116">
        <v>168.6</v>
      </c>
      <c r="G116">
        <v>155.80000000000001</v>
      </c>
      <c r="H116">
        <v>184.4</v>
      </c>
      <c r="I116">
        <v>162.30000000000001</v>
      </c>
      <c r="J116">
        <v>138.4</v>
      </c>
      <c r="K116">
        <v>165.1</v>
      </c>
      <c r="L116">
        <v>114.3</v>
      </c>
      <c r="M116">
        <v>169.7</v>
      </c>
      <c r="N116">
        <v>164.6</v>
      </c>
      <c r="O116">
        <v>169.8</v>
      </c>
      <c r="P116">
        <v>158.69999999999999</v>
      </c>
      <c r="Q116">
        <v>165.3</v>
      </c>
      <c r="R116">
        <v>160.6</v>
      </c>
      <c r="S116">
        <v>164.5</v>
      </c>
      <c r="T116">
        <v>139.5</v>
      </c>
      <c r="U116">
        <v>158.80000000000001</v>
      </c>
      <c r="V116">
        <v>169.1</v>
      </c>
      <c r="W116">
        <v>159.30000000000001</v>
      </c>
      <c r="X116">
        <v>153.19999999999999</v>
      </c>
      <c r="Y116">
        <v>160</v>
      </c>
      <c r="Z116">
        <v>189.6</v>
      </c>
      <c r="AA116">
        <v>161.69999999999999</v>
      </c>
      <c r="AB116">
        <v>167.6</v>
      </c>
      <c r="AC116">
        <v>161.1</v>
      </c>
      <c r="AD116">
        <v>161.1</v>
      </c>
      <c r="AE116">
        <f>SUM(Table1_1[[#This Row],[Cereals and products]:[Food and beverages]])</f>
        <v>2095.2999999999997</v>
      </c>
      <c r="AF116">
        <f>SUM(Table1_1[[#This Row],[Clothing and footwear]:[Clothing]])</f>
        <v>490.4</v>
      </c>
      <c r="AG116">
        <f>SUM(Table1_1[[#This Row],[Clothing]:[Education]])</f>
        <v>1949.2</v>
      </c>
      <c r="AH116">
        <f>SUM(Table1_1[[#This Row],[Health]:[Personal care and effects]])</f>
        <v>328.4</v>
      </c>
      <c r="AI116">
        <f>SUM(Table1_1[[#This Row],[Recreation and amusement]:[Miscellaneous]])</f>
        <v>840</v>
      </c>
      <c r="AJ116">
        <f>SUM(Table1_1[[#This Row],[Fuel and light]])</f>
        <v>161.69999999999999</v>
      </c>
      <c r="AK116">
        <f>SUM(Table1_1[[#This Row],[Food]:[Luxury &amp;Other Thing]])</f>
        <v>5703.2999999999993</v>
      </c>
      <c r="AL116">
        <f>SUM(Table1_1[[#This Row],[Food]:[Luxury &amp;Other Thing]])</f>
        <v>5703.2999999999993</v>
      </c>
    </row>
    <row r="117" spans="1:38" x14ac:dyDescent="0.25">
      <c r="A117" t="s">
        <v>33</v>
      </c>
      <c r="B117" t="s">
        <v>38</v>
      </c>
      <c r="C117">
        <v>2021</v>
      </c>
      <c r="D117">
        <v>148.80000000000001</v>
      </c>
      <c r="E117">
        <v>204.3</v>
      </c>
      <c r="F117">
        <v>173</v>
      </c>
      <c r="G117">
        <v>156.5</v>
      </c>
      <c r="H117">
        <v>168.8</v>
      </c>
      <c r="I117">
        <v>172.5</v>
      </c>
      <c r="J117">
        <v>166.5</v>
      </c>
      <c r="K117">
        <v>165.9</v>
      </c>
      <c r="L117">
        <v>115.9</v>
      </c>
      <c r="M117">
        <v>165.2</v>
      </c>
      <c r="N117">
        <v>152</v>
      </c>
      <c r="O117">
        <v>171.1</v>
      </c>
      <c r="P117">
        <v>164.2</v>
      </c>
      <c r="Q117">
        <v>156.5</v>
      </c>
      <c r="R117">
        <v>140.19999999999999</v>
      </c>
      <c r="S117">
        <v>154.1</v>
      </c>
      <c r="T117">
        <v>161.6</v>
      </c>
      <c r="U117">
        <v>150.1</v>
      </c>
      <c r="V117">
        <v>160.4</v>
      </c>
      <c r="W117">
        <v>157.5</v>
      </c>
      <c r="X117">
        <v>145</v>
      </c>
      <c r="Y117">
        <v>152.6</v>
      </c>
      <c r="Z117">
        <v>198.2</v>
      </c>
      <c r="AA117">
        <v>155.5</v>
      </c>
      <c r="AB117">
        <v>156.6</v>
      </c>
      <c r="AC117">
        <v>152.30000000000001</v>
      </c>
      <c r="AD117">
        <v>159.5</v>
      </c>
      <c r="AE117">
        <f>SUM(Table1_1[[#This Row],[Cereals and products]:[Food and beverages]])</f>
        <v>2124.7000000000003</v>
      </c>
      <c r="AF117">
        <f>SUM(Table1_1[[#This Row],[Clothing and footwear]:[Clothing]])</f>
        <v>450.79999999999995</v>
      </c>
      <c r="AG117">
        <f>SUM(Table1_1[[#This Row],[Clothing]:[Education]])</f>
        <v>1888.3</v>
      </c>
      <c r="AH117">
        <f>SUM(Table1_1[[#This Row],[Health]:[Personal care and effects]])</f>
        <v>317.89999999999998</v>
      </c>
      <c r="AI117">
        <f>SUM(Table1_1[[#This Row],[Recreation and amusement]:[Miscellaneous]])</f>
        <v>815.2</v>
      </c>
      <c r="AJ117">
        <f>SUM(Table1_1[[#This Row],[Fuel and light]])</f>
        <v>155.5</v>
      </c>
      <c r="AK117">
        <f>SUM(Table1_1[[#This Row],[Food]:[Luxury &amp;Other Thing]])</f>
        <v>5596.9</v>
      </c>
      <c r="AL117">
        <f>SUM(Table1_1[[#This Row],[Food]:[Luxury &amp;Other Thing]])</f>
        <v>5596.9</v>
      </c>
    </row>
    <row r="118" spans="1:38" x14ac:dyDescent="0.25">
      <c r="A118" t="s">
        <v>34</v>
      </c>
      <c r="B118" t="s">
        <v>38</v>
      </c>
      <c r="C118">
        <v>2021</v>
      </c>
      <c r="D118">
        <v>146.30000000000001</v>
      </c>
      <c r="E118">
        <v>200.5</v>
      </c>
      <c r="F118">
        <v>170.3</v>
      </c>
      <c r="G118">
        <v>156.1</v>
      </c>
      <c r="H118">
        <v>178.7</v>
      </c>
      <c r="I118">
        <v>167.1</v>
      </c>
      <c r="J118">
        <v>147.9</v>
      </c>
      <c r="K118">
        <v>165.4</v>
      </c>
      <c r="L118">
        <v>114.8</v>
      </c>
      <c r="M118">
        <v>168.2</v>
      </c>
      <c r="N118">
        <v>159.30000000000001</v>
      </c>
      <c r="O118">
        <v>170.4</v>
      </c>
      <c r="P118">
        <v>160.69999999999999</v>
      </c>
      <c r="Q118">
        <v>161.80000000000001</v>
      </c>
      <c r="R118">
        <v>152.1</v>
      </c>
      <c r="S118">
        <v>160.4</v>
      </c>
      <c r="T118">
        <v>161.6</v>
      </c>
      <c r="U118">
        <v>154.69999999999999</v>
      </c>
      <c r="V118">
        <v>165.8</v>
      </c>
      <c r="W118">
        <v>158.6</v>
      </c>
      <c r="X118">
        <v>148.9</v>
      </c>
      <c r="Y118">
        <v>155.80000000000001</v>
      </c>
      <c r="Z118">
        <v>191.9</v>
      </c>
      <c r="AA118">
        <v>159.4</v>
      </c>
      <c r="AB118">
        <v>161.19999999999999</v>
      </c>
      <c r="AC118">
        <v>156.80000000000001</v>
      </c>
      <c r="AD118">
        <v>160.4</v>
      </c>
      <c r="AE118">
        <f>SUM(Table1_1[[#This Row],[Cereals and products]:[Food and beverages]])</f>
        <v>2105.7000000000003</v>
      </c>
      <c r="AF118">
        <f>SUM(Table1_1[[#This Row],[Clothing and footwear]:[Clothing]])</f>
        <v>474.29999999999995</v>
      </c>
      <c r="AG118">
        <f>SUM(Table1_1[[#This Row],[Clothing]:[Education]])</f>
        <v>1932.2</v>
      </c>
      <c r="AH118">
        <f>SUM(Table1_1[[#This Row],[Health]:[Personal care and effects]])</f>
        <v>324.39999999999998</v>
      </c>
      <c r="AI118">
        <f>SUM(Table1_1[[#This Row],[Recreation and amusement]:[Miscellaneous]])</f>
        <v>825.09999999999991</v>
      </c>
      <c r="AJ118">
        <f>SUM(Table1_1[[#This Row],[Fuel and light]])</f>
        <v>159.4</v>
      </c>
      <c r="AK118">
        <f>SUM(Table1_1[[#This Row],[Food]:[Luxury &amp;Other Thing]])</f>
        <v>5661.6999999999989</v>
      </c>
      <c r="AL118">
        <f>SUM(Table1_1[[#This Row],[Food]:[Luxury &amp;Other Thing]])</f>
        <v>5661.6999999999989</v>
      </c>
    </row>
    <row r="119" spans="1:38" x14ac:dyDescent="0.25">
      <c r="A119" t="s">
        <v>30</v>
      </c>
      <c r="B119" t="s">
        <v>38</v>
      </c>
      <c r="C119">
        <v>2022</v>
      </c>
      <c r="D119">
        <v>152.9</v>
      </c>
      <c r="E119">
        <v>214.7</v>
      </c>
      <c r="F119">
        <v>161.4</v>
      </c>
      <c r="G119">
        <v>164.6</v>
      </c>
      <c r="H119">
        <v>209.9</v>
      </c>
      <c r="I119">
        <v>168</v>
      </c>
      <c r="J119">
        <v>160.4</v>
      </c>
      <c r="K119">
        <v>165</v>
      </c>
      <c r="L119">
        <v>118.9</v>
      </c>
      <c r="M119">
        <v>186.6</v>
      </c>
      <c r="N119">
        <v>173.2</v>
      </c>
      <c r="O119">
        <v>180.4</v>
      </c>
      <c r="P119">
        <v>170.8</v>
      </c>
      <c r="Q119">
        <v>179.3</v>
      </c>
      <c r="R119">
        <v>177.2</v>
      </c>
      <c r="S119">
        <v>179</v>
      </c>
      <c r="T119">
        <v>139.5</v>
      </c>
      <c r="U119">
        <v>168.9</v>
      </c>
      <c r="V119">
        <v>177.7</v>
      </c>
      <c r="W119">
        <v>168.5</v>
      </c>
      <c r="X119">
        <v>167.1</v>
      </c>
      <c r="Y119">
        <v>167.6</v>
      </c>
      <c r="Z119">
        <v>192.9</v>
      </c>
      <c r="AA119">
        <v>175.3</v>
      </c>
      <c r="AB119">
        <v>171.8</v>
      </c>
      <c r="AC119">
        <v>170.9</v>
      </c>
      <c r="AD119">
        <v>172.5</v>
      </c>
      <c r="AE119">
        <f>SUM(Table1_1[[#This Row],[Cereals and products]:[Food and beverages]])</f>
        <v>2226.8000000000002</v>
      </c>
      <c r="AF119">
        <f>SUM(Table1_1[[#This Row],[Clothing and footwear]:[Clothing]])</f>
        <v>535.5</v>
      </c>
      <c r="AG119">
        <f>SUM(Table1_1[[#This Row],[Clothing]:[Education]])</f>
        <v>2064.7999999999997</v>
      </c>
      <c r="AH119">
        <f>SUM(Table1_1[[#This Row],[Health]:[Personal care and effects]])</f>
        <v>346.2</v>
      </c>
      <c r="AI119">
        <f>SUM(Table1_1[[#This Row],[Recreation and amusement]:[Miscellaneous]])</f>
        <v>878.49999999999989</v>
      </c>
      <c r="AJ119">
        <f>SUM(Table1_1[[#This Row],[Fuel and light]])</f>
        <v>175.3</v>
      </c>
      <c r="AK119">
        <f>SUM(Table1_1[[#This Row],[Food]:[Luxury &amp;Other Thing]])</f>
        <v>6051.8</v>
      </c>
      <c r="AL119">
        <f>SUM(Table1_1[[#This Row],[Food]:[Luxury &amp;Other Thing]])</f>
        <v>6051.8</v>
      </c>
    </row>
    <row r="120" spans="1:38" x14ac:dyDescent="0.25">
      <c r="A120" t="s">
        <v>33</v>
      </c>
      <c r="B120" t="s">
        <v>38</v>
      </c>
      <c r="C120">
        <v>2022</v>
      </c>
      <c r="D120">
        <v>156.69999999999999</v>
      </c>
      <c r="E120">
        <v>221.2</v>
      </c>
      <c r="F120">
        <v>164.1</v>
      </c>
      <c r="G120">
        <v>165.4</v>
      </c>
      <c r="H120">
        <v>189.5</v>
      </c>
      <c r="I120">
        <v>174.5</v>
      </c>
      <c r="J120">
        <v>203.2</v>
      </c>
      <c r="K120">
        <v>164.1</v>
      </c>
      <c r="L120">
        <v>121.2</v>
      </c>
      <c r="M120">
        <v>181.4</v>
      </c>
      <c r="N120">
        <v>158.5</v>
      </c>
      <c r="O120">
        <v>184.9</v>
      </c>
      <c r="P120">
        <v>177.5</v>
      </c>
      <c r="Q120">
        <v>170</v>
      </c>
      <c r="R120">
        <v>155.9</v>
      </c>
      <c r="S120">
        <v>167.8</v>
      </c>
      <c r="T120">
        <v>167.5</v>
      </c>
      <c r="U120">
        <v>161.1</v>
      </c>
      <c r="V120">
        <v>170.1</v>
      </c>
      <c r="W120">
        <v>168.2</v>
      </c>
      <c r="X120">
        <v>159.4</v>
      </c>
      <c r="Y120">
        <v>163.19999999999999</v>
      </c>
      <c r="Z120">
        <v>197.5</v>
      </c>
      <c r="AA120">
        <v>173.5</v>
      </c>
      <c r="AB120">
        <v>165.2</v>
      </c>
      <c r="AC120">
        <v>163.80000000000001</v>
      </c>
      <c r="AD120">
        <v>170.8</v>
      </c>
      <c r="AE120">
        <f>SUM(Table1_1[[#This Row],[Cereals and products]:[Food and beverages]])</f>
        <v>2262.2000000000003</v>
      </c>
      <c r="AF120">
        <f>SUM(Table1_1[[#This Row],[Clothing and footwear]:[Clothing]])</f>
        <v>493.7</v>
      </c>
      <c r="AG120">
        <f>SUM(Table1_1[[#This Row],[Clothing]:[Education]])</f>
        <v>2019.4000000000003</v>
      </c>
      <c r="AH120">
        <f>SUM(Table1_1[[#This Row],[Health]:[Personal care and effects]])</f>
        <v>338.29999999999995</v>
      </c>
      <c r="AI120">
        <f>SUM(Table1_1[[#This Row],[Recreation and amusement]:[Miscellaneous]])</f>
        <v>863.2</v>
      </c>
      <c r="AJ120">
        <f>SUM(Table1_1[[#This Row],[Fuel and light]])</f>
        <v>173.5</v>
      </c>
      <c r="AK120">
        <f>SUM(Table1_1[[#This Row],[Food]:[Luxury &amp;Other Thing]])</f>
        <v>5976.8</v>
      </c>
      <c r="AL120">
        <f>SUM(Table1_1[[#This Row],[Food]:[Luxury &amp;Other Thing]])</f>
        <v>5976.8</v>
      </c>
    </row>
    <row r="121" spans="1:38" x14ac:dyDescent="0.25">
      <c r="A121" t="s">
        <v>34</v>
      </c>
      <c r="B121" t="s">
        <v>38</v>
      </c>
      <c r="C121">
        <v>2022</v>
      </c>
      <c r="D121">
        <v>154.1</v>
      </c>
      <c r="E121">
        <v>217</v>
      </c>
      <c r="F121">
        <v>162.4</v>
      </c>
      <c r="G121">
        <v>164.9</v>
      </c>
      <c r="H121">
        <v>202.4</v>
      </c>
      <c r="I121">
        <v>171</v>
      </c>
      <c r="J121">
        <v>174.9</v>
      </c>
      <c r="K121">
        <v>164.7</v>
      </c>
      <c r="L121">
        <v>119.7</v>
      </c>
      <c r="M121">
        <v>184.9</v>
      </c>
      <c r="N121">
        <v>167.1</v>
      </c>
      <c r="O121">
        <v>182.5</v>
      </c>
      <c r="P121">
        <v>173.3</v>
      </c>
      <c r="Q121">
        <v>175.6</v>
      </c>
      <c r="R121">
        <v>168.4</v>
      </c>
      <c r="S121">
        <v>174.6</v>
      </c>
      <c r="T121">
        <v>167.5</v>
      </c>
      <c r="U121">
        <v>165.2</v>
      </c>
      <c r="V121">
        <v>174.8</v>
      </c>
      <c r="W121">
        <v>168.4</v>
      </c>
      <c r="X121">
        <v>163</v>
      </c>
      <c r="Y121">
        <v>165.1</v>
      </c>
      <c r="Z121">
        <v>194.1</v>
      </c>
      <c r="AA121">
        <v>174.6</v>
      </c>
      <c r="AB121">
        <v>167.9</v>
      </c>
      <c r="AC121">
        <v>167.5</v>
      </c>
      <c r="AD121">
        <v>171.7</v>
      </c>
      <c r="AE121">
        <f>SUM(Table1_1[[#This Row],[Cereals and products]:[Food and beverages]])</f>
        <v>2238.9000000000005</v>
      </c>
      <c r="AF121">
        <f>SUM(Table1_1[[#This Row],[Clothing and footwear]:[Clothing]])</f>
        <v>518.6</v>
      </c>
      <c r="AG121">
        <f>SUM(Table1_1[[#This Row],[Clothing]:[Education]])</f>
        <v>2059.1999999999998</v>
      </c>
      <c r="AH121">
        <f>SUM(Table1_1[[#This Row],[Health]:[Personal care and effects]])</f>
        <v>343.20000000000005</v>
      </c>
      <c r="AI121">
        <f>SUM(Table1_1[[#This Row],[Recreation and amusement]:[Miscellaneous]])</f>
        <v>869.19999999999993</v>
      </c>
      <c r="AJ121">
        <f>SUM(Table1_1[[#This Row],[Fuel and light]])</f>
        <v>174.6</v>
      </c>
      <c r="AK121">
        <f>SUM(Table1_1[[#This Row],[Food]:[Luxury &amp;Other Thing]])</f>
        <v>6029.1</v>
      </c>
      <c r="AL121">
        <f>SUM(Table1_1[[#This Row],[Food]:[Luxury &amp;Other Thing]])</f>
        <v>6029.1</v>
      </c>
    </row>
    <row r="122" spans="1:38" x14ac:dyDescent="0.25">
      <c r="A122" t="s">
        <v>30</v>
      </c>
      <c r="B122" t="s">
        <v>38</v>
      </c>
      <c r="C122">
        <v>2023</v>
      </c>
      <c r="D122">
        <v>173.2</v>
      </c>
      <c r="E122">
        <v>211.5</v>
      </c>
      <c r="F122">
        <v>171</v>
      </c>
      <c r="G122">
        <v>179.6</v>
      </c>
      <c r="H122">
        <v>173.3</v>
      </c>
      <c r="I122">
        <v>169</v>
      </c>
      <c r="J122">
        <v>148.69999999999999</v>
      </c>
      <c r="K122">
        <v>174.9</v>
      </c>
      <c r="L122">
        <v>121.9</v>
      </c>
      <c r="M122">
        <v>221</v>
      </c>
      <c r="N122">
        <v>178.7</v>
      </c>
      <c r="O122">
        <v>191.1</v>
      </c>
      <c r="P122">
        <v>176.8</v>
      </c>
      <c r="Q122">
        <v>191.2</v>
      </c>
      <c r="R122">
        <v>187.9</v>
      </c>
      <c r="S122">
        <v>190.8</v>
      </c>
      <c r="T122">
        <v>139.5</v>
      </c>
      <c r="U122">
        <v>179.8</v>
      </c>
      <c r="V122">
        <v>187.8</v>
      </c>
      <c r="W122">
        <v>184.9</v>
      </c>
      <c r="X122">
        <v>169.7</v>
      </c>
      <c r="Y122">
        <v>173.8</v>
      </c>
      <c r="Z122">
        <v>199.9</v>
      </c>
      <c r="AA122">
        <v>182.5</v>
      </c>
      <c r="AB122">
        <v>180.3</v>
      </c>
      <c r="AC122">
        <v>179.5</v>
      </c>
      <c r="AD122">
        <v>179.8</v>
      </c>
      <c r="AE122">
        <f>SUM(Table1_1[[#This Row],[Cereals and products]:[Food and beverages]])</f>
        <v>2290.7000000000007</v>
      </c>
      <c r="AF122">
        <f>SUM(Table1_1[[#This Row],[Clothing and footwear]:[Clothing]])</f>
        <v>569.90000000000009</v>
      </c>
      <c r="AG122">
        <f>SUM(Table1_1[[#This Row],[Clothing]:[Education]])</f>
        <v>2168.1000000000004</v>
      </c>
      <c r="AH122">
        <f>SUM(Table1_1[[#This Row],[Health]:[Personal care and effects]])</f>
        <v>372.70000000000005</v>
      </c>
      <c r="AI122">
        <f>SUM(Table1_1[[#This Row],[Recreation and amusement]:[Miscellaneous]])</f>
        <v>916</v>
      </c>
      <c r="AJ122">
        <f>SUM(Table1_1[[#This Row],[Fuel and light]])</f>
        <v>182.5</v>
      </c>
      <c r="AK122">
        <f>SUM(Table1_1[[#This Row],[Food]:[Luxury &amp;Other Thing]])</f>
        <v>6317.4000000000005</v>
      </c>
      <c r="AL122">
        <f>SUM(Table1_1[[#This Row],[Food]:[Luxury &amp;Other Thing]])</f>
        <v>6317.4000000000005</v>
      </c>
    </row>
    <row r="123" spans="1:38" x14ac:dyDescent="0.25">
      <c r="A123" t="s">
        <v>33</v>
      </c>
      <c r="B123" t="s">
        <v>38</v>
      </c>
      <c r="C123">
        <v>2023</v>
      </c>
      <c r="D123">
        <v>174.7</v>
      </c>
      <c r="E123">
        <v>219.4</v>
      </c>
      <c r="F123">
        <v>176.7</v>
      </c>
      <c r="G123">
        <v>179.4</v>
      </c>
      <c r="H123">
        <v>164.4</v>
      </c>
      <c r="I123">
        <v>175.8</v>
      </c>
      <c r="J123">
        <v>185</v>
      </c>
      <c r="K123">
        <v>176.9</v>
      </c>
      <c r="L123">
        <v>124.2</v>
      </c>
      <c r="M123">
        <v>211.9</v>
      </c>
      <c r="N123">
        <v>165.9</v>
      </c>
      <c r="O123">
        <v>197.7</v>
      </c>
      <c r="P123">
        <v>183.1</v>
      </c>
      <c r="Q123">
        <v>181.3</v>
      </c>
      <c r="R123">
        <v>168.1</v>
      </c>
      <c r="S123">
        <v>179.3</v>
      </c>
      <c r="T123">
        <v>175.6</v>
      </c>
      <c r="U123">
        <v>170.1</v>
      </c>
      <c r="V123">
        <v>182.2</v>
      </c>
      <c r="W123">
        <v>185.6</v>
      </c>
      <c r="X123">
        <v>160.4</v>
      </c>
      <c r="Y123">
        <v>169.2</v>
      </c>
      <c r="Z123">
        <v>204.2</v>
      </c>
      <c r="AA123">
        <v>183.4</v>
      </c>
      <c r="AB123">
        <v>174.8</v>
      </c>
      <c r="AC123">
        <v>171.6</v>
      </c>
      <c r="AD123">
        <v>178.2</v>
      </c>
      <c r="AE123">
        <f>SUM(Table1_1[[#This Row],[Cereals and products]:[Food and beverages]])</f>
        <v>2335.1</v>
      </c>
      <c r="AF123">
        <f>SUM(Table1_1[[#This Row],[Clothing and footwear]:[Clothing]])</f>
        <v>528.70000000000005</v>
      </c>
      <c r="AG123">
        <f>SUM(Table1_1[[#This Row],[Clothing]:[Education]])</f>
        <v>2134.2000000000003</v>
      </c>
      <c r="AH123">
        <f>SUM(Table1_1[[#This Row],[Health]:[Personal care and effects]])</f>
        <v>367.79999999999995</v>
      </c>
      <c r="AI123">
        <f>SUM(Table1_1[[#This Row],[Recreation and amusement]:[Miscellaneous]])</f>
        <v>903.19999999999993</v>
      </c>
      <c r="AJ123">
        <f>SUM(Table1_1[[#This Row],[Fuel and light]])</f>
        <v>183.4</v>
      </c>
      <c r="AK123">
        <f>SUM(Table1_1[[#This Row],[Food]:[Luxury &amp;Other Thing]])</f>
        <v>6269</v>
      </c>
      <c r="AL123">
        <f>SUM(Table1_1[[#This Row],[Food]:[Luxury &amp;Other Thing]])</f>
        <v>6269</v>
      </c>
    </row>
    <row r="124" spans="1:38" x14ac:dyDescent="0.25">
      <c r="A124" t="s">
        <v>34</v>
      </c>
      <c r="B124" t="s">
        <v>38</v>
      </c>
      <c r="C124">
        <v>2023</v>
      </c>
      <c r="D124">
        <v>173.7</v>
      </c>
      <c r="E124">
        <v>214.3</v>
      </c>
      <c r="F124">
        <v>173.2</v>
      </c>
      <c r="G124">
        <v>179.5</v>
      </c>
      <c r="H124">
        <v>170</v>
      </c>
      <c r="I124">
        <v>172.2</v>
      </c>
      <c r="J124">
        <v>161</v>
      </c>
      <c r="K124">
        <v>175.6</v>
      </c>
      <c r="L124">
        <v>122.7</v>
      </c>
      <c r="M124">
        <v>218</v>
      </c>
      <c r="N124">
        <v>173.4</v>
      </c>
      <c r="O124">
        <v>194.2</v>
      </c>
      <c r="P124">
        <v>179.1</v>
      </c>
      <c r="Q124">
        <v>187.3</v>
      </c>
      <c r="R124">
        <v>179.7</v>
      </c>
      <c r="S124">
        <v>186.2</v>
      </c>
      <c r="T124">
        <v>175.6</v>
      </c>
      <c r="U124">
        <v>175.2</v>
      </c>
      <c r="V124">
        <v>185.7</v>
      </c>
      <c r="W124">
        <v>185.2</v>
      </c>
      <c r="X124">
        <v>164.8</v>
      </c>
      <c r="Y124">
        <v>171.2</v>
      </c>
      <c r="Z124">
        <v>201</v>
      </c>
      <c r="AA124">
        <v>182.8</v>
      </c>
      <c r="AB124">
        <v>177.1</v>
      </c>
      <c r="AC124">
        <v>175.7</v>
      </c>
      <c r="AD124">
        <v>179.1</v>
      </c>
      <c r="AE124">
        <f>SUM(Table1_1[[#This Row],[Cereals and products]:[Food and beverages]])</f>
        <v>2306.9</v>
      </c>
      <c r="AF124">
        <f>SUM(Table1_1[[#This Row],[Clothing and footwear]:[Clothing]])</f>
        <v>553.20000000000005</v>
      </c>
      <c r="AG124">
        <f>SUM(Table1_1[[#This Row],[Clothing]:[Education]])</f>
        <v>2171.8000000000002</v>
      </c>
      <c r="AH124">
        <f>SUM(Table1_1[[#This Row],[Health]:[Personal care and effects]])</f>
        <v>370.9</v>
      </c>
      <c r="AI124">
        <f>SUM(Table1_1[[#This Row],[Recreation and amusement]:[Miscellaneous]])</f>
        <v>907.8</v>
      </c>
      <c r="AJ124">
        <f>SUM(Table1_1[[#This Row],[Fuel and light]])</f>
        <v>182.8</v>
      </c>
      <c r="AK124">
        <f>SUM(Table1_1[[#This Row],[Food]:[Luxury &amp;Other Thing]])</f>
        <v>6310.6</v>
      </c>
      <c r="AL124">
        <f>SUM(Table1_1[[#This Row],[Food]:[Luxury &amp;Other Thing]])</f>
        <v>6310.6</v>
      </c>
    </row>
    <row r="125" spans="1:38" x14ac:dyDescent="0.25">
      <c r="A125" t="s">
        <v>30</v>
      </c>
      <c r="B125" t="s">
        <v>36</v>
      </c>
      <c r="C125">
        <v>2013</v>
      </c>
      <c r="D125">
        <v>110.2</v>
      </c>
      <c r="E125">
        <v>108.8</v>
      </c>
      <c r="F125">
        <v>109.9</v>
      </c>
      <c r="G125">
        <v>105.6</v>
      </c>
      <c r="H125">
        <v>106.2</v>
      </c>
      <c r="I125">
        <v>105.7</v>
      </c>
      <c r="J125">
        <v>101.4</v>
      </c>
      <c r="K125">
        <v>105.7</v>
      </c>
      <c r="L125">
        <v>105</v>
      </c>
      <c r="M125">
        <v>103.3</v>
      </c>
      <c r="N125">
        <v>105.6</v>
      </c>
      <c r="O125">
        <v>108.2</v>
      </c>
      <c r="P125">
        <v>106.6</v>
      </c>
      <c r="Q125">
        <v>107.6</v>
      </c>
      <c r="R125">
        <v>106.8</v>
      </c>
      <c r="S125">
        <v>107.5</v>
      </c>
      <c r="T125">
        <v>139.5</v>
      </c>
      <c r="U125">
        <v>105.6</v>
      </c>
      <c r="V125">
        <v>104.7</v>
      </c>
      <c r="W125">
        <v>104.3</v>
      </c>
      <c r="X125">
        <v>104.6</v>
      </c>
      <c r="Y125">
        <v>104</v>
      </c>
      <c r="Z125">
        <v>106.5</v>
      </c>
      <c r="AA125">
        <v>106.1</v>
      </c>
      <c r="AB125">
        <v>104.3</v>
      </c>
      <c r="AC125">
        <v>104.6</v>
      </c>
      <c r="AD125">
        <v>106</v>
      </c>
      <c r="AE125">
        <f>SUM(Table1_1[[#This Row],[Cereals and products]:[Food and beverages]])</f>
        <v>1382.2</v>
      </c>
      <c r="AF125">
        <f>SUM(Table1_1[[#This Row],[Clothing and footwear]:[Clothing]])</f>
        <v>321.89999999999998</v>
      </c>
      <c r="AG125">
        <f>SUM(Table1_1[[#This Row],[Clothing]:[Education]])</f>
        <v>1301.4999999999998</v>
      </c>
      <c r="AH125">
        <f>SUM(Table1_1[[#This Row],[Health]:[Personal care and effects]])</f>
        <v>209</v>
      </c>
      <c r="AI125">
        <f>SUM(Table1_1[[#This Row],[Recreation and amusement]:[Miscellaneous]])</f>
        <v>525.5</v>
      </c>
      <c r="AJ125">
        <f>SUM(Table1_1[[#This Row],[Fuel and light]])</f>
        <v>106.1</v>
      </c>
      <c r="AK125">
        <f>SUM(Table1_1[[#This Row],[Food]:[Luxury &amp;Other Thing]])</f>
        <v>3740.0999999999995</v>
      </c>
      <c r="AL125">
        <f>SUM(Table1_1[[#This Row],[Food]:[Luxury &amp;Other Thing]])</f>
        <v>3740.0999999999995</v>
      </c>
    </row>
    <row r="126" spans="1:38" x14ac:dyDescent="0.25">
      <c r="A126" t="s">
        <v>33</v>
      </c>
      <c r="B126" t="s">
        <v>36</v>
      </c>
      <c r="C126">
        <v>2013</v>
      </c>
      <c r="D126">
        <v>113.9</v>
      </c>
      <c r="E126">
        <v>111.4</v>
      </c>
      <c r="F126">
        <v>113.2</v>
      </c>
      <c r="G126">
        <v>104.3</v>
      </c>
      <c r="H126">
        <v>102.7</v>
      </c>
      <c r="I126">
        <v>104.9</v>
      </c>
      <c r="J126">
        <v>103.8</v>
      </c>
      <c r="K126">
        <v>103.5</v>
      </c>
      <c r="L126">
        <v>102.6</v>
      </c>
      <c r="M126">
        <v>102.4</v>
      </c>
      <c r="N126">
        <v>107</v>
      </c>
      <c r="O126">
        <v>109.8</v>
      </c>
      <c r="P126">
        <v>107.3</v>
      </c>
      <c r="Q126">
        <v>107.2</v>
      </c>
      <c r="R126">
        <v>106</v>
      </c>
      <c r="S126">
        <v>107</v>
      </c>
      <c r="T126">
        <v>100.4</v>
      </c>
      <c r="U126">
        <v>105.7</v>
      </c>
      <c r="V126">
        <v>105.2</v>
      </c>
      <c r="W126">
        <v>104.2</v>
      </c>
      <c r="X126">
        <v>105.5</v>
      </c>
      <c r="Y126">
        <v>103.5</v>
      </c>
      <c r="Z126">
        <v>106.8</v>
      </c>
      <c r="AA126">
        <v>106</v>
      </c>
      <c r="AB126">
        <v>103.8</v>
      </c>
      <c r="AC126">
        <v>104.9</v>
      </c>
      <c r="AD126">
        <v>105</v>
      </c>
      <c r="AE126">
        <f>SUM(Table1_1[[#This Row],[Cereals and products]:[Food and beverages]])</f>
        <v>1386.8</v>
      </c>
      <c r="AF126">
        <f>SUM(Table1_1[[#This Row],[Clothing and footwear]:[Clothing]])</f>
        <v>320.2</v>
      </c>
      <c r="AG126">
        <f>SUM(Table1_1[[#This Row],[Clothing]:[Education]])</f>
        <v>1261.3000000000002</v>
      </c>
      <c r="AH126">
        <f>SUM(Table1_1[[#This Row],[Health]:[Personal care and effects]])</f>
        <v>209.4</v>
      </c>
      <c r="AI126">
        <f>SUM(Table1_1[[#This Row],[Recreation and amusement]:[Miscellaneous]])</f>
        <v>525</v>
      </c>
      <c r="AJ126">
        <f>SUM(Table1_1[[#This Row],[Fuel and light]])</f>
        <v>106</v>
      </c>
      <c r="AK126">
        <f>SUM(Table1_1[[#This Row],[Food]:[Luxury &amp;Other Thing]])</f>
        <v>3702.7000000000003</v>
      </c>
      <c r="AL126">
        <f>SUM(Table1_1[[#This Row],[Food]:[Luxury &amp;Other Thing]])</f>
        <v>3702.7000000000003</v>
      </c>
    </row>
    <row r="127" spans="1:38" x14ac:dyDescent="0.25">
      <c r="A127" t="s">
        <v>34</v>
      </c>
      <c r="B127" t="s">
        <v>36</v>
      </c>
      <c r="C127">
        <v>2013</v>
      </c>
      <c r="D127">
        <v>111.4</v>
      </c>
      <c r="E127">
        <v>109.7</v>
      </c>
      <c r="F127">
        <v>111.2</v>
      </c>
      <c r="G127">
        <v>105.1</v>
      </c>
      <c r="H127">
        <v>104.9</v>
      </c>
      <c r="I127">
        <v>105.3</v>
      </c>
      <c r="J127">
        <v>102.2</v>
      </c>
      <c r="K127">
        <v>105</v>
      </c>
      <c r="L127">
        <v>104.2</v>
      </c>
      <c r="M127">
        <v>103</v>
      </c>
      <c r="N127">
        <v>106.2</v>
      </c>
      <c r="O127">
        <v>108.9</v>
      </c>
      <c r="P127">
        <v>106.9</v>
      </c>
      <c r="Q127">
        <v>107.4</v>
      </c>
      <c r="R127">
        <v>106.5</v>
      </c>
      <c r="S127">
        <v>107.3</v>
      </c>
      <c r="T127">
        <v>100.4</v>
      </c>
      <c r="U127">
        <v>105.6</v>
      </c>
      <c r="V127">
        <v>104.9</v>
      </c>
      <c r="W127">
        <v>104.3</v>
      </c>
      <c r="X127">
        <v>105.1</v>
      </c>
      <c r="Y127">
        <v>103.7</v>
      </c>
      <c r="Z127">
        <v>106.6</v>
      </c>
      <c r="AA127">
        <v>106.1</v>
      </c>
      <c r="AB127">
        <v>104</v>
      </c>
      <c r="AC127">
        <v>104.7</v>
      </c>
      <c r="AD127">
        <v>105.5</v>
      </c>
      <c r="AE127">
        <f>SUM(Table1_1[[#This Row],[Cereals and products]:[Food and beverages]])</f>
        <v>1384.0000000000002</v>
      </c>
      <c r="AF127">
        <f>SUM(Table1_1[[#This Row],[Clothing and footwear]:[Clothing]])</f>
        <v>321.2</v>
      </c>
      <c r="AG127">
        <f>SUM(Table1_1[[#This Row],[Clothing]:[Education]])</f>
        <v>1261.8999999999999</v>
      </c>
      <c r="AH127">
        <f>SUM(Table1_1[[#This Row],[Health]:[Personal care and effects]])</f>
        <v>209.2</v>
      </c>
      <c r="AI127">
        <f>SUM(Table1_1[[#This Row],[Recreation and amusement]:[Miscellaneous]])</f>
        <v>525.1</v>
      </c>
      <c r="AJ127">
        <f>SUM(Table1_1[[#This Row],[Fuel and light]])</f>
        <v>106.1</v>
      </c>
      <c r="AK127">
        <f>SUM(Table1_1[[#This Row],[Food]:[Luxury &amp;Other Thing]])</f>
        <v>3701.4</v>
      </c>
      <c r="AL127">
        <f>SUM(Table1_1[[#This Row],[Food]:[Luxury &amp;Other Thing]])</f>
        <v>3701.4</v>
      </c>
    </row>
    <row r="128" spans="1:38" x14ac:dyDescent="0.25">
      <c r="A128" t="s">
        <v>30</v>
      </c>
      <c r="B128" t="s">
        <v>36</v>
      </c>
      <c r="C128">
        <v>2014</v>
      </c>
      <c r="D128">
        <v>120.1</v>
      </c>
      <c r="E128">
        <v>118.1</v>
      </c>
      <c r="F128">
        <v>120.7</v>
      </c>
      <c r="G128">
        <v>116.1</v>
      </c>
      <c r="H128">
        <v>109.3</v>
      </c>
      <c r="I128">
        <v>119.6</v>
      </c>
      <c r="J128">
        <v>117.9</v>
      </c>
      <c r="K128">
        <v>110.2</v>
      </c>
      <c r="L128">
        <v>101.2</v>
      </c>
      <c r="M128">
        <v>110.7</v>
      </c>
      <c r="N128">
        <v>113</v>
      </c>
      <c r="O128">
        <v>118.3</v>
      </c>
      <c r="P128">
        <v>116.2</v>
      </c>
      <c r="Q128">
        <v>117.5</v>
      </c>
      <c r="R128">
        <v>114.9</v>
      </c>
      <c r="S128">
        <v>117.2</v>
      </c>
      <c r="T128">
        <v>139.5</v>
      </c>
      <c r="U128">
        <v>113.4</v>
      </c>
      <c r="V128">
        <v>111.4</v>
      </c>
      <c r="W128">
        <v>108.9</v>
      </c>
      <c r="X128">
        <v>111.2</v>
      </c>
      <c r="Y128">
        <v>110.2</v>
      </c>
      <c r="Z128">
        <v>114.6</v>
      </c>
      <c r="AA128">
        <v>113.4</v>
      </c>
      <c r="AB128">
        <v>112.4</v>
      </c>
      <c r="AC128">
        <v>111.3</v>
      </c>
      <c r="AD128">
        <v>114.6</v>
      </c>
      <c r="AE128">
        <f>SUM(Table1_1[[#This Row],[Cereals and products]:[Food and beverages]])</f>
        <v>1491.4</v>
      </c>
      <c r="AF128">
        <f>SUM(Table1_1[[#This Row],[Clothing and footwear]:[Clothing]])</f>
        <v>349.6</v>
      </c>
      <c r="AG128">
        <f>SUM(Table1_1[[#This Row],[Clothing]:[Education]])</f>
        <v>1384.6000000000001</v>
      </c>
      <c r="AH128">
        <f>SUM(Table1_1[[#This Row],[Health]:[Personal care and effects]])</f>
        <v>220.3</v>
      </c>
      <c r="AI128">
        <f>SUM(Table1_1[[#This Row],[Recreation and amusement]:[Miscellaneous]])</f>
        <v>561.9</v>
      </c>
      <c r="AJ128">
        <f>SUM(Table1_1[[#This Row],[Fuel and light]])</f>
        <v>113.4</v>
      </c>
      <c r="AK128">
        <f>SUM(Table1_1[[#This Row],[Food]:[Luxury &amp;Other Thing]])</f>
        <v>4007.8000000000006</v>
      </c>
      <c r="AL128">
        <f>SUM(Table1_1[[#This Row],[Food]:[Luxury &amp;Other Thing]])</f>
        <v>4007.8000000000006</v>
      </c>
    </row>
    <row r="129" spans="1:38" x14ac:dyDescent="0.25">
      <c r="A129" t="s">
        <v>33</v>
      </c>
      <c r="B129" t="s">
        <v>36</v>
      </c>
      <c r="C129">
        <v>2014</v>
      </c>
      <c r="D129">
        <v>122.1</v>
      </c>
      <c r="E129">
        <v>121.4</v>
      </c>
      <c r="F129">
        <v>121.5</v>
      </c>
      <c r="G129">
        <v>116.2</v>
      </c>
      <c r="H129">
        <v>102.8</v>
      </c>
      <c r="I129">
        <v>117.7</v>
      </c>
      <c r="J129">
        <v>113.3</v>
      </c>
      <c r="K129">
        <v>108.9</v>
      </c>
      <c r="L129">
        <v>96.3</v>
      </c>
      <c r="M129">
        <v>114.1</v>
      </c>
      <c r="N129">
        <v>112.2</v>
      </c>
      <c r="O129">
        <v>120.5</v>
      </c>
      <c r="P129">
        <v>116</v>
      </c>
      <c r="Q129">
        <v>115.8</v>
      </c>
      <c r="R129">
        <v>112.1</v>
      </c>
      <c r="S129">
        <v>115.2</v>
      </c>
      <c r="T129">
        <v>113.2</v>
      </c>
      <c r="U129">
        <v>113</v>
      </c>
      <c r="V129">
        <v>110.8</v>
      </c>
      <c r="W129">
        <v>109.2</v>
      </c>
      <c r="X129">
        <v>111.6</v>
      </c>
      <c r="Y129">
        <v>110.9</v>
      </c>
      <c r="Z129">
        <v>116.7</v>
      </c>
      <c r="AA129">
        <v>110.9</v>
      </c>
      <c r="AB129">
        <v>111.8</v>
      </c>
      <c r="AC129">
        <v>111.4</v>
      </c>
      <c r="AD129">
        <v>113.7</v>
      </c>
      <c r="AE129">
        <f>SUM(Table1_1[[#This Row],[Cereals and products]:[Food and beverages]])</f>
        <v>1483</v>
      </c>
      <c r="AF129">
        <f>SUM(Table1_1[[#This Row],[Clothing and footwear]:[Clothing]])</f>
        <v>343.09999999999997</v>
      </c>
      <c r="AG129">
        <f>SUM(Table1_1[[#This Row],[Clothing]:[Education]])</f>
        <v>1351.2</v>
      </c>
      <c r="AH129">
        <f>SUM(Table1_1[[#This Row],[Health]:[Personal care and effects]])</f>
        <v>220</v>
      </c>
      <c r="AI129">
        <f>SUM(Table1_1[[#This Row],[Recreation and amusement]:[Miscellaneous]])</f>
        <v>561.70000000000005</v>
      </c>
      <c r="AJ129">
        <f>SUM(Table1_1[[#This Row],[Fuel and light]])</f>
        <v>110.9</v>
      </c>
      <c r="AK129">
        <f>SUM(Table1_1[[#This Row],[Food]:[Luxury &amp;Other Thing]])</f>
        <v>3959</v>
      </c>
      <c r="AL129">
        <f>SUM(Table1_1[[#This Row],[Food]:[Luxury &amp;Other Thing]])</f>
        <v>3959</v>
      </c>
    </row>
    <row r="130" spans="1:38" x14ac:dyDescent="0.25">
      <c r="A130" t="s">
        <v>34</v>
      </c>
      <c r="B130" t="s">
        <v>36</v>
      </c>
      <c r="C130">
        <v>2014</v>
      </c>
      <c r="D130">
        <v>120.7</v>
      </c>
      <c r="E130">
        <v>119.3</v>
      </c>
      <c r="F130">
        <v>121</v>
      </c>
      <c r="G130">
        <v>116.1</v>
      </c>
      <c r="H130">
        <v>106.9</v>
      </c>
      <c r="I130">
        <v>118.7</v>
      </c>
      <c r="J130">
        <v>116.3</v>
      </c>
      <c r="K130">
        <v>109.8</v>
      </c>
      <c r="L130">
        <v>99.6</v>
      </c>
      <c r="M130">
        <v>111.8</v>
      </c>
      <c r="N130">
        <v>112.7</v>
      </c>
      <c r="O130">
        <v>119.3</v>
      </c>
      <c r="P130">
        <v>116.1</v>
      </c>
      <c r="Q130">
        <v>116.8</v>
      </c>
      <c r="R130">
        <v>113.7</v>
      </c>
      <c r="S130">
        <v>116.4</v>
      </c>
      <c r="T130">
        <v>113.2</v>
      </c>
      <c r="U130">
        <v>113.2</v>
      </c>
      <c r="V130">
        <v>111.2</v>
      </c>
      <c r="W130">
        <v>109</v>
      </c>
      <c r="X130">
        <v>111.4</v>
      </c>
      <c r="Y130">
        <v>110.6</v>
      </c>
      <c r="Z130">
        <v>115.2</v>
      </c>
      <c r="AA130">
        <v>112.5</v>
      </c>
      <c r="AB130">
        <v>112</v>
      </c>
      <c r="AC130">
        <v>111.3</v>
      </c>
      <c r="AD130">
        <v>114.2</v>
      </c>
      <c r="AE130">
        <f>SUM(Table1_1[[#This Row],[Cereals and products]:[Food and beverages]])</f>
        <v>1488.2999999999997</v>
      </c>
      <c r="AF130">
        <f>SUM(Table1_1[[#This Row],[Clothing and footwear]:[Clothing]])</f>
        <v>346.9</v>
      </c>
      <c r="AG130">
        <f>SUM(Table1_1[[#This Row],[Clothing]:[Education]])</f>
        <v>1355.2</v>
      </c>
      <c r="AH130">
        <f>SUM(Table1_1[[#This Row],[Health]:[Personal care and effects]])</f>
        <v>220.2</v>
      </c>
      <c r="AI130">
        <f>SUM(Table1_1[[#This Row],[Recreation and amusement]:[Miscellaneous]])</f>
        <v>561.6</v>
      </c>
      <c r="AJ130">
        <f>SUM(Table1_1[[#This Row],[Fuel and light]])</f>
        <v>112.5</v>
      </c>
      <c r="AK130">
        <f>SUM(Table1_1[[#This Row],[Food]:[Luxury &amp;Other Thing]])</f>
        <v>3972.1999999999994</v>
      </c>
      <c r="AL130">
        <f>SUM(Table1_1[[#This Row],[Food]:[Luxury &amp;Other Thing]])</f>
        <v>3972.1999999999994</v>
      </c>
    </row>
    <row r="131" spans="1:38" x14ac:dyDescent="0.25">
      <c r="A131" t="s">
        <v>30</v>
      </c>
      <c r="B131" t="s">
        <v>36</v>
      </c>
      <c r="C131">
        <v>2015</v>
      </c>
      <c r="D131">
        <v>123.3</v>
      </c>
      <c r="E131">
        <v>124.7</v>
      </c>
      <c r="F131">
        <v>118.9</v>
      </c>
      <c r="G131">
        <v>126</v>
      </c>
      <c r="H131">
        <v>111.8</v>
      </c>
      <c r="I131">
        <v>130.9</v>
      </c>
      <c r="J131">
        <v>128</v>
      </c>
      <c r="K131">
        <v>119.9</v>
      </c>
      <c r="L131">
        <v>98.9</v>
      </c>
      <c r="M131">
        <v>119.4</v>
      </c>
      <c r="N131">
        <v>118.9</v>
      </c>
      <c r="O131">
        <v>127.7</v>
      </c>
      <c r="P131">
        <v>123.1</v>
      </c>
      <c r="Q131">
        <v>126</v>
      </c>
      <c r="R131">
        <v>122.9</v>
      </c>
      <c r="S131">
        <v>125.5</v>
      </c>
      <c r="T131">
        <v>139.5</v>
      </c>
      <c r="U131">
        <v>120.2</v>
      </c>
      <c r="V131">
        <v>118.2</v>
      </c>
      <c r="W131">
        <v>110.8</v>
      </c>
      <c r="X131">
        <v>111.6</v>
      </c>
      <c r="Y131">
        <v>115.5</v>
      </c>
      <c r="Z131">
        <v>124.7</v>
      </c>
      <c r="AA131">
        <v>120.6</v>
      </c>
      <c r="AB131">
        <v>119.4</v>
      </c>
      <c r="AC131">
        <v>115.5</v>
      </c>
      <c r="AD131">
        <v>121.1</v>
      </c>
      <c r="AE131">
        <f>SUM(Table1_1[[#This Row],[Cereals and products]:[Food and beverages]])</f>
        <v>1571.5</v>
      </c>
      <c r="AF131">
        <f>SUM(Table1_1[[#This Row],[Clothing and footwear]:[Clothing]])</f>
        <v>374.4</v>
      </c>
      <c r="AG131">
        <f>SUM(Table1_1[[#This Row],[Clothing]:[Education]])</f>
        <v>1454.9</v>
      </c>
      <c r="AH131">
        <f>SUM(Table1_1[[#This Row],[Health]:[Personal care and effects]])</f>
        <v>229</v>
      </c>
      <c r="AI131">
        <f>SUM(Table1_1[[#This Row],[Recreation and amusement]:[Miscellaneous]])</f>
        <v>595.69999999999993</v>
      </c>
      <c r="AJ131">
        <f>SUM(Table1_1[[#This Row],[Fuel and light]])</f>
        <v>120.6</v>
      </c>
      <c r="AK131">
        <f>SUM(Table1_1[[#This Row],[Food]:[Luxury &amp;Other Thing]])</f>
        <v>4225.5</v>
      </c>
      <c r="AL131">
        <f>SUM(Table1_1[[#This Row],[Food]:[Luxury &amp;Other Thing]])</f>
        <v>4225.5</v>
      </c>
    </row>
    <row r="132" spans="1:38" x14ac:dyDescent="0.25">
      <c r="A132" t="s">
        <v>33</v>
      </c>
      <c r="B132" t="s">
        <v>36</v>
      </c>
      <c r="C132">
        <v>2015</v>
      </c>
      <c r="D132">
        <v>124</v>
      </c>
      <c r="E132">
        <v>126.7</v>
      </c>
      <c r="F132">
        <v>113.5</v>
      </c>
      <c r="G132">
        <v>125.9</v>
      </c>
      <c r="H132">
        <v>104.8</v>
      </c>
      <c r="I132">
        <v>123.8</v>
      </c>
      <c r="J132">
        <v>131.4</v>
      </c>
      <c r="K132">
        <v>127.2</v>
      </c>
      <c r="L132">
        <v>93.2</v>
      </c>
      <c r="M132">
        <v>127.4</v>
      </c>
      <c r="N132">
        <v>117</v>
      </c>
      <c r="O132">
        <v>129.19999999999999</v>
      </c>
      <c r="P132">
        <v>123.9</v>
      </c>
      <c r="Q132">
        <v>121.7</v>
      </c>
      <c r="R132">
        <v>116.9</v>
      </c>
      <c r="S132">
        <v>120.9</v>
      </c>
      <c r="T132">
        <v>118.6</v>
      </c>
      <c r="U132">
        <v>118</v>
      </c>
      <c r="V132">
        <v>114.3</v>
      </c>
      <c r="W132">
        <v>111.3</v>
      </c>
      <c r="X132">
        <v>108.4</v>
      </c>
      <c r="Y132">
        <v>115.4</v>
      </c>
      <c r="Z132">
        <v>128.80000000000001</v>
      </c>
      <c r="AA132">
        <v>114.4</v>
      </c>
      <c r="AB132">
        <v>120.6</v>
      </c>
      <c r="AC132">
        <v>113.8</v>
      </c>
      <c r="AD132">
        <v>119.1</v>
      </c>
      <c r="AE132">
        <f>SUM(Table1_1[[#This Row],[Cereals and products]:[Food and beverages]])</f>
        <v>1568.0000000000002</v>
      </c>
      <c r="AF132">
        <f>SUM(Table1_1[[#This Row],[Clothing and footwear]:[Clothing]])</f>
        <v>359.5</v>
      </c>
      <c r="AG132">
        <f>SUM(Table1_1[[#This Row],[Clothing]:[Education]])</f>
        <v>1409.3</v>
      </c>
      <c r="AH132">
        <f>SUM(Table1_1[[#This Row],[Health]:[Personal care and effects]])</f>
        <v>225.6</v>
      </c>
      <c r="AI132">
        <f>SUM(Table1_1[[#This Row],[Recreation and amusement]:[Miscellaneous]])</f>
        <v>593</v>
      </c>
      <c r="AJ132">
        <f>SUM(Table1_1[[#This Row],[Fuel and light]])</f>
        <v>114.4</v>
      </c>
      <c r="AK132">
        <f>SUM(Table1_1[[#This Row],[Food]:[Luxury &amp;Other Thing]])</f>
        <v>4155.3999999999996</v>
      </c>
      <c r="AL132">
        <f>SUM(Table1_1[[#This Row],[Food]:[Luxury &amp;Other Thing]])</f>
        <v>4155.3999999999996</v>
      </c>
    </row>
    <row r="133" spans="1:38" x14ac:dyDescent="0.25">
      <c r="A133" t="s">
        <v>34</v>
      </c>
      <c r="B133" t="s">
        <v>36</v>
      </c>
      <c r="C133">
        <v>2015</v>
      </c>
      <c r="D133">
        <v>123.5</v>
      </c>
      <c r="E133">
        <v>125.4</v>
      </c>
      <c r="F133">
        <v>116.8</v>
      </c>
      <c r="G133">
        <v>126</v>
      </c>
      <c r="H133">
        <v>109.2</v>
      </c>
      <c r="I133">
        <v>127.6</v>
      </c>
      <c r="J133">
        <v>129.19999999999999</v>
      </c>
      <c r="K133">
        <v>122.4</v>
      </c>
      <c r="L133">
        <v>97</v>
      </c>
      <c r="M133">
        <v>122.1</v>
      </c>
      <c r="N133">
        <v>118.1</v>
      </c>
      <c r="O133">
        <v>128.4</v>
      </c>
      <c r="P133">
        <v>123.4</v>
      </c>
      <c r="Q133">
        <v>124.3</v>
      </c>
      <c r="R133">
        <v>120.4</v>
      </c>
      <c r="S133">
        <v>123.7</v>
      </c>
      <c r="T133">
        <v>118.6</v>
      </c>
      <c r="U133">
        <v>119.2</v>
      </c>
      <c r="V133">
        <v>116.7</v>
      </c>
      <c r="W133">
        <v>111</v>
      </c>
      <c r="X133">
        <v>109.9</v>
      </c>
      <c r="Y133">
        <v>115.4</v>
      </c>
      <c r="Z133">
        <v>125.8</v>
      </c>
      <c r="AA133">
        <v>118.3</v>
      </c>
      <c r="AB133">
        <v>120.1</v>
      </c>
      <c r="AC133">
        <v>114.7</v>
      </c>
      <c r="AD133">
        <v>120.2</v>
      </c>
      <c r="AE133">
        <f>SUM(Table1_1[[#This Row],[Cereals and products]:[Food and beverages]])</f>
        <v>1569.1</v>
      </c>
      <c r="AF133">
        <f>SUM(Table1_1[[#This Row],[Clothing and footwear]:[Clothing]])</f>
        <v>368.4</v>
      </c>
      <c r="AG133">
        <f>SUM(Table1_1[[#This Row],[Clothing]:[Education]])</f>
        <v>1423.3999999999999</v>
      </c>
      <c r="AH133">
        <f>SUM(Table1_1[[#This Row],[Health]:[Personal care and effects]])</f>
        <v>227.7</v>
      </c>
      <c r="AI133">
        <f>SUM(Table1_1[[#This Row],[Recreation and amusement]:[Miscellaneous]])</f>
        <v>594.30000000000007</v>
      </c>
      <c r="AJ133">
        <f>SUM(Table1_1[[#This Row],[Fuel and light]])</f>
        <v>118.3</v>
      </c>
      <c r="AK133">
        <f>SUM(Table1_1[[#This Row],[Food]:[Luxury &amp;Other Thing]])</f>
        <v>4182.8999999999996</v>
      </c>
      <c r="AL133">
        <f>SUM(Table1_1[[#This Row],[Food]:[Luxury &amp;Other Thing]])</f>
        <v>4182.8999999999996</v>
      </c>
    </row>
    <row r="134" spans="1:38" x14ac:dyDescent="0.25">
      <c r="A134" t="s">
        <v>30</v>
      </c>
      <c r="B134" t="s">
        <v>36</v>
      </c>
      <c r="C134">
        <v>2016</v>
      </c>
      <c r="D134">
        <v>127.3</v>
      </c>
      <c r="E134">
        <v>134.4</v>
      </c>
      <c r="F134">
        <v>125.1</v>
      </c>
      <c r="G134">
        <v>130.5</v>
      </c>
      <c r="H134">
        <v>118.3</v>
      </c>
      <c r="I134">
        <v>131.69999999999999</v>
      </c>
      <c r="J134">
        <v>130.69999999999999</v>
      </c>
      <c r="K134">
        <v>161.19999999999999</v>
      </c>
      <c r="L134">
        <v>100.4</v>
      </c>
      <c r="M134">
        <v>130.80000000000001</v>
      </c>
      <c r="N134">
        <v>124.9</v>
      </c>
      <c r="O134">
        <v>137</v>
      </c>
      <c r="P134">
        <v>130.4</v>
      </c>
      <c r="Q134">
        <v>134.4</v>
      </c>
      <c r="R134">
        <v>130.19999999999999</v>
      </c>
      <c r="S134">
        <v>133.80000000000001</v>
      </c>
      <c r="T134">
        <v>139.5</v>
      </c>
      <c r="U134">
        <v>127.7</v>
      </c>
      <c r="V134">
        <v>124.8</v>
      </c>
      <c r="W134">
        <v>117.4</v>
      </c>
      <c r="X134">
        <v>113.6</v>
      </c>
      <c r="Y134">
        <v>122.5</v>
      </c>
      <c r="Z134">
        <v>135</v>
      </c>
      <c r="AA134">
        <v>127</v>
      </c>
      <c r="AB134">
        <v>127.5</v>
      </c>
      <c r="AC134">
        <v>121.1</v>
      </c>
      <c r="AD134">
        <v>128</v>
      </c>
      <c r="AE134">
        <f>SUM(Table1_1[[#This Row],[Cereals and products]:[Food and beverages]])</f>
        <v>1682.7000000000003</v>
      </c>
      <c r="AF134">
        <f>SUM(Table1_1[[#This Row],[Clothing and footwear]:[Clothing]])</f>
        <v>398.40000000000003</v>
      </c>
      <c r="AG134">
        <f>SUM(Table1_1[[#This Row],[Clothing]:[Education]])</f>
        <v>1533.4</v>
      </c>
      <c r="AH134">
        <f>SUM(Table1_1[[#This Row],[Health]:[Personal care and effects]])</f>
        <v>242.2</v>
      </c>
      <c r="AI134">
        <f>SUM(Table1_1[[#This Row],[Recreation and amusement]:[Miscellaneous]])</f>
        <v>633.1</v>
      </c>
      <c r="AJ134">
        <f>SUM(Table1_1[[#This Row],[Fuel and light]])</f>
        <v>127</v>
      </c>
      <c r="AK134">
        <f>SUM(Table1_1[[#This Row],[Food]:[Luxury &amp;Other Thing]])</f>
        <v>4489.8</v>
      </c>
      <c r="AL134">
        <f>SUM(Table1_1[[#This Row],[Food]:[Luxury &amp;Other Thing]])</f>
        <v>4489.8</v>
      </c>
    </row>
    <row r="135" spans="1:38" x14ac:dyDescent="0.25">
      <c r="A135" t="s">
        <v>33</v>
      </c>
      <c r="B135" t="s">
        <v>36</v>
      </c>
      <c r="C135">
        <v>2016</v>
      </c>
      <c r="D135">
        <v>124.8</v>
      </c>
      <c r="E135">
        <v>136.30000000000001</v>
      </c>
      <c r="F135">
        <v>123.7</v>
      </c>
      <c r="G135">
        <v>129.69999999999999</v>
      </c>
      <c r="H135">
        <v>107.9</v>
      </c>
      <c r="I135">
        <v>119.9</v>
      </c>
      <c r="J135">
        <v>128.1</v>
      </c>
      <c r="K135">
        <v>170.3</v>
      </c>
      <c r="L135">
        <v>101.8</v>
      </c>
      <c r="M135">
        <v>140.1</v>
      </c>
      <c r="N135">
        <v>120.7</v>
      </c>
      <c r="O135">
        <v>135.4</v>
      </c>
      <c r="P135">
        <v>128.9</v>
      </c>
      <c r="Q135">
        <v>126.4</v>
      </c>
      <c r="R135">
        <v>120.3</v>
      </c>
      <c r="S135">
        <v>125.5</v>
      </c>
      <c r="T135">
        <v>124.9</v>
      </c>
      <c r="U135">
        <v>122.3</v>
      </c>
      <c r="V135">
        <v>119.7</v>
      </c>
      <c r="W135">
        <v>117.1</v>
      </c>
      <c r="X135">
        <v>108.5</v>
      </c>
      <c r="Y135">
        <v>119.1</v>
      </c>
      <c r="Z135">
        <v>140.6</v>
      </c>
      <c r="AA135">
        <v>114.8</v>
      </c>
      <c r="AB135">
        <v>126.4</v>
      </c>
      <c r="AC135">
        <v>117.3</v>
      </c>
      <c r="AD135">
        <v>123.8</v>
      </c>
      <c r="AE135">
        <f>SUM(Table1_1[[#This Row],[Cereals and products]:[Food and beverages]])</f>
        <v>1667.6000000000001</v>
      </c>
      <c r="AF135">
        <f>SUM(Table1_1[[#This Row],[Clothing and footwear]:[Clothing]])</f>
        <v>372.2</v>
      </c>
      <c r="AG135">
        <f>SUM(Table1_1[[#This Row],[Clothing]:[Education]])</f>
        <v>1465.6</v>
      </c>
      <c r="AH135">
        <f>SUM(Table1_1[[#This Row],[Health]:[Personal care and effects]])</f>
        <v>236.8</v>
      </c>
      <c r="AI135">
        <f>SUM(Table1_1[[#This Row],[Recreation and amusement]:[Miscellaneous]])</f>
        <v>618.19999999999993</v>
      </c>
      <c r="AJ135">
        <f>SUM(Table1_1[[#This Row],[Fuel and light]])</f>
        <v>114.8</v>
      </c>
      <c r="AK135">
        <f>SUM(Table1_1[[#This Row],[Food]:[Luxury &amp;Other Thing]])</f>
        <v>4360.4000000000005</v>
      </c>
      <c r="AL135">
        <f>SUM(Table1_1[[#This Row],[Food]:[Luxury &amp;Other Thing]])</f>
        <v>4360.4000000000005</v>
      </c>
    </row>
    <row r="136" spans="1:38" x14ac:dyDescent="0.25">
      <c r="A136" t="s">
        <v>34</v>
      </c>
      <c r="B136" t="s">
        <v>36</v>
      </c>
      <c r="C136">
        <v>2016</v>
      </c>
      <c r="D136">
        <v>126.5</v>
      </c>
      <c r="E136">
        <v>135.1</v>
      </c>
      <c r="F136">
        <v>124.6</v>
      </c>
      <c r="G136">
        <v>130.19999999999999</v>
      </c>
      <c r="H136">
        <v>114.5</v>
      </c>
      <c r="I136">
        <v>126.2</v>
      </c>
      <c r="J136">
        <v>129.80000000000001</v>
      </c>
      <c r="K136">
        <v>164.3</v>
      </c>
      <c r="L136">
        <v>100.9</v>
      </c>
      <c r="M136">
        <v>133.9</v>
      </c>
      <c r="N136">
        <v>123.1</v>
      </c>
      <c r="O136">
        <v>136.30000000000001</v>
      </c>
      <c r="P136">
        <v>129.80000000000001</v>
      </c>
      <c r="Q136">
        <v>131.30000000000001</v>
      </c>
      <c r="R136">
        <v>126.1</v>
      </c>
      <c r="S136">
        <v>130.5</v>
      </c>
      <c r="T136">
        <v>124.9</v>
      </c>
      <c r="U136">
        <v>125.1</v>
      </c>
      <c r="V136">
        <v>122.9</v>
      </c>
      <c r="W136">
        <v>117.3</v>
      </c>
      <c r="X136">
        <v>110.9</v>
      </c>
      <c r="Y136">
        <v>120.6</v>
      </c>
      <c r="Z136">
        <v>136.5</v>
      </c>
      <c r="AA136">
        <v>122.4</v>
      </c>
      <c r="AB136">
        <v>126.9</v>
      </c>
      <c r="AC136">
        <v>119.3</v>
      </c>
      <c r="AD136">
        <v>126</v>
      </c>
      <c r="AE136">
        <f>SUM(Table1_1[[#This Row],[Cereals and products]:[Food and beverages]])</f>
        <v>1675.2</v>
      </c>
      <c r="AF136">
        <f>SUM(Table1_1[[#This Row],[Clothing and footwear]:[Clothing]])</f>
        <v>387.9</v>
      </c>
      <c r="AG136">
        <f>SUM(Table1_1[[#This Row],[Clothing]:[Education]])</f>
        <v>1495.4</v>
      </c>
      <c r="AH136">
        <f>SUM(Table1_1[[#This Row],[Health]:[Personal care and effects]])</f>
        <v>240.2</v>
      </c>
      <c r="AI136">
        <f>SUM(Table1_1[[#This Row],[Recreation and amusement]:[Miscellaneous]])</f>
        <v>625.69999999999993</v>
      </c>
      <c r="AJ136">
        <f>SUM(Table1_1[[#This Row],[Fuel and light]])</f>
        <v>122.4</v>
      </c>
      <c r="AK136">
        <f>SUM(Table1_1[[#This Row],[Food]:[Luxury &amp;Other Thing]])</f>
        <v>4424.3999999999996</v>
      </c>
      <c r="AL136">
        <f>SUM(Table1_1[[#This Row],[Food]:[Luxury &amp;Other Thing]])</f>
        <v>4424.3999999999996</v>
      </c>
    </row>
    <row r="137" spans="1:38" x14ac:dyDescent="0.25">
      <c r="A137" t="s">
        <v>30</v>
      </c>
      <c r="B137" t="s">
        <v>36</v>
      </c>
      <c r="C137">
        <v>2017</v>
      </c>
      <c r="D137">
        <v>133.6</v>
      </c>
      <c r="E137">
        <v>138.80000000000001</v>
      </c>
      <c r="F137">
        <v>128.80000000000001</v>
      </c>
      <c r="G137">
        <v>137.19999999999999</v>
      </c>
      <c r="H137">
        <v>121.6</v>
      </c>
      <c r="I137">
        <v>139.69999999999999</v>
      </c>
      <c r="J137">
        <v>119.7</v>
      </c>
      <c r="K137">
        <v>148</v>
      </c>
      <c r="L137">
        <v>116.9</v>
      </c>
      <c r="M137">
        <v>135.6</v>
      </c>
      <c r="N137">
        <v>129.80000000000001</v>
      </c>
      <c r="O137">
        <v>145.4</v>
      </c>
      <c r="P137">
        <v>133.4</v>
      </c>
      <c r="Q137">
        <v>141.6</v>
      </c>
      <c r="R137">
        <v>136.19999999999999</v>
      </c>
      <c r="S137">
        <v>140.80000000000001</v>
      </c>
      <c r="T137">
        <v>139.5</v>
      </c>
      <c r="U137">
        <v>134.1</v>
      </c>
      <c r="V137">
        <v>130.6</v>
      </c>
      <c r="W137">
        <v>123.3</v>
      </c>
      <c r="X137">
        <v>119.8</v>
      </c>
      <c r="Y137">
        <v>128.30000000000001</v>
      </c>
      <c r="Z137">
        <v>144.19999999999999</v>
      </c>
      <c r="AA137">
        <v>134.19999999999999</v>
      </c>
      <c r="AB137">
        <v>135.19999999999999</v>
      </c>
      <c r="AC137">
        <v>127.4</v>
      </c>
      <c r="AD137">
        <v>132.80000000000001</v>
      </c>
      <c r="AE137">
        <f>SUM(Table1_1[[#This Row],[Cereals and products]:[Food and beverages]])</f>
        <v>1728.5000000000002</v>
      </c>
      <c r="AF137">
        <f>SUM(Table1_1[[#This Row],[Clothing and footwear]:[Clothing]])</f>
        <v>418.59999999999997</v>
      </c>
      <c r="AG137">
        <f>SUM(Table1_1[[#This Row],[Clothing]:[Education]])</f>
        <v>1607.8</v>
      </c>
      <c r="AH137">
        <f>SUM(Table1_1[[#This Row],[Health]:[Personal care and effects]])</f>
        <v>253.89999999999998</v>
      </c>
      <c r="AI137">
        <f>SUM(Table1_1[[#This Row],[Recreation and amusement]:[Miscellaneous]])</f>
        <v>669.3</v>
      </c>
      <c r="AJ137">
        <f>SUM(Table1_1[[#This Row],[Fuel and light]])</f>
        <v>134.19999999999999</v>
      </c>
      <c r="AK137">
        <f>SUM(Table1_1[[#This Row],[Food]:[Luxury &amp;Other Thing]])</f>
        <v>4678.1000000000004</v>
      </c>
      <c r="AL137">
        <f>SUM(Table1_1[[#This Row],[Food]:[Luxury &amp;Other Thing]])</f>
        <v>4678.1000000000004</v>
      </c>
    </row>
    <row r="138" spans="1:38" x14ac:dyDescent="0.25">
      <c r="A138" t="s">
        <v>33</v>
      </c>
      <c r="B138" t="s">
        <v>36</v>
      </c>
      <c r="C138">
        <v>2017</v>
      </c>
      <c r="D138">
        <v>132.69999999999999</v>
      </c>
      <c r="E138">
        <v>139.4</v>
      </c>
      <c r="F138">
        <v>128.4</v>
      </c>
      <c r="G138">
        <v>134.9</v>
      </c>
      <c r="H138">
        <v>114</v>
      </c>
      <c r="I138">
        <v>136.80000000000001</v>
      </c>
      <c r="J138">
        <v>122.2</v>
      </c>
      <c r="K138">
        <v>135.80000000000001</v>
      </c>
      <c r="L138">
        <v>120.3</v>
      </c>
      <c r="M138">
        <v>142.6</v>
      </c>
      <c r="N138">
        <v>123.6</v>
      </c>
      <c r="O138">
        <v>142.4</v>
      </c>
      <c r="P138">
        <v>132.6</v>
      </c>
      <c r="Q138">
        <v>130.80000000000001</v>
      </c>
      <c r="R138">
        <v>122.8</v>
      </c>
      <c r="S138">
        <v>129.6</v>
      </c>
      <c r="T138">
        <v>131.1</v>
      </c>
      <c r="U138">
        <v>125.6</v>
      </c>
      <c r="V138">
        <v>123.1</v>
      </c>
      <c r="W138">
        <v>121.7</v>
      </c>
      <c r="X138">
        <v>115.6</v>
      </c>
      <c r="Y138">
        <v>122.4</v>
      </c>
      <c r="Z138">
        <v>147.5</v>
      </c>
      <c r="AA138">
        <v>120.8</v>
      </c>
      <c r="AB138">
        <v>132.80000000000001</v>
      </c>
      <c r="AC138">
        <v>122.6</v>
      </c>
      <c r="AD138">
        <v>128.69999999999999</v>
      </c>
      <c r="AE138">
        <f>SUM(Table1_1[[#This Row],[Cereals and products]:[Food and beverages]])</f>
        <v>1705.6999999999998</v>
      </c>
      <c r="AF138">
        <f>SUM(Table1_1[[#This Row],[Clothing and footwear]:[Clothing]])</f>
        <v>383.20000000000005</v>
      </c>
      <c r="AG138">
        <f>SUM(Table1_1[[#This Row],[Clothing]:[Education]])</f>
        <v>1523.8000000000002</v>
      </c>
      <c r="AH138">
        <f>SUM(Table1_1[[#This Row],[Health]:[Personal care and effects]])</f>
        <v>244.8</v>
      </c>
      <c r="AI138">
        <f>SUM(Table1_1[[#This Row],[Recreation and amusement]:[Miscellaneous]])</f>
        <v>646.1</v>
      </c>
      <c r="AJ138">
        <f>SUM(Table1_1[[#This Row],[Fuel and light]])</f>
        <v>120.8</v>
      </c>
      <c r="AK138">
        <f>SUM(Table1_1[[#This Row],[Food]:[Luxury &amp;Other Thing]])</f>
        <v>4503.6000000000004</v>
      </c>
      <c r="AL138">
        <f>SUM(Table1_1[[#This Row],[Food]:[Luxury &amp;Other Thing]])</f>
        <v>4503.6000000000004</v>
      </c>
    </row>
    <row r="139" spans="1:38" x14ac:dyDescent="0.25">
      <c r="A139" t="s">
        <v>34</v>
      </c>
      <c r="B139" t="s">
        <v>36</v>
      </c>
      <c r="C139">
        <v>2017</v>
      </c>
      <c r="D139">
        <v>133.30000000000001</v>
      </c>
      <c r="E139">
        <v>139</v>
      </c>
      <c r="F139">
        <v>128.6</v>
      </c>
      <c r="G139">
        <v>136.30000000000001</v>
      </c>
      <c r="H139">
        <v>118.8</v>
      </c>
      <c r="I139">
        <v>138.30000000000001</v>
      </c>
      <c r="J139">
        <v>120.5</v>
      </c>
      <c r="K139">
        <v>143.9</v>
      </c>
      <c r="L139">
        <v>118</v>
      </c>
      <c r="M139">
        <v>137.9</v>
      </c>
      <c r="N139">
        <v>127.2</v>
      </c>
      <c r="O139">
        <v>144</v>
      </c>
      <c r="P139">
        <v>133.1</v>
      </c>
      <c r="Q139">
        <v>137.30000000000001</v>
      </c>
      <c r="R139">
        <v>130.6</v>
      </c>
      <c r="S139">
        <v>136.4</v>
      </c>
      <c r="T139">
        <v>131.1</v>
      </c>
      <c r="U139">
        <v>130.1</v>
      </c>
      <c r="V139">
        <v>127.8</v>
      </c>
      <c r="W139">
        <v>122.6</v>
      </c>
      <c r="X139">
        <v>117.6</v>
      </c>
      <c r="Y139">
        <v>125</v>
      </c>
      <c r="Z139">
        <v>145.1</v>
      </c>
      <c r="AA139">
        <v>129.1</v>
      </c>
      <c r="AB139">
        <v>133.80000000000001</v>
      </c>
      <c r="AC139">
        <v>125.1</v>
      </c>
      <c r="AD139">
        <v>130.9</v>
      </c>
      <c r="AE139">
        <f>SUM(Table1_1[[#This Row],[Cereals and products]:[Food and beverages]])</f>
        <v>1718.9</v>
      </c>
      <c r="AF139">
        <f>SUM(Table1_1[[#This Row],[Clothing and footwear]:[Clothing]])</f>
        <v>404.29999999999995</v>
      </c>
      <c r="AG139">
        <f>SUM(Table1_1[[#This Row],[Clothing]:[Education]])</f>
        <v>1566.4999999999998</v>
      </c>
      <c r="AH139">
        <f>SUM(Table1_1[[#This Row],[Health]:[Personal care and effects]])</f>
        <v>250.39999999999998</v>
      </c>
      <c r="AI139">
        <f>SUM(Table1_1[[#This Row],[Recreation and amusement]:[Miscellaneous]])</f>
        <v>658.1</v>
      </c>
      <c r="AJ139">
        <f>SUM(Table1_1[[#This Row],[Fuel and light]])</f>
        <v>129.1</v>
      </c>
      <c r="AK139">
        <f>SUM(Table1_1[[#This Row],[Food]:[Luxury &amp;Other Thing]])</f>
        <v>4598.2</v>
      </c>
      <c r="AL139">
        <f>SUM(Table1_1[[#This Row],[Food]:[Luxury &amp;Other Thing]])</f>
        <v>4598.2</v>
      </c>
    </row>
    <row r="140" spans="1:38" x14ac:dyDescent="0.25">
      <c r="A140" t="s">
        <v>30</v>
      </c>
      <c r="B140" t="s">
        <v>36</v>
      </c>
      <c r="C140">
        <v>2018</v>
      </c>
      <c r="D140">
        <v>136.80000000000001</v>
      </c>
      <c r="E140">
        <v>143.80000000000001</v>
      </c>
      <c r="F140">
        <v>140</v>
      </c>
      <c r="G140">
        <v>142</v>
      </c>
      <c r="H140">
        <v>123.2</v>
      </c>
      <c r="I140">
        <v>152.9</v>
      </c>
      <c r="J140">
        <v>138</v>
      </c>
      <c r="K140">
        <v>129.30000000000001</v>
      </c>
      <c r="L140">
        <v>117.1</v>
      </c>
      <c r="M140">
        <v>136.30000000000001</v>
      </c>
      <c r="N140">
        <v>131.19999999999999</v>
      </c>
      <c r="O140">
        <v>152.80000000000001</v>
      </c>
      <c r="P140">
        <v>138.6</v>
      </c>
      <c r="Q140">
        <v>149.19999999999999</v>
      </c>
      <c r="R140">
        <v>143</v>
      </c>
      <c r="S140">
        <v>148.30000000000001</v>
      </c>
      <c r="T140">
        <v>139.5</v>
      </c>
      <c r="U140">
        <v>139.9</v>
      </c>
      <c r="V140">
        <v>136.69999999999999</v>
      </c>
      <c r="W140">
        <v>129.30000000000001</v>
      </c>
      <c r="X140">
        <v>124.6</v>
      </c>
      <c r="Y140">
        <v>135.1</v>
      </c>
      <c r="Z140">
        <v>155.1</v>
      </c>
      <c r="AA140">
        <v>142.6</v>
      </c>
      <c r="AB140">
        <v>142.69999999999999</v>
      </c>
      <c r="AC140">
        <v>133.30000000000001</v>
      </c>
      <c r="AD140">
        <v>138.69999999999999</v>
      </c>
      <c r="AE140">
        <f>SUM(Table1_1[[#This Row],[Cereals and products]:[Food and beverages]])</f>
        <v>1781.9999999999998</v>
      </c>
      <c r="AF140">
        <f>SUM(Table1_1[[#This Row],[Clothing and footwear]:[Clothing]])</f>
        <v>440.5</v>
      </c>
      <c r="AG140">
        <f>SUM(Table1_1[[#This Row],[Clothing]:[Education]])</f>
        <v>1685.9999999999995</v>
      </c>
      <c r="AH140">
        <f>SUM(Table1_1[[#This Row],[Health]:[Personal care and effects]])</f>
        <v>266</v>
      </c>
      <c r="AI140">
        <f>SUM(Table1_1[[#This Row],[Recreation and amusement]:[Miscellaneous]])</f>
        <v>708.8</v>
      </c>
      <c r="AJ140">
        <f>SUM(Table1_1[[#This Row],[Fuel and light]])</f>
        <v>142.6</v>
      </c>
      <c r="AK140">
        <f>SUM(Table1_1[[#This Row],[Food]:[Luxury &amp;Other Thing]])</f>
        <v>4883.3</v>
      </c>
      <c r="AL140">
        <f>SUM(Table1_1[[#This Row],[Food]:[Luxury &amp;Other Thing]])</f>
        <v>4883.3</v>
      </c>
    </row>
    <row r="141" spans="1:38" x14ac:dyDescent="0.25">
      <c r="A141" t="s">
        <v>33</v>
      </c>
      <c r="B141" t="s">
        <v>36</v>
      </c>
      <c r="C141">
        <v>2018</v>
      </c>
      <c r="D141">
        <v>135</v>
      </c>
      <c r="E141">
        <v>143.1</v>
      </c>
      <c r="F141">
        <v>135.5</v>
      </c>
      <c r="G141">
        <v>139.9</v>
      </c>
      <c r="H141">
        <v>116.5</v>
      </c>
      <c r="I141">
        <v>138.5</v>
      </c>
      <c r="J141">
        <v>128</v>
      </c>
      <c r="K141">
        <v>115.5</v>
      </c>
      <c r="L141">
        <v>114.2</v>
      </c>
      <c r="M141">
        <v>140.69999999999999</v>
      </c>
      <c r="N141">
        <v>126.2</v>
      </c>
      <c r="O141">
        <v>147.6</v>
      </c>
      <c r="P141">
        <v>134.80000000000001</v>
      </c>
      <c r="Q141">
        <v>136.69999999999999</v>
      </c>
      <c r="R141">
        <v>126.7</v>
      </c>
      <c r="S141">
        <v>135.19999999999999</v>
      </c>
      <c r="T141">
        <v>142</v>
      </c>
      <c r="U141">
        <v>130.80000000000001</v>
      </c>
      <c r="V141">
        <v>130.5</v>
      </c>
      <c r="W141">
        <v>126.7</v>
      </c>
      <c r="X141">
        <v>117.8</v>
      </c>
      <c r="Y141">
        <v>126.8</v>
      </c>
      <c r="Z141">
        <v>159.69999999999999</v>
      </c>
      <c r="AA141">
        <v>126.4</v>
      </c>
      <c r="AB141">
        <v>137.80000000000001</v>
      </c>
      <c r="AC141">
        <v>127.1</v>
      </c>
      <c r="AD141">
        <v>134</v>
      </c>
      <c r="AE141">
        <f>SUM(Table1_1[[#This Row],[Cereals and products]:[Food and beverages]])</f>
        <v>1715.5</v>
      </c>
      <c r="AF141">
        <f>SUM(Table1_1[[#This Row],[Clothing and footwear]:[Clothing]])</f>
        <v>398.59999999999997</v>
      </c>
      <c r="AG141">
        <f>SUM(Table1_1[[#This Row],[Clothing]:[Education]])</f>
        <v>1597.1</v>
      </c>
      <c r="AH141">
        <f>SUM(Table1_1[[#This Row],[Health]:[Personal care and effects]])</f>
        <v>257.2</v>
      </c>
      <c r="AI141">
        <f>SUM(Table1_1[[#This Row],[Recreation and amusement]:[Miscellaneous]])</f>
        <v>677.80000000000007</v>
      </c>
      <c r="AJ141">
        <f>SUM(Table1_1[[#This Row],[Fuel and light]])</f>
        <v>126.4</v>
      </c>
      <c r="AK141">
        <f>SUM(Table1_1[[#This Row],[Food]:[Luxury &amp;Other Thing]])</f>
        <v>4646.2</v>
      </c>
      <c r="AL141">
        <f>SUM(Table1_1[[#This Row],[Food]:[Luxury &amp;Other Thing]])</f>
        <v>4646.2</v>
      </c>
    </row>
    <row r="142" spans="1:38" x14ac:dyDescent="0.25">
      <c r="A142" t="s">
        <v>34</v>
      </c>
      <c r="B142" t="s">
        <v>36</v>
      </c>
      <c r="C142">
        <v>2018</v>
      </c>
      <c r="D142">
        <v>136.19999999999999</v>
      </c>
      <c r="E142">
        <v>143.6</v>
      </c>
      <c r="F142">
        <v>138.30000000000001</v>
      </c>
      <c r="G142">
        <v>141.19999999999999</v>
      </c>
      <c r="H142">
        <v>120.7</v>
      </c>
      <c r="I142">
        <v>146.19999999999999</v>
      </c>
      <c r="J142">
        <v>134.6</v>
      </c>
      <c r="K142">
        <v>124.6</v>
      </c>
      <c r="L142">
        <v>116.1</v>
      </c>
      <c r="M142">
        <v>137.80000000000001</v>
      </c>
      <c r="N142">
        <v>129.1</v>
      </c>
      <c r="O142">
        <v>150.4</v>
      </c>
      <c r="P142">
        <v>137.19999999999999</v>
      </c>
      <c r="Q142">
        <v>144.30000000000001</v>
      </c>
      <c r="R142">
        <v>136.19999999999999</v>
      </c>
      <c r="S142">
        <v>143.1</v>
      </c>
      <c r="T142">
        <v>142</v>
      </c>
      <c r="U142">
        <v>135.6</v>
      </c>
      <c r="V142">
        <v>134.30000000000001</v>
      </c>
      <c r="W142">
        <v>128.19999999999999</v>
      </c>
      <c r="X142">
        <v>121</v>
      </c>
      <c r="Y142">
        <v>130.4</v>
      </c>
      <c r="Z142">
        <v>156.30000000000001</v>
      </c>
      <c r="AA142">
        <v>136.5</v>
      </c>
      <c r="AB142">
        <v>139.80000000000001</v>
      </c>
      <c r="AC142">
        <v>130.30000000000001</v>
      </c>
      <c r="AD142">
        <v>136.5</v>
      </c>
      <c r="AE142">
        <f>SUM(Table1_1[[#This Row],[Cereals and products]:[Food and beverages]])</f>
        <v>1756</v>
      </c>
      <c r="AF142">
        <f>SUM(Table1_1[[#This Row],[Clothing and footwear]:[Clothing]])</f>
        <v>423.6</v>
      </c>
      <c r="AG142">
        <f>SUM(Table1_1[[#This Row],[Clothing]:[Education]])</f>
        <v>1647.7</v>
      </c>
      <c r="AH142">
        <f>SUM(Table1_1[[#This Row],[Health]:[Personal care and effects]])</f>
        <v>262.5</v>
      </c>
      <c r="AI142">
        <f>SUM(Table1_1[[#This Row],[Recreation and amusement]:[Miscellaneous]])</f>
        <v>693.3</v>
      </c>
      <c r="AJ142">
        <f>SUM(Table1_1[[#This Row],[Fuel and light]])</f>
        <v>136.5</v>
      </c>
      <c r="AK142">
        <f>SUM(Table1_1[[#This Row],[Food]:[Luxury &amp;Other Thing]])</f>
        <v>4783.1000000000004</v>
      </c>
      <c r="AL142">
        <f>SUM(Table1_1[[#This Row],[Food]:[Luxury &amp;Other Thing]])</f>
        <v>4783.1000000000004</v>
      </c>
    </row>
    <row r="143" spans="1:38" x14ac:dyDescent="0.25">
      <c r="A143" t="s">
        <v>30</v>
      </c>
      <c r="B143" t="s">
        <v>36</v>
      </c>
      <c r="C143">
        <v>2019</v>
      </c>
      <c r="D143">
        <v>136.9</v>
      </c>
      <c r="E143">
        <v>154.1</v>
      </c>
      <c r="F143">
        <v>138.69999999999999</v>
      </c>
      <c r="G143">
        <v>142.5</v>
      </c>
      <c r="H143">
        <v>124.1</v>
      </c>
      <c r="I143">
        <v>136.1</v>
      </c>
      <c r="J143">
        <v>128.19999999999999</v>
      </c>
      <c r="K143">
        <v>122.3</v>
      </c>
      <c r="L143">
        <v>108.3</v>
      </c>
      <c r="M143">
        <v>138.9</v>
      </c>
      <c r="N143">
        <v>137.4</v>
      </c>
      <c r="O143">
        <v>156.4</v>
      </c>
      <c r="P143">
        <v>137.30000000000001</v>
      </c>
      <c r="Q143">
        <v>150.80000000000001</v>
      </c>
      <c r="R143">
        <v>146.1</v>
      </c>
      <c r="S143">
        <v>150.1</v>
      </c>
      <c r="T143">
        <v>139.5</v>
      </c>
      <c r="U143">
        <v>150</v>
      </c>
      <c r="V143">
        <v>150.4</v>
      </c>
      <c r="W143">
        <v>134</v>
      </c>
      <c r="X143">
        <v>129.9</v>
      </c>
      <c r="Y143">
        <v>143.80000000000001</v>
      </c>
      <c r="Z143">
        <v>162.9</v>
      </c>
      <c r="AA143">
        <v>146.4</v>
      </c>
      <c r="AB143">
        <v>155.5</v>
      </c>
      <c r="AC143">
        <v>142.4</v>
      </c>
      <c r="AD143">
        <v>141.19999999999999</v>
      </c>
      <c r="AE143">
        <f>SUM(Table1_1[[#This Row],[Cereals and products]:[Food and beverages]])</f>
        <v>1761.2000000000003</v>
      </c>
      <c r="AF143">
        <f>SUM(Table1_1[[#This Row],[Clothing and footwear]:[Clothing]])</f>
        <v>447</v>
      </c>
      <c r="AG143">
        <f>SUM(Table1_1[[#This Row],[Clothing]:[Education]])</f>
        <v>1759.4</v>
      </c>
      <c r="AH143">
        <f>SUM(Table1_1[[#This Row],[Health]:[Personal care and effects]])</f>
        <v>284.39999999999998</v>
      </c>
      <c r="AI143">
        <f>SUM(Table1_1[[#This Row],[Recreation and amusement]:[Miscellaneous]])</f>
        <v>751</v>
      </c>
      <c r="AJ143">
        <f>SUM(Table1_1[[#This Row],[Fuel and light]])</f>
        <v>146.4</v>
      </c>
      <c r="AK143">
        <f>SUM(Table1_1[[#This Row],[Food]:[Luxury &amp;Other Thing]])</f>
        <v>5003</v>
      </c>
      <c r="AL143">
        <f>SUM(Table1_1[[#This Row],[Food]:[Luxury &amp;Other Thing]])</f>
        <v>5003</v>
      </c>
    </row>
    <row r="144" spans="1:38" x14ac:dyDescent="0.25">
      <c r="A144" t="s">
        <v>33</v>
      </c>
      <c r="B144" t="s">
        <v>36</v>
      </c>
      <c r="C144">
        <v>2019</v>
      </c>
      <c r="D144">
        <v>139.69999999999999</v>
      </c>
      <c r="E144">
        <v>151.1</v>
      </c>
      <c r="F144">
        <v>142.9</v>
      </c>
      <c r="G144">
        <v>141.9</v>
      </c>
      <c r="H144">
        <v>118.4</v>
      </c>
      <c r="I144">
        <v>139.4</v>
      </c>
      <c r="J144">
        <v>141.19999999999999</v>
      </c>
      <c r="K144">
        <v>120.7</v>
      </c>
      <c r="L144">
        <v>110.4</v>
      </c>
      <c r="M144">
        <v>140.69999999999999</v>
      </c>
      <c r="N144">
        <v>128.5</v>
      </c>
      <c r="O144">
        <v>153.9</v>
      </c>
      <c r="P144">
        <v>139.6</v>
      </c>
      <c r="Q144">
        <v>143.5</v>
      </c>
      <c r="R144">
        <v>131.19999999999999</v>
      </c>
      <c r="S144">
        <v>141.6</v>
      </c>
      <c r="T144">
        <v>149</v>
      </c>
      <c r="U144">
        <v>136.80000000000001</v>
      </c>
      <c r="V144">
        <v>139.19999999999999</v>
      </c>
      <c r="W144">
        <v>132.5</v>
      </c>
      <c r="X144">
        <v>119.9</v>
      </c>
      <c r="Y144">
        <v>133</v>
      </c>
      <c r="Z144">
        <v>165.3</v>
      </c>
      <c r="AA144">
        <v>128.80000000000001</v>
      </c>
      <c r="AB144">
        <v>146.69999999999999</v>
      </c>
      <c r="AC144">
        <v>132.80000000000001</v>
      </c>
      <c r="AD144">
        <v>139.5</v>
      </c>
      <c r="AE144">
        <f>SUM(Table1_1[[#This Row],[Cereals and products]:[Food and beverages]])</f>
        <v>1768.4</v>
      </c>
      <c r="AF144">
        <f>SUM(Table1_1[[#This Row],[Clothing and footwear]:[Clothing]])</f>
        <v>416.29999999999995</v>
      </c>
      <c r="AG144">
        <f>SUM(Table1_1[[#This Row],[Clothing]:[Education]])</f>
        <v>1667.5</v>
      </c>
      <c r="AH144">
        <f>SUM(Table1_1[[#This Row],[Health]:[Personal care and effects]])</f>
        <v>271.7</v>
      </c>
      <c r="AI144">
        <f>SUM(Table1_1[[#This Row],[Recreation and amusement]:[Miscellaneous]])</f>
        <v>706.59999999999991</v>
      </c>
      <c r="AJ144">
        <f>SUM(Table1_1[[#This Row],[Fuel and light]])</f>
        <v>128.80000000000001</v>
      </c>
      <c r="AK144">
        <f>SUM(Table1_1[[#This Row],[Food]:[Luxury &amp;Other Thing]])</f>
        <v>4830.5</v>
      </c>
      <c r="AL144">
        <f>SUM(Table1_1[[#This Row],[Food]:[Luxury &amp;Other Thing]])</f>
        <v>4830.5</v>
      </c>
    </row>
    <row r="145" spans="1:38" x14ac:dyDescent="0.25">
      <c r="A145" t="s">
        <v>34</v>
      </c>
      <c r="B145" t="s">
        <v>36</v>
      </c>
      <c r="C145">
        <v>2019</v>
      </c>
      <c r="D145">
        <v>137.80000000000001</v>
      </c>
      <c r="E145">
        <v>153</v>
      </c>
      <c r="F145">
        <v>140.30000000000001</v>
      </c>
      <c r="G145">
        <v>142.30000000000001</v>
      </c>
      <c r="H145">
        <v>122</v>
      </c>
      <c r="I145">
        <v>137.6</v>
      </c>
      <c r="J145">
        <v>132.6</v>
      </c>
      <c r="K145">
        <v>121.8</v>
      </c>
      <c r="L145">
        <v>109</v>
      </c>
      <c r="M145">
        <v>139.5</v>
      </c>
      <c r="N145">
        <v>133.69999999999999</v>
      </c>
      <c r="O145">
        <v>155.19999999999999</v>
      </c>
      <c r="P145">
        <v>138.1</v>
      </c>
      <c r="Q145">
        <v>147.9</v>
      </c>
      <c r="R145">
        <v>139.9</v>
      </c>
      <c r="S145">
        <v>146.69999999999999</v>
      </c>
      <c r="T145">
        <v>149</v>
      </c>
      <c r="U145">
        <v>143.80000000000001</v>
      </c>
      <c r="V145">
        <v>146.19999999999999</v>
      </c>
      <c r="W145">
        <v>133.4</v>
      </c>
      <c r="X145">
        <v>124.6</v>
      </c>
      <c r="Y145">
        <v>137.69999999999999</v>
      </c>
      <c r="Z145">
        <v>163.5</v>
      </c>
      <c r="AA145">
        <v>139.69999999999999</v>
      </c>
      <c r="AB145">
        <v>150.30000000000001</v>
      </c>
      <c r="AC145">
        <v>137.69999999999999</v>
      </c>
      <c r="AD145">
        <v>140.4</v>
      </c>
      <c r="AE145">
        <f>SUM(Table1_1[[#This Row],[Cereals and products]:[Food and beverages]])</f>
        <v>1762.9</v>
      </c>
      <c r="AF145">
        <f>SUM(Table1_1[[#This Row],[Clothing and footwear]:[Clothing]])</f>
        <v>434.5</v>
      </c>
      <c r="AG145">
        <f>SUM(Table1_1[[#This Row],[Clothing]:[Education]])</f>
        <v>1722.7</v>
      </c>
      <c r="AH145">
        <f>SUM(Table1_1[[#This Row],[Health]:[Personal care and effects]])</f>
        <v>279.60000000000002</v>
      </c>
      <c r="AI145">
        <f>SUM(Table1_1[[#This Row],[Recreation and amusement]:[Miscellaneous]])</f>
        <v>728.90000000000009</v>
      </c>
      <c r="AJ145">
        <f>SUM(Table1_1[[#This Row],[Fuel and light]])</f>
        <v>139.69999999999999</v>
      </c>
      <c r="AK145">
        <f>SUM(Table1_1[[#This Row],[Food]:[Luxury &amp;Other Thing]])</f>
        <v>4928.6000000000004</v>
      </c>
      <c r="AL145">
        <f>SUM(Table1_1[[#This Row],[Food]:[Luxury &amp;Other Thing]])</f>
        <v>4928.6000000000004</v>
      </c>
    </row>
    <row r="146" spans="1:38" x14ac:dyDescent="0.25">
      <c r="A146" t="s">
        <v>30</v>
      </c>
      <c r="B146" t="s">
        <v>36</v>
      </c>
      <c r="C146">
        <v>2020</v>
      </c>
      <c r="D146">
        <v>144.4</v>
      </c>
      <c r="E146">
        <v>166.8</v>
      </c>
      <c r="F146">
        <v>147.6</v>
      </c>
      <c r="G146">
        <v>151.69999999999999</v>
      </c>
      <c r="H146">
        <v>133.30000000000001</v>
      </c>
      <c r="I146">
        <v>141.80000000000001</v>
      </c>
      <c r="J146">
        <v>152.30000000000001</v>
      </c>
      <c r="K146">
        <v>141.80000000000001</v>
      </c>
      <c r="L146">
        <v>112.6</v>
      </c>
      <c r="M146">
        <v>154</v>
      </c>
      <c r="N146">
        <v>140.1</v>
      </c>
      <c r="O146">
        <v>160</v>
      </c>
      <c r="P146">
        <v>148.19999999999999</v>
      </c>
      <c r="Q146">
        <v>153.4</v>
      </c>
      <c r="R146">
        <v>147.6</v>
      </c>
      <c r="S146">
        <v>152.5</v>
      </c>
      <c r="T146">
        <v>139.5</v>
      </c>
      <c r="U146">
        <v>151.5</v>
      </c>
      <c r="V146">
        <v>156.69999999999999</v>
      </c>
      <c r="W146">
        <v>145.1</v>
      </c>
      <c r="X146">
        <v>135.80000000000001</v>
      </c>
      <c r="Y146">
        <v>151.19999999999999</v>
      </c>
      <c r="Z146">
        <v>170.5</v>
      </c>
      <c r="AA146">
        <v>153.4</v>
      </c>
      <c r="AB146">
        <v>161.19999999999999</v>
      </c>
      <c r="AC146">
        <v>148.6</v>
      </c>
      <c r="AD146">
        <v>149.80000000000001</v>
      </c>
      <c r="AE146">
        <f>SUM(Table1_1[[#This Row],[Cereals and products]:[Food and beverages]])</f>
        <v>1894.5999999999997</v>
      </c>
      <c r="AF146">
        <f>SUM(Table1_1[[#This Row],[Clothing and footwear]:[Clothing]])</f>
        <v>453.5</v>
      </c>
      <c r="AG146">
        <f>SUM(Table1_1[[#This Row],[Clothing]:[Education]])</f>
        <v>1818.4</v>
      </c>
      <c r="AH146">
        <f>SUM(Table1_1[[#This Row],[Health]:[Personal care and effects]])</f>
        <v>301.79999999999995</v>
      </c>
      <c r="AI146">
        <f>SUM(Table1_1[[#This Row],[Recreation and amusement]:[Miscellaneous]])</f>
        <v>784.9</v>
      </c>
      <c r="AJ146">
        <f>SUM(Table1_1[[#This Row],[Fuel and light]])</f>
        <v>153.4</v>
      </c>
      <c r="AK146">
        <f>SUM(Table1_1[[#This Row],[Food]:[Luxury &amp;Other Thing]])</f>
        <v>5253.2</v>
      </c>
      <c r="AL146">
        <f>SUM(Table1_1[[#This Row],[Food]:[Luxury &amp;Other Thing]])</f>
        <v>5253.2</v>
      </c>
    </row>
    <row r="147" spans="1:38" x14ac:dyDescent="0.25">
      <c r="A147" t="s">
        <v>33</v>
      </c>
      <c r="B147" t="s">
        <v>36</v>
      </c>
      <c r="C147">
        <v>2020</v>
      </c>
      <c r="D147">
        <v>146.5</v>
      </c>
      <c r="E147">
        <v>167.5</v>
      </c>
      <c r="F147">
        <v>148.9</v>
      </c>
      <c r="G147">
        <v>151.1</v>
      </c>
      <c r="H147">
        <v>127.5</v>
      </c>
      <c r="I147">
        <v>143.30000000000001</v>
      </c>
      <c r="J147">
        <v>167</v>
      </c>
      <c r="K147">
        <v>139.69999999999999</v>
      </c>
      <c r="L147">
        <v>114.4</v>
      </c>
      <c r="M147">
        <v>151.5</v>
      </c>
      <c r="N147">
        <v>131.9</v>
      </c>
      <c r="O147">
        <v>159.1</v>
      </c>
      <c r="P147">
        <v>150.1</v>
      </c>
      <c r="Q147">
        <v>147.69999999999999</v>
      </c>
      <c r="R147">
        <v>133.80000000000001</v>
      </c>
      <c r="S147">
        <v>145.6</v>
      </c>
      <c r="T147">
        <v>154.5</v>
      </c>
      <c r="U147">
        <v>140.80000000000001</v>
      </c>
      <c r="V147">
        <v>145</v>
      </c>
      <c r="W147">
        <v>145.30000000000001</v>
      </c>
      <c r="X147">
        <v>124.6</v>
      </c>
      <c r="Y147">
        <v>137.9</v>
      </c>
      <c r="Z147">
        <v>173.3</v>
      </c>
      <c r="AA147">
        <v>141.4</v>
      </c>
      <c r="AB147">
        <v>152.5</v>
      </c>
      <c r="AC147">
        <v>138.69999999999999</v>
      </c>
      <c r="AD147">
        <v>147.30000000000001</v>
      </c>
      <c r="AE147">
        <f>SUM(Table1_1[[#This Row],[Cereals and products]:[Food and beverages]])</f>
        <v>1898.5</v>
      </c>
      <c r="AF147">
        <f>SUM(Table1_1[[#This Row],[Clothing and footwear]:[Clothing]])</f>
        <v>427.1</v>
      </c>
      <c r="AG147">
        <f>SUM(Table1_1[[#This Row],[Clothing]:[Education]])</f>
        <v>1742.4</v>
      </c>
      <c r="AH147">
        <f>SUM(Table1_1[[#This Row],[Health]:[Personal care and effects]])</f>
        <v>290.3</v>
      </c>
      <c r="AI147">
        <f>SUM(Table1_1[[#This Row],[Recreation and amusement]:[Miscellaneous]])</f>
        <v>743.8</v>
      </c>
      <c r="AJ147">
        <f>SUM(Table1_1[[#This Row],[Fuel and light]])</f>
        <v>141.4</v>
      </c>
      <c r="AK147">
        <f>SUM(Table1_1[[#This Row],[Food]:[Luxury &amp;Other Thing]])</f>
        <v>5102.1000000000004</v>
      </c>
      <c r="AL147">
        <f>SUM(Table1_1[[#This Row],[Food]:[Luxury &amp;Other Thing]])</f>
        <v>5102.1000000000004</v>
      </c>
    </row>
    <row r="148" spans="1:38" x14ac:dyDescent="0.25">
      <c r="A148" t="s">
        <v>34</v>
      </c>
      <c r="B148" t="s">
        <v>36</v>
      </c>
      <c r="C148">
        <v>2020</v>
      </c>
      <c r="D148">
        <v>145.1</v>
      </c>
      <c r="E148">
        <v>167</v>
      </c>
      <c r="F148">
        <v>148.1</v>
      </c>
      <c r="G148">
        <v>151.5</v>
      </c>
      <c r="H148">
        <v>131.19999999999999</v>
      </c>
      <c r="I148">
        <v>142.5</v>
      </c>
      <c r="J148">
        <v>157.30000000000001</v>
      </c>
      <c r="K148">
        <v>141.1</v>
      </c>
      <c r="L148">
        <v>113.2</v>
      </c>
      <c r="M148">
        <v>153.19999999999999</v>
      </c>
      <c r="N148">
        <v>136.69999999999999</v>
      </c>
      <c r="O148">
        <v>159.6</v>
      </c>
      <c r="P148">
        <v>148.9</v>
      </c>
      <c r="Q148">
        <v>151.19999999999999</v>
      </c>
      <c r="R148">
        <v>141.9</v>
      </c>
      <c r="S148">
        <v>149.80000000000001</v>
      </c>
      <c r="T148">
        <v>154.5</v>
      </c>
      <c r="U148">
        <v>146.4</v>
      </c>
      <c r="V148">
        <v>152.30000000000001</v>
      </c>
      <c r="W148">
        <v>145.19999999999999</v>
      </c>
      <c r="X148">
        <v>129.9</v>
      </c>
      <c r="Y148">
        <v>143.69999999999999</v>
      </c>
      <c r="Z148">
        <v>171.2</v>
      </c>
      <c r="AA148">
        <v>148.9</v>
      </c>
      <c r="AB148">
        <v>156.1</v>
      </c>
      <c r="AC148">
        <v>143.80000000000001</v>
      </c>
      <c r="AD148">
        <v>148.6</v>
      </c>
      <c r="AE148">
        <f>SUM(Table1_1[[#This Row],[Cereals and products]:[Food and beverages]])</f>
        <v>1895.4</v>
      </c>
      <c r="AF148">
        <f>SUM(Table1_1[[#This Row],[Clothing and footwear]:[Clothing]])</f>
        <v>442.90000000000003</v>
      </c>
      <c r="AG148">
        <f>SUM(Table1_1[[#This Row],[Clothing]:[Education]])</f>
        <v>1791.1000000000004</v>
      </c>
      <c r="AH148">
        <f>SUM(Table1_1[[#This Row],[Health]:[Personal care and effects]])</f>
        <v>297.5</v>
      </c>
      <c r="AI148">
        <f>SUM(Table1_1[[#This Row],[Recreation and amusement]:[Miscellaneous]])</f>
        <v>763.7</v>
      </c>
      <c r="AJ148">
        <f>SUM(Table1_1[[#This Row],[Fuel and light]])</f>
        <v>148.9</v>
      </c>
      <c r="AK148">
        <f>SUM(Table1_1[[#This Row],[Food]:[Luxury &amp;Other Thing]])</f>
        <v>5190.6000000000004</v>
      </c>
      <c r="AL148">
        <f>SUM(Table1_1[[#This Row],[Food]:[Luxury &amp;Other Thing]])</f>
        <v>5190.6000000000004</v>
      </c>
    </row>
    <row r="149" spans="1:38" x14ac:dyDescent="0.25">
      <c r="A149" t="s">
        <v>30</v>
      </c>
      <c r="B149" t="s">
        <v>36</v>
      </c>
      <c r="C149">
        <v>2021</v>
      </c>
      <c r="D149">
        <v>142.5</v>
      </c>
      <c r="E149">
        <v>189.4</v>
      </c>
      <c r="F149">
        <v>163.19999999999999</v>
      </c>
      <c r="G149">
        <v>154.5</v>
      </c>
      <c r="H149">
        <v>168.2</v>
      </c>
      <c r="I149">
        <v>150.5</v>
      </c>
      <c r="J149">
        <v>141</v>
      </c>
      <c r="K149">
        <v>159.19999999999999</v>
      </c>
      <c r="L149">
        <v>111.7</v>
      </c>
      <c r="M149">
        <v>164</v>
      </c>
      <c r="N149">
        <v>160.6</v>
      </c>
      <c r="O149">
        <v>166.4</v>
      </c>
      <c r="P149">
        <v>154.5</v>
      </c>
      <c r="Q149">
        <v>159.6</v>
      </c>
      <c r="R149">
        <v>154.4</v>
      </c>
      <c r="S149">
        <v>158.9</v>
      </c>
      <c r="T149">
        <v>139.5</v>
      </c>
      <c r="U149">
        <v>154.80000000000001</v>
      </c>
      <c r="V149">
        <v>164.6</v>
      </c>
      <c r="W149">
        <v>153.1</v>
      </c>
      <c r="X149">
        <v>151.30000000000001</v>
      </c>
      <c r="Y149">
        <v>157.80000000000001</v>
      </c>
      <c r="Z149">
        <v>186.1</v>
      </c>
      <c r="AA149">
        <v>156</v>
      </c>
      <c r="AB149">
        <v>163.80000000000001</v>
      </c>
      <c r="AC149">
        <v>157.30000000000001</v>
      </c>
      <c r="AD149">
        <v>156.69999999999999</v>
      </c>
      <c r="AE149">
        <f>SUM(Table1_1[[#This Row],[Cereals and products]:[Food and beverages]])</f>
        <v>2025.7</v>
      </c>
      <c r="AF149">
        <f>SUM(Table1_1[[#This Row],[Clothing and footwear]:[Clothing]])</f>
        <v>472.9</v>
      </c>
      <c r="AG149">
        <f>SUM(Table1_1[[#This Row],[Clothing]:[Education]])</f>
        <v>1899.8999999999999</v>
      </c>
      <c r="AH149">
        <f>SUM(Table1_1[[#This Row],[Health]:[Personal care and effects]])</f>
        <v>317.7</v>
      </c>
      <c r="AI149">
        <f>SUM(Table1_1[[#This Row],[Recreation and amusement]:[Miscellaneous]])</f>
        <v>821</v>
      </c>
      <c r="AJ149">
        <f>SUM(Table1_1[[#This Row],[Fuel and light]])</f>
        <v>156</v>
      </c>
      <c r="AK149">
        <f>SUM(Table1_1[[#This Row],[Food]:[Luxury &amp;Other Thing]])</f>
        <v>5537.2</v>
      </c>
      <c r="AL149">
        <f>SUM(Table1_1[[#This Row],[Food]:[Luxury &amp;Other Thing]])</f>
        <v>5537.2</v>
      </c>
    </row>
    <row r="150" spans="1:38" x14ac:dyDescent="0.25">
      <c r="A150" t="s">
        <v>33</v>
      </c>
      <c r="B150" t="s">
        <v>36</v>
      </c>
      <c r="C150">
        <v>2021</v>
      </c>
      <c r="D150">
        <v>147.5</v>
      </c>
      <c r="E150">
        <v>197.5</v>
      </c>
      <c r="F150">
        <v>164.7</v>
      </c>
      <c r="G150">
        <v>155.6</v>
      </c>
      <c r="H150">
        <v>156.4</v>
      </c>
      <c r="I150">
        <v>157.30000000000001</v>
      </c>
      <c r="J150">
        <v>166.1</v>
      </c>
      <c r="K150">
        <v>161.1</v>
      </c>
      <c r="L150">
        <v>114.3</v>
      </c>
      <c r="M150">
        <v>162.6</v>
      </c>
      <c r="N150">
        <v>150.69999999999999</v>
      </c>
      <c r="O150">
        <v>170.3</v>
      </c>
      <c r="P150">
        <v>160.4</v>
      </c>
      <c r="Q150">
        <v>155.1</v>
      </c>
      <c r="R150">
        <v>138.69999999999999</v>
      </c>
      <c r="S150">
        <v>152.6</v>
      </c>
      <c r="T150">
        <v>159.9</v>
      </c>
      <c r="U150">
        <v>147.19999999999999</v>
      </c>
      <c r="V150">
        <v>156.9</v>
      </c>
      <c r="W150">
        <v>154.9</v>
      </c>
      <c r="X150">
        <v>141.69999999999999</v>
      </c>
      <c r="Y150">
        <v>148.6</v>
      </c>
      <c r="Z150">
        <v>193.5</v>
      </c>
      <c r="AA150">
        <v>154.80000000000001</v>
      </c>
      <c r="AB150">
        <v>157.6</v>
      </c>
      <c r="AC150">
        <v>150</v>
      </c>
      <c r="AD150">
        <v>156.9</v>
      </c>
      <c r="AE150">
        <f>SUM(Table1_1[[#This Row],[Cereals and products]:[Food and beverages]])</f>
        <v>2064.4999999999995</v>
      </c>
      <c r="AF150">
        <f>SUM(Table1_1[[#This Row],[Clothing and footwear]:[Clothing]])</f>
        <v>446.4</v>
      </c>
      <c r="AG150">
        <f>SUM(Table1_1[[#This Row],[Clothing]:[Education]])</f>
        <v>1861.4999999999998</v>
      </c>
      <c r="AH150">
        <f>SUM(Table1_1[[#This Row],[Health]:[Personal care and effects]])</f>
        <v>311.8</v>
      </c>
      <c r="AI150">
        <f>SUM(Table1_1[[#This Row],[Recreation and amusement]:[Miscellaneous]])</f>
        <v>804.5</v>
      </c>
      <c r="AJ150">
        <f>SUM(Table1_1[[#This Row],[Fuel and light]])</f>
        <v>154.80000000000001</v>
      </c>
      <c r="AK150">
        <f>SUM(Table1_1[[#This Row],[Food]:[Luxury &amp;Other Thing]])</f>
        <v>5488.7</v>
      </c>
      <c r="AL150">
        <f>SUM(Table1_1[[#This Row],[Food]:[Luxury &amp;Other Thing]])</f>
        <v>5488.7</v>
      </c>
    </row>
    <row r="151" spans="1:38" x14ac:dyDescent="0.25">
      <c r="A151" t="s">
        <v>34</v>
      </c>
      <c r="B151" t="s">
        <v>36</v>
      </c>
      <c r="C151">
        <v>2021</v>
      </c>
      <c r="D151">
        <v>144.1</v>
      </c>
      <c r="E151">
        <v>192.2</v>
      </c>
      <c r="F151">
        <v>163.80000000000001</v>
      </c>
      <c r="G151">
        <v>154.9</v>
      </c>
      <c r="H151">
        <v>163.9</v>
      </c>
      <c r="I151">
        <v>153.69999999999999</v>
      </c>
      <c r="J151">
        <v>149.5</v>
      </c>
      <c r="K151">
        <v>159.80000000000001</v>
      </c>
      <c r="L151">
        <v>112.6</v>
      </c>
      <c r="M151">
        <v>163.5</v>
      </c>
      <c r="N151">
        <v>156.5</v>
      </c>
      <c r="O151">
        <v>168.2</v>
      </c>
      <c r="P151">
        <v>156.69999999999999</v>
      </c>
      <c r="Q151">
        <v>157.80000000000001</v>
      </c>
      <c r="R151">
        <v>147.9</v>
      </c>
      <c r="S151">
        <v>156.4</v>
      </c>
      <c r="T151">
        <v>159.9</v>
      </c>
      <c r="U151">
        <v>151.19999999999999</v>
      </c>
      <c r="V151">
        <v>161.69999999999999</v>
      </c>
      <c r="W151">
        <v>153.80000000000001</v>
      </c>
      <c r="X151">
        <v>146.19999999999999</v>
      </c>
      <c r="Y151">
        <v>152.6</v>
      </c>
      <c r="Z151">
        <v>188.1</v>
      </c>
      <c r="AA151">
        <v>155.5</v>
      </c>
      <c r="AB151">
        <v>160.19999999999999</v>
      </c>
      <c r="AC151">
        <v>153.80000000000001</v>
      </c>
      <c r="AD151">
        <v>156.80000000000001</v>
      </c>
      <c r="AE151">
        <f>SUM(Table1_1[[#This Row],[Cereals and products]:[Food and beverages]])</f>
        <v>2039.3999999999999</v>
      </c>
      <c r="AF151">
        <f>SUM(Table1_1[[#This Row],[Clothing and footwear]:[Clothing]])</f>
        <v>462.1</v>
      </c>
      <c r="AG151">
        <f>SUM(Table1_1[[#This Row],[Clothing]:[Education]])</f>
        <v>1891.3</v>
      </c>
      <c r="AH151">
        <f>SUM(Table1_1[[#This Row],[Health]:[Personal care and effects]])</f>
        <v>315.5</v>
      </c>
      <c r="AI151">
        <f>SUM(Table1_1[[#This Row],[Recreation and amusement]:[Miscellaneous]])</f>
        <v>810.2</v>
      </c>
      <c r="AJ151">
        <f>SUM(Table1_1[[#This Row],[Fuel and light]])</f>
        <v>155.5</v>
      </c>
      <c r="AK151">
        <f>SUM(Table1_1[[#This Row],[Food]:[Luxury &amp;Other Thing]])</f>
        <v>5518.5</v>
      </c>
      <c r="AL151">
        <f>SUM(Table1_1[[#This Row],[Food]:[Luxury &amp;Other Thing]])</f>
        <v>5518.5</v>
      </c>
    </row>
    <row r="152" spans="1:38" x14ac:dyDescent="0.25">
      <c r="A152" t="s">
        <v>30</v>
      </c>
      <c r="B152" t="s">
        <v>36</v>
      </c>
      <c r="C152">
        <v>2022</v>
      </c>
      <c r="D152">
        <v>150.19999999999999</v>
      </c>
      <c r="E152">
        <v>208</v>
      </c>
      <c r="F152">
        <v>167.9</v>
      </c>
      <c r="G152">
        <v>162</v>
      </c>
      <c r="H152">
        <v>203.1</v>
      </c>
      <c r="I152">
        <v>155.9</v>
      </c>
      <c r="J152">
        <v>155.80000000000001</v>
      </c>
      <c r="K152">
        <v>164.2</v>
      </c>
      <c r="L152">
        <v>118.1</v>
      </c>
      <c r="M152">
        <v>178.7</v>
      </c>
      <c r="N152">
        <v>171.2</v>
      </c>
      <c r="O152">
        <v>177.4</v>
      </c>
      <c r="P152">
        <v>166.6</v>
      </c>
      <c r="Q152">
        <v>175.4</v>
      </c>
      <c r="R152">
        <v>173.2</v>
      </c>
      <c r="S152">
        <v>175.1</v>
      </c>
      <c r="T152">
        <v>139.5</v>
      </c>
      <c r="U152">
        <v>166.5</v>
      </c>
      <c r="V152">
        <v>176</v>
      </c>
      <c r="W152">
        <v>167.4</v>
      </c>
      <c r="X152">
        <v>162</v>
      </c>
      <c r="Y152">
        <v>166.6</v>
      </c>
      <c r="Z152">
        <v>192.3</v>
      </c>
      <c r="AA152">
        <v>168.9</v>
      </c>
      <c r="AB152">
        <v>170.6</v>
      </c>
      <c r="AC152">
        <v>168.3</v>
      </c>
      <c r="AD152">
        <v>168.7</v>
      </c>
      <c r="AE152">
        <f>SUM(Table1_1[[#This Row],[Cereals and products]:[Food and beverages]])</f>
        <v>2179.1000000000004</v>
      </c>
      <c r="AF152">
        <f>SUM(Table1_1[[#This Row],[Clothing and footwear]:[Clothing]])</f>
        <v>523.70000000000005</v>
      </c>
      <c r="AG152">
        <f>SUM(Table1_1[[#This Row],[Clothing]:[Education]])</f>
        <v>2033.5</v>
      </c>
      <c r="AH152">
        <f>SUM(Table1_1[[#This Row],[Health]:[Personal care and effects]])</f>
        <v>343.4</v>
      </c>
      <c r="AI152">
        <f>SUM(Table1_1[[#This Row],[Recreation and amusement]:[Miscellaneous]])</f>
        <v>866.7</v>
      </c>
      <c r="AJ152">
        <f>SUM(Table1_1[[#This Row],[Fuel and light]])</f>
        <v>168.9</v>
      </c>
      <c r="AK152">
        <f>SUM(Table1_1[[#This Row],[Food]:[Luxury &amp;Other Thing]])</f>
        <v>5946.4</v>
      </c>
      <c r="AL152">
        <f>SUM(Table1_1[[#This Row],[Food]:[Luxury &amp;Other Thing]])</f>
        <v>5946.4</v>
      </c>
    </row>
    <row r="153" spans="1:38" x14ac:dyDescent="0.25">
      <c r="A153" t="s">
        <v>33</v>
      </c>
      <c r="B153" t="s">
        <v>36</v>
      </c>
      <c r="C153">
        <v>2022</v>
      </c>
      <c r="D153">
        <v>153.69999999999999</v>
      </c>
      <c r="E153">
        <v>215.8</v>
      </c>
      <c r="F153">
        <v>167.7</v>
      </c>
      <c r="G153">
        <v>162.6</v>
      </c>
      <c r="H153">
        <v>180</v>
      </c>
      <c r="I153">
        <v>159.6</v>
      </c>
      <c r="J153">
        <v>188.4</v>
      </c>
      <c r="K153">
        <v>163.4</v>
      </c>
      <c r="L153">
        <v>120.3</v>
      </c>
      <c r="M153">
        <v>174.7</v>
      </c>
      <c r="N153">
        <v>157.1</v>
      </c>
      <c r="O153">
        <v>181.5</v>
      </c>
      <c r="P153">
        <v>171.5</v>
      </c>
      <c r="Q153">
        <v>167.1</v>
      </c>
      <c r="R153">
        <v>152.6</v>
      </c>
      <c r="S153">
        <v>164.9</v>
      </c>
      <c r="T153">
        <v>165.3</v>
      </c>
      <c r="U153">
        <v>158.6</v>
      </c>
      <c r="V153">
        <v>168.2</v>
      </c>
      <c r="W153">
        <v>166.8</v>
      </c>
      <c r="X153">
        <v>154.19999999999999</v>
      </c>
      <c r="Y153">
        <v>160.80000000000001</v>
      </c>
      <c r="Z153">
        <v>197.5</v>
      </c>
      <c r="AA153">
        <v>164.5</v>
      </c>
      <c r="AB153">
        <v>162.69999999999999</v>
      </c>
      <c r="AC153">
        <v>160.6</v>
      </c>
      <c r="AD153">
        <v>166.5</v>
      </c>
      <c r="AE153">
        <f>SUM(Table1_1[[#This Row],[Cereals and products]:[Food and beverages]])</f>
        <v>2196.3000000000002</v>
      </c>
      <c r="AF153">
        <f>SUM(Table1_1[[#This Row],[Clothing and footwear]:[Clothing]])</f>
        <v>484.6</v>
      </c>
      <c r="AG153">
        <f>SUM(Table1_1[[#This Row],[Clothing]:[Education]])</f>
        <v>1983.2</v>
      </c>
      <c r="AH153">
        <f>SUM(Table1_1[[#This Row],[Health]:[Personal care and effects]])</f>
        <v>335</v>
      </c>
      <c r="AI153">
        <f>SUM(Table1_1[[#This Row],[Recreation and amusement]:[Miscellaneous]])</f>
        <v>846.1</v>
      </c>
      <c r="AJ153">
        <f>SUM(Table1_1[[#This Row],[Fuel and light]])</f>
        <v>164.5</v>
      </c>
      <c r="AK153">
        <f>SUM(Table1_1[[#This Row],[Food]:[Luxury &amp;Other Thing]])</f>
        <v>5845.2000000000007</v>
      </c>
      <c r="AL153">
        <f>SUM(Table1_1[[#This Row],[Food]:[Luxury &amp;Other Thing]])</f>
        <v>5845.2000000000007</v>
      </c>
    </row>
    <row r="154" spans="1:38" x14ac:dyDescent="0.25">
      <c r="A154" t="s">
        <v>34</v>
      </c>
      <c r="B154" t="s">
        <v>36</v>
      </c>
      <c r="C154">
        <v>2022</v>
      </c>
      <c r="D154">
        <v>151.30000000000001</v>
      </c>
      <c r="E154">
        <v>210.7</v>
      </c>
      <c r="F154">
        <v>167.8</v>
      </c>
      <c r="G154">
        <v>162.19999999999999</v>
      </c>
      <c r="H154">
        <v>194.6</v>
      </c>
      <c r="I154">
        <v>157.6</v>
      </c>
      <c r="J154">
        <v>166.9</v>
      </c>
      <c r="K154">
        <v>163.9</v>
      </c>
      <c r="L154">
        <v>118.8</v>
      </c>
      <c r="M154">
        <v>177.4</v>
      </c>
      <c r="N154">
        <v>165.3</v>
      </c>
      <c r="O154">
        <v>179.3</v>
      </c>
      <c r="P154">
        <v>168.4</v>
      </c>
      <c r="Q154">
        <v>172.1</v>
      </c>
      <c r="R154">
        <v>164.6</v>
      </c>
      <c r="S154">
        <v>171.1</v>
      </c>
      <c r="T154">
        <v>165.3</v>
      </c>
      <c r="U154">
        <v>162.80000000000001</v>
      </c>
      <c r="V154">
        <v>173</v>
      </c>
      <c r="W154">
        <v>167.2</v>
      </c>
      <c r="X154">
        <v>157.9</v>
      </c>
      <c r="Y154">
        <v>163.30000000000001</v>
      </c>
      <c r="Z154">
        <v>193.7</v>
      </c>
      <c r="AA154">
        <v>167.2</v>
      </c>
      <c r="AB154">
        <v>166</v>
      </c>
      <c r="AC154">
        <v>164.6</v>
      </c>
      <c r="AD154">
        <v>167.7</v>
      </c>
      <c r="AE154">
        <f>SUM(Table1_1[[#This Row],[Cereals and products]:[Food and beverages]])</f>
        <v>2184.2000000000003</v>
      </c>
      <c r="AF154">
        <f>SUM(Table1_1[[#This Row],[Clothing and footwear]:[Clothing]])</f>
        <v>507.79999999999995</v>
      </c>
      <c r="AG154">
        <f>SUM(Table1_1[[#This Row],[Clothing]:[Education]])</f>
        <v>2024.2</v>
      </c>
      <c r="AH154">
        <f>SUM(Table1_1[[#This Row],[Health]:[Personal care and effects]])</f>
        <v>340.2</v>
      </c>
      <c r="AI154">
        <f>SUM(Table1_1[[#This Row],[Recreation and amusement]:[Miscellaneous]])</f>
        <v>854.80000000000007</v>
      </c>
      <c r="AJ154">
        <f>SUM(Table1_1[[#This Row],[Fuel and light]])</f>
        <v>167.2</v>
      </c>
      <c r="AK154">
        <f>SUM(Table1_1[[#This Row],[Food]:[Luxury &amp;Other Thing]])</f>
        <v>5911.2</v>
      </c>
      <c r="AL154">
        <f>SUM(Table1_1[[#This Row],[Food]:[Luxury &amp;Other Thing]])</f>
        <v>5911.2</v>
      </c>
    </row>
    <row r="155" spans="1:38" x14ac:dyDescent="0.25">
      <c r="A155" t="s">
        <v>30</v>
      </c>
      <c r="B155" t="s">
        <v>36</v>
      </c>
      <c r="C155">
        <v>2023</v>
      </c>
      <c r="D155">
        <v>174.3</v>
      </c>
      <c r="E155">
        <v>205.2</v>
      </c>
      <c r="F155">
        <v>173.9</v>
      </c>
      <c r="G155">
        <v>177</v>
      </c>
      <c r="H155">
        <v>183.3</v>
      </c>
      <c r="I155">
        <v>167.2</v>
      </c>
      <c r="J155">
        <v>140.9</v>
      </c>
      <c r="K155">
        <v>170.5</v>
      </c>
      <c r="L155">
        <v>119.1</v>
      </c>
      <c r="M155">
        <v>212.1</v>
      </c>
      <c r="N155">
        <v>177.6</v>
      </c>
      <c r="O155">
        <v>189.9</v>
      </c>
      <c r="P155">
        <v>174.8</v>
      </c>
      <c r="Q155">
        <v>190</v>
      </c>
      <c r="R155">
        <v>187</v>
      </c>
      <c r="S155">
        <v>189.6</v>
      </c>
      <c r="T155">
        <v>139.5</v>
      </c>
      <c r="U155">
        <v>178.6</v>
      </c>
      <c r="V155">
        <v>186.6</v>
      </c>
      <c r="W155">
        <v>180.7</v>
      </c>
      <c r="X155">
        <v>169</v>
      </c>
      <c r="Y155">
        <v>172.8</v>
      </c>
      <c r="Z155">
        <v>198.4</v>
      </c>
      <c r="AA155">
        <v>181.4</v>
      </c>
      <c r="AB155">
        <v>178.5</v>
      </c>
      <c r="AC155">
        <v>177.9</v>
      </c>
      <c r="AD155">
        <v>178</v>
      </c>
      <c r="AE155">
        <f>SUM(Table1_1[[#This Row],[Cereals and products]:[Food and beverages]])</f>
        <v>2265.8000000000002</v>
      </c>
      <c r="AF155">
        <f>SUM(Table1_1[[#This Row],[Clothing and footwear]:[Clothing]])</f>
        <v>566.6</v>
      </c>
      <c r="AG155">
        <f>SUM(Table1_1[[#This Row],[Clothing]:[Education]])</f>
        <v>2152.1000000000004</v>
      </c>
      <c r="AH155">
        <f>SUM(Table1_1[[#This Row],[Health]:[Personal care and effects]])</f>
        <v>367.29999999999995</v>
      </c>
      <c r="AI155">
        <f>SUM(Table1_1[[#This Row],[Recreation and amusement]:[Miscellaneous]])</f>
        <v>909</v>
      </c>
      <c r="AJ155">
        <f>SUM(Table1_1[[#This Row],[Fuel and light]])</f>
        <v>181.4</v>
      </c>
      <c r="AK155">
        <f>SUM(Table1_1[[#This Row],[Food]:[Luxury &amp;Other Thing]])</f>
        <v>6260.8</v>
      </c>
      <c r="AL155">
        <f>SUM(Table1_1[[#This Row],[Food]:[Luxury &amp;Other Thing]])</f>
        <v>6260.8</v>
      </c>
    </row>
    <row r="156" spans="1:38" x14ac:dyDescent="0.25">
      <c r="A156" t="s">
        <v>33</v>
      </c>
      <c r="B156" t="s">
        <v>36</v>
      </c>
      <c r="C156">
        <v>2023</v>
      </c>
      <c r="D156">
        <v>174.7</v>
      </c>
      <c r="E156">
        <v>212.2</v>
      </c>
      <c r="F156">
        <v>177.2</v>
      </c>
      <c r="G156">
        <v>177.9</v>
      </c>
      <c r="H156">
        <v>172.2</v>
      </c>
      <c r="I156">
        <v>172.1</v>
      </c>
      <c r="J156">
        <v>175.9</v>
      </c>
      <c r="K156">
        <v>172.2</v>
      </c>
      <c r="L156">
        <v>121.9</v>
      </c>
      <c r="M156">
        <v>204.8</v>
      </c>
      <c r="N156">
        <v>164.9</v>
      </c>
      <c r="O156">
        <v>196.6</v>
      </c>
      <c r="P156">
        <v>180.8</v>
      </c>
      <c r="Q156">
        <v>180.2</v>
      </c>
      <c r="R156">
        <v>167</v>
      </c>
      <c r="S156">
        <v>178.2</v>
      </c>
      <c r="T156">
        <v>173.5</v>
      </c>
      <c r="U156">
        <v>169.2</v>
      </c>
      <c r="V156">
        <v>180.8</v>
      </c>
      <c r="W156">
        <v>181.5</v>
      </c>
      <c r="X156">
        <v>159.80000000000001</v>
      </c>
      <c r="Y156">
        <v>168.4</v>
      </c>
      <c r="Z156">
        <v>202.7</v>
      </c>
      <c r="AA156">
        <v>182.6</v>
      </c>
      <c r="AB156">
        <v>172.5</v>
      </c>
      <c r="AC156">
        <v>170</v>
      </c>
      <c r="AD156">
        <v>176.3</v>
      </c>
      <c r="AE156">
        <f>SUM(Table1_1[[#This Row],[Cereals and products]:[Food and beverages]])</f>
        <v>2303.4</v>
      </c>
      <c r="AF156">
        <f>SUM(Table1_1[[#This Row],[Clothing and footwear]:[Clothing]])</f>
        <v>525.4</v>
      </c>
      <c r="AG156">
        <f>SUM(Table1_1[[#This Row],[Clothing]:[Education]])</f>
        <v>2116.3999999999996</v>
      </c>
      <c r="AH156">
        <f>SUM(Table1_1[[#This Row],[Health]:[Personal care and effects]])</f>
        <v>362.3</v>
      </c>
      <c r="AI156">
        <f>SUM(Table1_1[[#This Row],[Recreation and amusement]:[Miscellaneous]])</f>
        <v>896.2</v>
      </c>
      <c r="AJ156">
        <f>SUM(Table1_1[[#This Row],[Fuel and light]])</f>
        <v>182.6</v>
      </c>
      <c r="AK156">
        <f>SUM(Table1_1[[#This Row],[Food]:[Luxury &amp;Other Thing]])</f>
        <v>6203.7</v>
      </c>
      <c r="AL156">
        <f>SUM(Table1_1[[#This Row],[Food]:[Luxury &amp;Other Thing]])</f>
        <v>6203.7</v>
      </c>
    </row>
    <row r="157" spans="1:38" x14ac:dyDescent="0.25">
      <c r="A157" t="s">
        <v>34</v>
      </c>
      <c r="B157" t="s">
        <v>36</v>
      </c>
      <c r="C157">
        <v>2023</v>
      </c>
      <c r="D157">
        <v>174.4</v>
      </c>
      <c r="E157">
        <v>207.7</v>
      </c>
      <c r="F157">
        <v>175.2</v>
      </c>
      <c r="G157">
        <v>177.3</v>
      </c>
      <c r="H157">
        <v>179.2</v>
      </c>
      <c r="I157">
        <v>169.5</v>
      </c>
      <c r="J157">
        <v>152.80000000000001</v>
      </c>
      <c r="K157">
        <v>171.1</v>
      </c>
      <c r="L157">
        <v>120</v>
      </c>
      <c r="M157">
        <v>209.7</v>
      </c>
      <c r="N157">
        <v>172.3</v>
      </c>
      <c r="O157">
        <v>193</v>
      </c>
      <c r="P157">
        <v>177</v>
      </c>
      <c r="Q157">
        <v>186.1</v>
      </c>
      <c r="R157">
        <v>178.7</v>
      </c>
      <c r="S157">
        <v>185.1</v>
      </c>
      <c r="T157">
        <v>173.5</v>
      </c>
      <c r="U157">
        <v>174.2</v>
      </c>
      <c r="V157">
        <v>184.4</v>
      </c>
      <c r="W157">
        <v>181</v>
      </c>
      <c r="X157">
        <v>164.2</v>
      </c>
      <c r="Y157">
        <v>170.3</v>
      </c>
      <c r="Z157">
        <v>199.5</v>
      </c>
      <c r="AA157">
        <v>181.9</v>
      </c>
      <c r="AB157">
        <v>175</v>
      </c>
      <c r="AC157">
        <v>174.1</v>
      </c>
      <c r="AD157">
        <v>177.2</v>
      </c>
      <c r="AE157">
        <f>SUM(Table1_1[[#This Row],[Cereals and products]:[Food and beverages]])</f>
        <v>2279.1999999999998</v>
      </c>
      <c r="AF157">
        <f>SUM(Table1_1[[#This Row],[Clothing and footwear]:[Clothing]])</f>
        <v>549.9</v>
      </c>
      <c r="AG157">
        <f>SUM(Table1_1[[#This Row],[Clothing]:[Education]])</f>
        <v>2153.9</v>
      </c>
      <c r="AH157">
        <f>SUM(Table1_1[[#This Row],[Health]:[Personal care and effects]])</f>
        <v>365.4</v>
      </c>
      <c r="AI157">
        <f>SUM(Table1_1[[#This Row],[Recreation and amusement]:[Miscellaneous]])</f>
        <v>900.80000000000007</v>
      </c>
      <c r="AJ157">
        <f>SUM(Table1_1[[#This Row],[Fuel and light]])</f>
        <v>181.9</v>
      </c>
      <c r="AK157">
        <f>SUM(Table1_1[[#This Row],[Food]:[Luxury &amp;Other Thing]])</f>
        <v>6249.2</v>
      </c>
      <c r="AL157">
        <f>SUM(Table1_1[[#This Row],[Food]:[Luxury &amp;Other Thing]])</f>
        <v>6249.2</v>
      </c>
    </row>
    <row r="158" spans="1:38" x14ac:dyDescent="0.25">
      <c r="A158" t="s">
        <v>30</v>
      </c>
      <c r="B158" t="s">
        <v>39</v>
      </c>
      <c r="C158">
        <v>2013</v>
      </c>
      <c r="D158">
        <v>112.3</v>
      </c>
      <c r="E158">
        <v>112.1</v>
      </c>
      <c r="F158">
        <v>108.1</v>
      </c>
      <c r="G158">
        <v>108.3</v>
      </c>
      <c r="H158">
        <v>105.9</v>
      </c>
      <c r="I158">
        <v>109.2</v>
      </c>
      <c r="J158">
        <v>118</v>
      </c>
      <c r="K158">
        <v>106.8</v>
      </c>
      <c r="L158">
        <v>104.1</v>
      </c>
      <c r="M158">
        <v>105.4</v>
      </c>
      <c r="N158">
        <v>108.2</v>
      </c>
      <c r="O158">
        <v>111</v>
      </c>
      <c r="P158">
        <v>110.6</v>
      </c>
      <c r="Q158">
        <v>109.7</v>
      </c>
      <c r="R158">
        <v>108.8</v>
      </c>
      <c r="S158">
        <v>109.5</v>
      </c>
      <c r="T158">
        <v>139.5</v>
      </c>
      <c r="U158">
        <v>107.5</v>
      </c>
      <c r="V158">
        <v>106.3</v>
      </c>
      <c r="W158">
        <v>102.5</v>
      </c>
      <c r="X158">
        <v>105</v>
      </c>
      <c r="Y158">
        <v>105.6</v>
      </c>
      <c r="Z158">
        <v>109</v>
      </c>
      <c r="AA158">
        <v>108.5</v>
      </c>
      <c r="AB158">
        <v>106.5</v>
      </c>
      <c r="AC158">
        <v>105.5</v>
      </c>
      <c r="AD158">
        <v>108.9</v>
      </c>
      <c r="AE158">
        <f>SUM(Table1_1[[#This Row],[Cereals and products]:[Food and beverages]])</f>
        <v>1420</v>
      </c>
      <c r="AF158">
        <f>SUM(Table1_1[[#This Row],[Clothing and footwear]:[Clothing]])</f>
        <v>328</v>
      </c>
      <c r="AG158">
        <f>SUM(Table1_1[[#This Row],[Clothing]:[Education]])</f>
        <v>1318.4</v>
      </c>
      <c r="AH158">
        <f>SUM(Table1_1[[#This Row],[Health]:[Personal care and effects]])</f>
        <v>208.8</v>
      </c>
      <c r="AI158">
        <f>SUM(Table1_1[[#This Row],[Recreation and amusement]:[Miscellaneous]])</f>
        <v>535.1</v>
      </c>
      <c r="AJ158">
        <f>SUM(Table1_1[[#This Row],[Fuel and light]])</f>
        <v>108.5</v>
      </c>
      <c r="AK158">
        <f>SUM(Table1_1[[#This Row],[Food]:[Luxury &amp;Other Thing]])</f>
        <v>3810.3</v>
      </c>
      <c r="AL158">
        <f>SUM(Table1_1[[#This Row],[Food]:[Luxury &amp;Other Thing]])</f>
        <v>3810.3</v>
      </c>
    </row>
    <row r="159" spans="1:38" x14ac:dyDescent="0.25">
      <c r="A159" t="s">
        <v>33</v>
      </c>
      <c r="B159" t="s">
        <v>39</v>
      </c>
      <c r="C159">
        <v>2013</v>
      </c>
      <c r="D159">
        <v>117</v>
      </c>
      <c r="E159">
        <v>120.1</v>
      </c>
      <c r="F159">
        <v>112.5</v>
      </c>
      <c r="G159">
        <v>107.3</v>
      </c>
      <c r="H159">
        <v>101.3</v>
      </c>
      <c r="I159">
        <v>112.4</v>
      </c>
      <c r="J159">
        <v>143.6</v>
      </c>
      <c r="K159">
        <v>105.4</v>
      </c>
      <c r="L159">
        <v>101.4</v>
      </c>
      <c r="M159">
        <v>106.4</v>
      </c>
      <c r="N159">
        <v>110</v>
      </c>
      <c r="O159">
        <v>112.2</v>
      </c>
      <c r="P159">
        <v>115</v>
      </c>
      <c r="Q159">
        <v>109.2</v>
      </c>
      <c r="R159">
        <v>107.2</v>
      </c>
      <c r="S159">
        <v>108.9</v>
      </c>
      <c r="T159">
        <v>106.6</v>
      </c>
      <c r="U159">
        <v>107.7</v>
      </c>
      <c r="V159">
        <v>106.5</v>
      </c>
      <c r="W159">
        <v>103.3</v>
      </c>
      <c r="X159">
        <v>105.2</v>
      </c>
      <c r="Y159">
        <v>105.2</v>
      </c>
      <c r="Z159">
        <v>110.9</v>
      </c>
      <c r="AA159">
        <v>108</v>
      </c>
      <c r="AB159">
        <v>108.1</v>
      </c>
      <c r="AC159">
        <v>106.1</v>
      </c>
      <c r="AD159">
        <v>109.7</v>
      </c>
      <c r="AE159">
        <f>SUM(Table1_1[[#This Row],[Cereals and products]:[Food and beverages]])</f>
        <v>1464.6000000000001</v>
      </c>
      <c r="AF159">
        <f>SUM(Table1_1[[#This Row],[Clothing and footwear]:[Clothing]])</f>
        <v>325.3</v>
      </c>
      <c r="AG159">
        <f>SUM(Table1_1[[#This Row],[Clothing]:[Education]])</f>
        <v>1286.8</v>
      </c>
      <c r="AH159">
        <f>SUM(Table1_1[[#This Row],[Health]:[Personal care and effects]])</f>
        <v>209.8</v>
      </c>
      <c r="AI159">
        <f>SUM(Table1_1[[#This Row],[Recreation and amusement]:[Miscellaneous]])</f>
        <v>538.30000000000007</v>
      </c>
      <c r="AJ159">
        <f>SUM(Table1_1[[#This Row],[Fuel and light]])</f>
        <v>108</v>
      </c>
      <c r="AK159">
        <f>SUM(Table1_1[[#This Row],[Food]:[Luxury &amp;Other Thing]])</f>
        <v>3824.8</v>
      </c>
      <c r="AL159">
        <f>SUM(Table1_1[[#This Row],[Food]:[Luxury &amp;Other Thing]])</f>
        <v>3824.8</v>
      </c>
    </row>
    <row r="160" spans="1:38" x14ac:dyDescent="0.25">
      <c r="A160" t="s">
        <v>34</v>
      </c>
      <c r="B160" t="s">
        <v>39</v>
      </c>
      <c r="C160">
        <v>2013</v>
      </c>
      <c r="D160">
        <v>113.8</v>
      </c>
      <c r="E160">
        <v>114.9</v>
      </c>
      <c r="F160">
        <v>109.8</v>
      </c>
      <c r="G160">
        <v>107.9</v>
      </c>
      <c r="H160">
        <v>104.2</v>
      </c>
      <c r="I160">
        <v>110.7</v>
      </c>
      <c r="J160">
        <v>126.7</v>
      </c>
      <c r="K160">
        <v>106.3</v>
      </c>
      <c r="L160">
        <v>103.2</v>
      </c>
      <c r="M160">
        <v>105.7</v>
      </c>
      <c r="N160">
        <v>109</v>
      </c>
      <c r="O160">
        <v>111.6</v>
      </c>
      <c r="P160">
        <v>112.2</v>
      </c>
      <c r="Q160">
        <v>109.5</v>
      </c>
      <c r="R160">
        <v>108.1</v>
      </c>
      <c r="S160">
        <v>109.3</v>
      </c>
      <c r="T160">
        <v>106.6</v>
      </c>
      <c r="U160">
        <v>107.6</v>
      </c>
      <c r="V160">
        <v>106.4</v>
      </c>
      <c r="W160">
        <v>102.8</v>
      </c>
      <c r="X160">
        <v>105.1</v>
      </c>
      <c r="Y160">
        <v>105.4</v>
      </c>
      <c r="Z160">
        <v>109.5</v>
      </c>
      <c r="AA160">
        <v>108.3</v>
      </c>
      <c r="AB160">
        <v>107.4</v>
      </c>
      <c r="AC160">
        <v>105.8</v>
      </c>
      <c r="AD160">
        <v>109.3</v>
      </c>
      <c r="AE160">
        <f>SUM(Table1_1[[#This Row],[Cereals and products]:[Food and beverages]])</f>
        <v>1436</v>
      </c>
      <c r="AF160">
        <f>SUM(Table1_1[[#This Row],[Clothing and footwear]:[Clothing]])</f>
        <v>326.89999999999998</v>
      </c>
      <c r="AG160">
        <f>SUM(Table1_1[[#This Row],[Clothing]:[Education]])</f>
        <v>1286</v>
      </c>
      <c r="AH160">
        <f>SUM(Table1_1[[#This Row],[Health]:[Personal care and effects]])</f>
        <v>209.2</v>
      </c>
      <c r="AI160">
        <f>SUM(Table1_1[[#This Row],[Recreation and amusement]:[Miscellaneous]])</f>
        <v>536.4</v>
      </c>
      <c r="AJ160">
        <f>SUM(Table1_1[[#This Row],[Fuel and light]])</f>
        <v>108.3</v>
      </c>
      <c r="AK160">
        <f>SUM(Table1_1[[#This Row],[Food]:[Luxury &amp;Other Thing]])</f>
        <v>3794.5</v>
      </c>
      <c r="AL160">
        <f>SUM(Table1_1[[#This Row],[Food]:[Luxury &amp;Other Thing]])</f>
        <v>3794.5</v>
      </c>
    </row>
    <row r="161" spans="1:38" x14ac:dyDescent="0.25">
      <c r="A161" t="s">
        <v>30</v>
      </c>
      <c r="B161" t="s">
        <v>39</v>
      </c>
      <c r="C161">
        <v>2014</v>
      </c>
      <c r="D161">
        <v>120.7</v>
      </c>
      <c r="E161">
        <v>121.6</v>
      </c>
      <c r="F161">
        <v>116.1</v>
      </c>
      <c r="G161">
        <v>119.3</v>
      </c>
      <c r="H161">
        <v>110.3</v>
      </c>
      <c r="I161">
        <v>125.8</v>
      </c>
      <c r="J161">
        <v>129.30000000000001</v>
      </c>
      <c r="K161">
        <v>112.2</v>
      </c>
      <c r="L161">
        <v>103.6</v>
      </c>
      <c r="M161">
        <v>112.3</v>
      </c>
      <c r="N161">
        <v>114.9</v>
      </c>
      <c r="O161">
        <v>120.1</v>
      </c>
      <c r="P161">
        <v>119.5</v>
      </c>
      <c r="Q161">
        <v>119.7</v>
      </c>
      <c r="R161">
        <v>117.3</v>
      </c>
      <c r="S161">
        <v>119.3</v>
      </c>
      <c r="T161">
        <v>139.5</v>
      </c>
      <c r="U161">
        <v>114.9</v>
      </c>
      <c r="V161">
        <v>112.8</v>
      </c>
      <c r="W161">
        <v>108</v>
      </c>
      <c r="X161">
        <v>112.2</v>
      </c>
      <c r="Y161">
        <v>111.4</v>
      </c>
      <c r="Z161">
        <v>117.3</v>
      </c>
      <c r="AA161">
        <v>114.4</v>
      </c>
      <c r="AB161">
        <v>114.3</v>
      </c>
      <c r="AC161">
        <v>112.3</v>
      </c>
      <c r="AD161">
        <v>117</v>
      </c>
      <c r="AE161">
        <f>SUM(Table1_1[[#This Row],[Cereals and products]:[Food and beverages]])</f>
        <v>1525.6999999999998</v>
      </c>
      <c r="AF161">
        <f>SUM(Table1_1[[#This Row],[Clothing and footwear]:[Clothing]])</f>
        <v>356.3</v>
      </c>
      <c r="AG161">
        <f>SUM(Table1_1[[#This Row],[Clothing]:[Education]])</f>
        <v>1401.1000000000001</v>
      </c>
      <c r="AH161">
        <f>SUM(Table1_1[[#This Row],[Health]:[Personal care and effects]])</f>
        <v>220.8</v>
      </c>
      <c r="AI161">
        <f>SUM(Table1_1[[#This Row],[Recreation and amusement]:[Miscellaneous]])</f>
        <v>569.70000000000005</v>
      </c>
      <c r="AJ161">
        <f>SUM(Table1_1[[#This Row],[Fuel and light]])</f>
        <v>114.4</v>
      </c>
      <c r="AK161">
        <f>SUM(Table1_1[[#This Row],[Food]:[Luxury &amp;Other Thing]])</f>
        <v>4073.6000000000004</v>
      </c>
      <c r="AL161">
        <f>SUM(Table1_1[[#This Row],[Food]:[Luxury &amp;Other Thing]])</f>
        <v>4073.6000000000004</v>
      </c>
    </row>
    <row r="162" spans="1:38" x14ac:dyDescent="0.25">
      <c r="A162" t="s">
        <v>33</v>
      </c>
      <c r="B162" t="s">
        <v>39</v>
      </c>
      <c r="C162">
        <v>2014</v>
      </c>
      <c r="D162">
        <v>123.1</v>
      </c>
      <c r="E162">
        <v>125.9</v>
      </c>
      <c r="F162">
        <v>115.4</v>
      </c>
      <c r="G162">
        <v>120.4</v>
      </c>
      <c r="H162">
        <v>103.4</v>
      </c>
      <c r="I162">
        <v>131.19999999999999</v>
      </c>
      <c r="J162">
        <v>137.5</v>
      </c>
      <c r="K162">
        <v>112.8</v>
      </c>
      <c r="L162">
        <v>101.4</v>
      </c>
      <c r="M162">
        <v>118.3</v>
      </c>
      <c r="N162">
        <v>113.2</v>
      </c>
      <c r="O162">
        <v>122.4</v>
      </c>
      <c r="P162">
        <v>122</v>
      </c>
      <c r="Q162">
        <v>117.4</v>
      </c>
      <c r="R162">
        <v>113.2</v>
      </c>
      <c r="S162">
        <v>116.7</v>
      </c>
      <c r="T162">
        <v>113.9</v>
      </c>
      <c r="U162">
        <v>114.3</v>
      </c>
      <c r="V162">
        <v>111.4</v>
      </c>
      <c r="W162">
        <v>108.7</v>
      </c>
      <c r="X162">
        <v>111.5</v>
      </c>
      <c r="Y162">
        <v>111.8</v>
      </c>
      <c r="Z162">
        <v>119</v>
      </c>
      <c r="AA162">
        <v>111.2</v>
      </c>
      <c r="AB162">
        <v>115.1</v>
      </c>
      <c r="AC162">
        <v>112.2</v>
      </c>
      <c r="AD162">
        <v>116.4</v>
      </c>
      <c r="AE162">
        <f>SUM(Table1_1[[#This Row],[Cereals and products]:[Food and beverages]])</f>
        <v>1547</v>
      </c>
      <c r="AF162">
        <f>SUM(Table1_1[[#This Row],[Clothing and footwear]:[Clothing]])</f>
        <v>347.3</v>
      </c>
      <c r="AG162">
        <f>SUM(Table1_1[[#This Row],[Clothing]:[Education]])</f>
        <v>1364.2</v>
      </c>
      <c r="AH162">
        <f>SUM(Table1_1[[#This Row],[Health]:[Personal care and effects]])</f>
        <v>220.10000000000002</v>
      </c>
      <c r="AI162">
        <f>SUM(Table1_1[[#This Row],[Recreation and amusement]:[Miscellaneous]])</f>
        <v>569.30000000000007</v>
      </c>
      <c r="AJ162">
        <f>SUM(Table1_1[[#This Row],[Fuel and light]])</f>
        <v>111.2</v>
      </c>
      <c r="AK162">
        <f>SUM(Table1_1[[#This Row],[Food]:[Luxury &amp;Other Thing]])</f>
        <v>4047.9</v>
      </c>
      <c r="AL162">
        <f>SUM(Table1_1[[#This Row],[Food]:[Luxury &amp;Other Thing]])</f>
        <v>4047.9</v>
      </c>
    </row>
    <row r="163" spans="1:38" x14ac:dyDescent="0.25">
      <c r="A163" t="s">
        <v>34</v>
      </c>
      <c r="B163" t="s">
        <v>39</v>
      </c>
      <c r="C163">
        <v>2014</v>
      </c>
      <c r="D163">
        <v>121.5</v>
      </c>
      <c r="E163">
        <v>123.1</v>
      </c>
      <c r="F163">
        <v>115.8</v>
      </c>
      <c r="G163">
        <v>119.7</v>
      </c>
      <c r="H163">
        <v>107.8</v>
      </c>
      <c r="I163">
        <v>128.30000000000001</v>
      </c>
      <c r="J163">
        <v>132.1</v>
      </c>
      <c r="K163">
        <v>112.4</v>
      </c>
      <c r="L163">
        <v>102.9</v>
      </c>
      <c r="M163">
        <v>114.3</v>
      </c>
      <c r="N163">
        <v>114.2</v>
      </c>
      <c r="O163">
        <v>121.2</v>
      </c>
      <c r="P163">
        <v>120.4</v>
      </c>
      <c r="Q163">
        <v>118.8</v>
      </c>
      <c r="R163">
        <v>115.6</v>
      </c>
      <c r="S163">
        <v>118.3</v>
      </c>
      <c r="T163">
        <v>113.9</v>
      </c>
      <c r="U163">
        <v>114.6</v>
      </c>
      <c r="V163">
        <v>112.3</v>
      </c>
      <c r="W163">
        <v>108.3</v>
      </c>
      <c r="X163">
        <v>111.8</v>
      </c>
      <c r="Y163">
        <v>111.6</v>
      </c>
      <c r="Z163">
        <v>117.8</v>
      </c>
      <c r="AA163">
        <v>113.2</v>
      </c>
      <c r="AB163">
        <v>114.8</v>
      </c>
      <c r="AC163">
        <v>112.3</v>
      </c>
      <c r="AD163">
        <v>116.7</v>
      </c>
      <c r="AE163">
        <f>SUM(Table1_1[[#This Row],[Cereals and products]:[Food and beverages]])</f>
        <v>1533.7000000000003</v>
      </c>
      <c r="AF163">
        <f>SUM(Table1_1[[#This Row],[Clothing and footwear]:[Clothing]])</f>
        <v>352.7</v>
      </c>
      <c r="AG163">
        <f>SUM(Table1_1[[#This Row],[Clothing]:[Education]])</f>
        <v>1370.9999999999998</v>
      </c>
      <c r="AH163">
        <f>SUM(Table1_1[[#This Row],[Health]:[Personal care and effects]])</f>
        <v>220.6</v>
      </c>
      <c r="AI163">
        <f>SUM(Table1_1[[#This Row],[Recreation and amusement]:[Miscellaneous]])</f>
        <v>569.69999999999993</v>
      </c>
      <c r="AJ163">
        <f>SUM(Table1_1[[#This Row],[Fuel and light]])</f>
        <v>113.2</v>
      </c>
      <c r="AK163">
        <f>SUM(Table1_1[[#This Row],[Food]:[Luxury &amp;Other Thing]])</f>
        <v>4047.7</v>
      </c>
      <c r="AL163">
        <f>SUM(Table1_1[[#This Row],[Food]:[Luxury &amp;Other Thing]])</f>
        <v>4047.7</v>
      </c>
    </row>
    <row r="164" spans="1:38" x14ac:dyDescent="0.25">
      <c r="A164" t="s">
        <v>30</v>
      </c>
      <c r="B164" t="s">
        <v>39</v>
      </c>
      <c r="C164">
        <v>2015</v>
      </c>
      <c r="D164">
        <v>124.1</v>
      </c>
      <c r="E164">
        <v>130.4</v>
      </c>
      <c r="F164">
        <v>122.1</v>
      </c>
      <c r="G164">
        <v>128.69999999999999</v>
      </c>
      <c r="H164">
        <v>114.1</v>
      </c>
      <c r="I164">
        <v>133.19999999999999</v>
      </c>
      <c r="J164">
        <v>135.19999999999999</v>
      </c>
      <c r="K164">
        <v>131.9</v>
      </c>
      <c r="L164">
        <v>96.3</v>
      </c>
      <c r="M164">
        <v>123</v>
      </c>
      <c r="N164">
        <v>121.1</v>
      </c>
      <c r="O164">
        <v>131.19999999999999</v>
      </c>
      <c r="P164">
        <v>126.6</v>
      </c>
      <c r="Q164">
        <v>128.4</v>
      </c>
      <c r="R164">
        <v>125.1</v>
      </c>
      <c r="S164">
        <v>128</v>
      </c>
      <c r="T164">
        <v>139.5</v>
      </c>
      <c r="U164">
        <v>122.8</v>
      </c>
      <c r="V164">
        <v>120.4</v>
      </c>
      <c r="W164">
        <v>113</v>
      </c>
      <c r="X164">
        <v>114.2</v>
      </c>
      <c r="Y164">
        <v>117.9</v>
      </c>
      <c r="Z164">
        <v>128.19999999999999</v>
      </c>
      <c r="AA164">
        <v>122.6</v>
      </c>
      <c r="AB164">
        <v>122</v>
      </c>
      <c r="AC164">
        <v>117.9</v>
      </c>
      <c r="AD164">
        <v>124.1</v>
      </c>
      <c r="AE164">
        <f>SUM(Table1_1[[#This Row],[Cereals and products]:[Food and beverages]])</f>
        <v>1617.8999999999999</v>
      </c>
      <c r="AF164">
        <f>SUM(Table1_1[[#This Row],[Clothing and footwear]:[Clothing]])</f>
        <v>381.5</v>
      </c>
      <c r="AG164">
        <f>SUM(Table1_1[[#This Row],[Clothing]:[Education]])</f>
        <v>1482.1</v>
      </c>
      <c r="AH164">
        <f>SUM(Table1_1[[#This Row],[Health]:[Personal care and effects]])</f>
        <v>233.4</v>
      </c>
      <c r="AI164">
        <f>SUM(Table1_1[[#This Row],[Recreation and amusement]:[Miscellaneous]])</f>
        <v>608.6</v>
      </c>
      <c r="AJ164">
        <f>SUM(Table1_1[[#This Row],[Fuel and light]])</f>
        <v>122.6</v>
      </c>
      <c r="AK164">
        <f>SUM(Table1_1[[#This Row],[Food]:[Luxury &amp;Other Thing]])</f>
        <v>4323.5</v>
      </c>
      <c r="AL164">
        <f>SUM(Table1_1[[#This Row],[Food]:[Luxury &amp;Other Thing]])</f>
        <v>4323.5</v>
      </c>
    </row>
    <row r="165" spans="1:38" x14ac:dyDescent="0.25">
      <c r="A165" t="s">
        <v>33</v>
      </c>
      <c r="B165" t="s">
        <v>39</v>
      </c>
      <c r="C165">
        <v>2015</v>
      </c>
      <c r="D165">
        <v>123.6</v>
      </c>
      <c r="E165">
        <v>134.4</v>
      </c>
      <c r="F165">
        <v>120.9</v>
      </c>
      <c r="G165">
        <v>127.3</v>
      </c>
      <c r="H165">
        <v>106</v>
      </c>
      <c r="I165">
        <v>132.30000000000001</v>
      </c>
      <c r="J165">
        <v>146.69999999999999</v>
      </c>
      <c r="K165">
        <v>148.1</v>
      </c>
      <c r="L165">
        <v>89.8</v>
      </c>
      <c r="M165">
        <v>130.5</v>
      </c>
      <c r="N165">
        <v>118</v>
      </c>
      <c r="O165">
        <v>130.5</v>
      </c>
      <c r="P165">
        <v>128.5</v>
      </c>
      <c r="Q165">
        <v>123.2</v>
      </c>
      <c r="R165">
        <v>117.6</v>
      </c>
      <c r="S165">
        <v>122.3</v>
      </c>
      <c r="T165">
        <v>119</v>
      </c>
      <c r="U165">
        <v>119.2</v>
      </c>
      <c r="V165">
        <v>115.4</v>
      </c>
      <c r="W165">
        <v>112.5</v>
      </c>
      <c r="X165">
        <v>111.7</v>
      </c>
      <c r="Y165">
        <v>116.2</v>
      </c>
      <c r="Z165">
        <v>132.1</v>
      </c>
      <c r="AA165">
        <v>115.1</v>
      </c>
      <c r="AB165">
        <v>123.8</v>
      </c>
      <c r="AC165">
        <v>116</v>
      </c>
      <c r="AD165">
        <v>121.7</v>
      </c>
      <c r="AE165">
        <f>SUM(Table1_1[[#This Row],[Cereals and products]:[Food and beverages]])</f>
        <v>1636.6</v>
      </c>
      <c r="AF165">
        <f>SUM(Table1_1[[#This Row],[Clothing and footwear]:[Clothing]])</f>
        <v>363.1</v>
      </c>
      <c r="AG165">
        <f>SUM(Table1_1[[#This Row],[Clothing]:[Education]])</f>
        <v>1428.1</v>
      </c>
      <c r="AH165">
        <f>SUM(Table1_1[[#This Row],[Health]:[Personal care and effects]])</f>
        <v>227.9</v>
      </c>
      <c r="AI165">
        <f>SUM(Table1_1[[#This Row],[Recreation and amusement]:[Miscellaneous]])</f>
        <v>603.20000000000005</v>
      </c>
      <c r="AJ165">
        <f>SUM(Table1_1[[#This Row],[Fuel and light]])</f>
        <v>115.1</v>
      </c>
      <c r="AK165">
        <f>SUM(Table1_1[[#This Row],[Food]:[Luxury &amp;Other Thing]])</f>
        <v>4258.8999999999996</v>
      </c>
      <c r="AL165">
        <f>SUM(Table1_1[[#This Row],[Food]:[Luxury &amp;Other Thing]])</f>
        <v>4258.8999999999996</v>
      </c>
    </row>
    <row r="166" spans="1:38" x14ac:dyDescent="0.25">
      <c r="A166" t="s">
        <v>34</v>
      </c>
      <c r="B166" t="s">
        <v>39</v>
      </c>
      <c r="C166">
        <v>2015</v>
      </c>
      <c r="D166">
        <v>123.9</v>
      </c>
      <c r="E166">
        <v>131.80000000000001</v>
      </c>
      <c r="F166">
        <v>121.6</v>
      </c>
      <c r="G166">
        <v>128.19999999999999</v>
      </c>
      <c r="H166">
        <v>111.1</v>
      </c>
      <c r="I166">
        <v>132.80000000000001</v>
      </c>
      <c r="J166">
        <v>139.1</v>
      </c>
      <c r="K166">
        <v>137.4</v>
      </c>
      <c r="L166">
        <v>94.1</v>
      </c>
      <c r="M166">
        <v>125.5</v>
      </c>
      <c r="N166">
        <v>119.8</v>
      </c>
      <c r="O166">
        <v>130.9</v>
      </c>
      <c r="P166">
        <v>127.3</v>
      </c>
      <c r="Q166">
        <v>126.4</v>
      </c>
      <c r="R166">
        <v>122</v>
      </c>
      <c r="S166">
        <v>125.7</v>
      </c>
      <c r="T166">
        <v>119</v>
      </c>
      <c r="U166">
        <v>121.1</v>
      </c>
      <c r="V166">
        <v>118.5</v>
      </c>
      <c r="W166">
        <v>112.8</v>
      </c>
      <c r="X166">
        <v>112.9</v>
      </c>
      <c r="Y166">
        <v>116.9</v>
      </c>
      <c r="Z166">
        <v>129.19999999999999</v>
      </c>
      <c r="AA166">
        <v>119.8</v>
      </c>
      <c r="AB166">
        <v>123.1</v>
      </c>
      <c r="AC166">
        <v>117</v>
      </c>
      <c r="AD166">
        <v>123</v>
      </c>
      <c r="AE166">
        <f>SUM(Table1_1[[#This Row],[Cereals and products]:[Food and beverages]])</f>
        <v>1623.5</v>
      </c>
      <c r="AF166">
        <f>SUM(Table1_1[[#This Row],[Clothing and footwear]:[Clothing]])</f>
        <v>374.1</v>
      </c>
      <c r="AG166">
        <f>SUM(Table1_1[[#This Row],[Clothing]:[Education]])</f>
        <v>1447.3999999999999</v>
      </c>
      <c r="AH166">
        <f>SUM(Table1_1[[#This Row],[Health]:[Personal care and effects]])</f>
        <v>231.3</v>
      </c>
      <c r="AI166">
        <f>SUM(Table1_1[[#This Row],[Recreation and amusement]:[Miscellaneous]])</f>
        <v>606</v>
      </c>
      <c r="AJ166">
        <f>SUM(Table1_1[[#This Row],[Fuel and light]])</f>
        <v>119.8</v>
      </c>
      <c r="AK166">
        <f>SUM(Table1_1[[#This Row],[Food]:[Luxury &amp;Other Thing]])</f>
        <v>4282.3</v>
      </c>
      <c r="AL166">
        <f>SUM(Table1_1[[#This Row],[Food]:[Luxury &amp;Other Thing]])</f>
        <v>4282.3</v>
      </c>
    </row>
    <row r="167" spans="1:38" x14ac:dyDescent="0.25">
      <c r="A167" t="s">
        <v>30</v>
      </c>
      <c r="B167" t="s">
        <v>39</v>
      </c>
      <c r="C167">
        <v>2016</v>
      </c>
      <c r="D167">
        <v>128.6</v>
      </c>
      <c r="E167">
        <v>138.6</v>
      </c>
      <c r="F167">
        <v>126.6</v>
      </c>
      <c r="G167">
        <v>133.6</v>
      </c>
      <c r="H167">
        <v>118.6</v>
      </c>
      <c r="I167">
        <v>137.4</v>
      </c>
      <c r="J167">
        <v>152.5</v>
      </c>
      <c r="K167">
        <v>169.2</v>
      </c>
      <c r="L167">
        <v>108.8</v>
      </c>
      <c r="M167">
        <v>133.1</v>
      </c>
      <c r="N167">
        <v>126.4</v>
      </c>
      <c r="O167">
        <v>139.19999999999999</v>
      </c>
      <c r="P167">
        <v>136</v>
      </c>
      <c r="Q167">
        <v>136.30000000000001</v>
      </c>
      <c r="R167">
        <v>131.6</v>
      </c>
      <c r="S167">
        <v>135.6</v>
      </c>
      <c r="T167">
        <v>139.5</v>
      </c>
      <c r="U167">
        <v>129.30000000000001</v>
      </c>
      <c r="V167">
        <v>126.2</v>
      </c>
      <c r="W167">
        <v>119.9</v>
      </c>
      <c r="X167">
        <v>116.3</v>
      </c>
      <c r="Y167">
        <v>124.1</v>
      </c>
      <c r="Z167">
        <v>137.19999999999999</v>
      </c>
      <c r="AA167">
        <v>128</v>
      </c>
      <c r="AB167">
        <v>130.19999999999999</v>
      </c>
      <c r="AC167">
        <v>123.3</v>
      </c>
      <c r="AD167">
        <v>131.9</v>
      </c>
      <c r="AE167">
        <f>SUM(Table1_1[[#This Row],[Cereals and products]:[Food and beverages]])</f>
        <v>1748.6</v>
      </c>
      <c r="AF167">
        <f>SUM(Table1_1[[#This Row],[Clothing and footwear]:[Clothing]])</f>
        <v>403.5</v>
      </c>
      <c r="AG167">
        <f>SUM(Table1_1[[#This Row],[Clothing]:[Education]])</f>
        <v>1554.2</v>
      </c>
      <c r="AH167">
        <f>SUM(Table1_1[[#This Row],[Health]:[Personal care and effects]])</f>
        <v>246.10000000000002</v>
      </c>
      <c r="AI167">
        <f>SUM(Table1_1[[#This Row],[Recreation and amusement]:[Miscellaneous]])</f>
        <v>642.79999999999995</v>
      </c>
      <c r="AJ167">
        <f>SUM(Table1_1[[#This Row],[Fuel and light]])</f>
        <v>128</v>
      </c>
      <c r="AK167">
        <f>SUM(Table1_1[[#This Row],[Food]:[Luxury &amp;Other Thing]])</f>
        <v>4595.2</v>
      </c>
      <c r="AL167">
        <f>SUM(Table1_1[[#This Row],[Food]:[Luxury &amp;Other Thing]])</f>
        <v>4595.2</v>
      </c>
    </row>
    <row r="168" spans="1:38" x14ac:dyDescent="0.25">
      <c r="A168" t="s">
        <v>33</v>
      </c>
      <c r="B168" t="s">
        <v>39</v>
      </c>
      <c r="C168">
        <v>2016</v>
      </c>
      <c r="D168">
        <v>125.9</v>
      </c>
      <c r="E168">
        <v>143.9</v>
      </c>
      <c r="F168">
        <v>130.9</v>
      </c>
      <c r="G168">
        <v>131</v>
      </c>
      <c r="H168">
        <v>110.2</v>
      </c>
      <c r="I168">
        <v>135.5</v>
      </c>
      <c r="J168">
        <v>173.7</v>
      </c>
      <c r="K168">
        <v>184.4</v>
      </c>
      <c r="L168">
        <v>112</v>
      </c>
      <c r="M168">
        <v>142.80000000000001</v>
      </c>
      <c r="N168">
        <v>121.6</v>
      </c>
      <c r="O168">
        <v>136.9</v>
      </c>
      <c r="P168">
        <v>138.19999999999999</v>
      </c>
      <c r="Q168">
        <v>127.6</v>
      </c>
      <c r="R168">
        <v>121.1</v>
      </c>
      <c r="S168">
        <v>126.6</v>
      </c>
      <c r="T168">
        <v>125.5</v>
      </c>
      <c r="U168">
        <v>123.2</v>
      </c>
      <c r="V168">
        <v>120.6</v>
      </c>
      <c r="W168">
        <v>118.8</v>
      </c>
      <c r="X168">
        <v>112.3</v>
      </c>
      <c r="Y168">
        <v>119.9</v>
      </c>
      <c r="Z168">
        <v>142.69999999999999</v>
      </c>
      <c r="AA168">
        <v>115.5</v>
      </c>
      <c r="AB168">
        <v>129.30000000000001</v>
      </c>
      <c r="AC168">
        <v>119.6</v>
      </c>
      <c r="AD168">
        <v>128.1</v>
      </c>
      <c r="AE168">
        <f>SUM(Table1_1[[#This Row],[Cereals and products]:[Food and beverages]])</f>
        <v>1787.0000000000002</v>
      </c>
      <c r="AF168">
        <f>SUM(Table1_1[[#This Row],[Clothing and footwear]:[Clothing]])</f>
        <v>375.29999999999995</v>
      </c>
      <c r="AG168">
        <f>SUM(Table1_1[[#This Row],[Clothing]:[Education]])</f>
        <v>1483.1</v>
      </c>
      <c r="AH168">
        <f>SUM(Table1_1[[#This Row],[Health]:[Personal care and effects]])</f>
        <v>239.39999999999998</v>
      </c>
      <c r="AI168">
        <f>SUM(Table1_1[[#This Row],[Recreation and amusement]:[Miscellaneous]])</f>
        <v>627</v>
      </c>
      <c r="AJ168">
        <f>SUM(Table1_1[[#This Row],[Fuel and light]])</f>
        <v>115.5</v>
      </c>
      <c r="AK168">
        <f>SUM(Table1_1[[#This Row],[Food]:[Luxury &amp;Other Thing]])</f>
        <v>4511.8</v>
      </c>
      <c r="AL168">
        <f>SUM(Table1_1[[#This Row],[Food]:[Luxury &amp;Other Thing]])</f>
        <v>4511.8</v>
      </c>
    </row>
    <row r="169" spans="1:38" x14ac:dyDescent="0.25">
      <c r="A169" t="s">
        <v>34</v>
      </c>
      <c r="B169" t="s">
        <v>39</v>
      </c>
      <c r="C169">
        <v>2016</v>
      </c>
      <c r="D169">
        <v>127.7</v>
      </c>
      <c r="E169">
        <v>140.5</v>
      </c>
      <c r="F169">
        <v>128.30000000000001</v>
      </c>
      <c r="G169">
        <v>132.6</v>
      </c>
      <c r="H169">
        <v>115.5</v>
      </c>
      <c r="I169">
        <v>136.5</v>
      </c>
      <c r="J169">
        <v>159.69999999999999</v>
      </c>
      <c r="K169">
        <v>174.3</v>
      </c>
      <c r="L169">
        <v>109.9</v>
      </c>
      <c r="M169">
        <v>136.30000000000001</v>
      </c>
      <c r="N169">
        <v>124.4</v>
      </c>
      <c r="O169">
        <v>138.1</v>
      </c>
      <c r="P169">
        <v>136.80000000000001</v>
      </c>
      <c r="Q169">
        <v>132.9</v>
      </c>
      <c r="R169">
        <v>127.2</v>
      </c>
      <c r="S169">
        <v>132</v>
      </c>
      <c r="T169">
        <v>125.5</v>
      </c>
      <c r="U169">
        <v>126.4</v>
      </c>
      <c r="V169">
        <v>124.1</v>
      </c>
      <c r="W169">
        <v>119.4</v>
      </c>
      <c r="X169">
        <v>114.2</v>
      </c>
      <c r="Y169">
        <v>121.7</v>
      </c>
      <c r="Z169">
        <v>138.69999999999999</v>
      </c>
      <c r="AA169">
        <v>123.3</v>
      </c>
      <c r="AB169">
        <v>129.69999999999999</v>
      </c>
      <c r="AC169">
        <v>121.5</v>
      </c>
      <c r="AD169">
        <v>130.1</v>
      </c>
      <c r="AE169">
        <f>SUM(Table1_1[[#This Row],[Cereals and products]:[Food and beverages]])</f>
        <v>1760.6</v>
      </c>
      <c r="AF169">
        <f>SUM(Table1_1[[#This Row],[Clothing and footwear]:[Clothing]])</f>
        <v>392.1</v>
      </c>
      <c r="AG169">
        <f>SUM(Table1_1[[#This Row],[Clothing]:[Education]])</f>
        <v>1515.1000000000001</v>
      </c>
      <c r="AH169">
        <f>SUM(Table1_1[[#This Row],[Health]:[Personal care and effects]])</f>
        <v>243.5</v>
      </c>
      <c r="AI169">
        <f>SUM(Table1_1[[#This Row],[Recreation and amusement]:[Miscellaneous]])</f>
        <v>634.9</v>
      </c>
      <c r="AJ169">
        <f>SUM(Table1_1[[#This Row],[Fuel and light]])</f>
        <v>123.3</v>
      </c>
      <c r="AK169">
        <f>SUM(Table1_1[[#This Row],[Food]:[Luxury &amp;Other Thing]])</f>
        <v>4546.2</v>
      </c>
      <c r="AL169">
        <f>SUM(Table1_1[[#This Row],[Food]:[Luxury &amp;Other Thing]])</f>
        <v>4546.2</v>
      </c>
    </row>
    <row r="170" spans="1:38" x14ac:dyDescent="0.25">
      <c r="A170" t="s">
        <v>30</v>
      </c>
      <c r="B170" t="s">
        <v>39</v>
      </c>
      <c r="C170">
        <v>2017</v>
      </c>
      <c r="D170">
        <v>133.5</v>
      </c>
      <c r="E170">
        <v>143.69999999999999</v>
      </c>
      <c r="F170">
        <v>128</v>
      </c>
      <c r="G170">
        <v>138.6</v>
      </c>
      <c r="H170">
        <v>120.9</v>
      </c>
      <c r="I170">
        <v>140.9</v>
      </c>
      <c r="J170">
        <v>128.80000000000001</v>
      </c>
      <c r="K170">
        <v>140.19999999999999</v>
      </c>
      <c r="L170">
        <v>118.9</v>
      </c>
      <c r="M170">
        <v>133.5</v>
      </c>
      <c r="N170">
        <v>130.4</v>
      </c>
      <c r="O170">
        <v>146.5</v>
      </c>
      <c r="P170">
        <v>134.9</v>
      </c>
      <c r="Q170">
        <v>143.1</v>
      </c>
      <c r="R170">
        <v>137.69999999999999</v>
      </c>
      <c r="S170">
        <v>142.30000000000001</v>
      </c>
      <c r="T170">
        <v>139.5</v>
      </c>
      <c r="U170">
        <v>135.19999999999999</v>
      </c>
      <c r="V170">
        <v>131.30000000000001</v>
      </c>
      <c r="W170">
        <v>124.1</v>
      </c>
      <c r="X170">
        <v>119.4</v>
      </c>
      <c r="Y170">
        <v>129.80000000000001</v>
      </c>
      <c r="Z170">
        <v>145.80000000000001</v>
      </c>
      <c r="AA170">
        <v>134.80000000000001</v>
      </c>
      <c r="AB170">
        <v>136.9</v>
      </c>
      <c r="AC170">
        <v>128.1</v>
      </c>
      <c r="AD170">
        <v>133.9</v>
      </c>
      <c r="AE170">
        <f>SUM(Table1_1[[#This Row],[Cereals and products]:[Food and beverages]])</f>
        <v>1738.8000000000002</v>
      </c>
      <c r="AF170">
        <f>SUM(Table1_1[[#This Row],[Clothing and footwear]:[Clothing]])</f>
        <v>423.09999999999997</v>
      </c>
      <c r="AG170">
        <f>SUM(Table1_1[[#This Row],[Clothing]:[Education]])</f>
        <v>1619.8999999999999</v>
      </c>
      <c r="AH170">
        <f>SUM(Table1_1[[#This Row],[Health]:[Personal care and effects]])</f>
        <v>255.4</v>
      </c>
      <c r="AI170">
        <f>SUM(Table1_1[[#This Row],[Recreation and amusement]:[Miscellaneous]])</f>
        <v>675.40000000000009</v>
      </c>
      <c r="AJ170">
        <f>SUM(Table1_1[[#This Row],[Fuel and light]])</f>
        <v>134.80000000000001</v>
      </c>
      <c r="AK170">
        <f>SUM(Table1_1[[#This Row],[Food]:[Luxury &amp;Other Thing]])</f>
        <v>4712.6000000000004</v>
      </c>
      <c r="AL170">
        <f>SUM(Table1_1[[#This Row],[Food]:[Luxury &amp;Other Thing]])</f>
        <v>4712.6000000000004</v>
      </c>
    </row>
    <row r="171" spans="1:38" x14ac:dyDescent="0.25">
      <c r="A171" t="s">
        <v>33</v>
      </c>
      <c r="B171" t="s">
        <v>39</v>
      </c>
      <c r="C171">
        <v>2017</v>
      </c>
      <c r="D171">
        <v>132.9</v>
      </c>
      <c r="E171">
        <v>148.69999999999999</v>
      </c>
      <c r="F171">
        <v>128.30000000000001</v>
      </c>
      <c r="G171">
        <v>137.30000000000001</v>
      </c>
      <c r="H171">
        <v>113.5</v>
      </c>
      <c r="I171">
        <v>137.19999999999999</v>
      </c>
      <c r="J171">
        <v>142.19999999999999</v>
      </c>
      <c r="K171">
        <v>128.19999999999999</v>
      </c>
      <c r="L171">
        <v>120.9</v>
      </c>
      <c r="M171">
        <v>138.80000000000001</v>
      </c>
      <c r="N171">
        <v>124.2</v>
      </c>
      <c r="O171">
        <v>143.1</v>
      </c>
      <c r="P171">
        <v>135.69999999999999</v>
      </c>
      <c r="Q171">
        <v>131.5</v>
      </c>
      <c r="R171">
        <v>123.2</v>
      </c>
      <c r="S171">
        <v>130.19999999999999</v>
      </c>
      <c r="T171">
        <v>131.4</v>
      </c>
      <c r="U171">
        <v>126.8</v>
      </c>
      <c r="V171">
        <v>123.8</v>
      </c>
      <c r="W171">
        <v>122.5</v>
      </c>
      <c r="X171">
        <v>113.9</v>
      </c>
      <c r="Y171">
        <v>122.9</v>
      </c>
      <c r="Z171">
        <v>148.6</v>
      </c>
      <c r="AA171">
        <v>119</v>
      </c>
      <c r="AB171">
        <v>134.30000000000001</v>
      </c>
      <c r="AC171">
        <v>122.7</v>
      </c>
      <c r="AD171">
        <v>129.9</v>
      </c>
      <c r="AE171">
        <f>SUM(Table1_1[[#This Row],[Cereals and products]:[Food and beverages]])</f>
        <v>1731.0000000000002</v>
      </c>
      <c r="AF171">
        <f>SUM(Table1_1[[#This Row],[Clothing and footwear]:[Clothing]])</f>
        <v>384.9</v>
      </c>
      <c r="AG171">
        <f>SUM(Table1_1[[#This Row],[Clothing]:[Education]])</f>
        <v>1528.0999999999997</v>
      </c>
      <c r="AH171">
        <f>SUM(Table1_1[[#This Row],[Health]:[Personal care and effects]])</f>
        <v>246.3</v>
      </c>
      <c r="AI171">
        <f>SUM(Table1_1[[#This Row],[Recreation and amusement]:[Miscellaneous]])</f>
        <v>647.5</v>
      </c>
      <c r="AJ171">
        <f>SUM(Table1_1[[#This Row],[Fuel and light]])</f>
        <v>119</v>
      </c>
      <c r="AK171">
        <f>SUM(Table1_1[[#This Row],[Food]:[Luxury &amp;Other Thing]])</f>
        <v>4537.8</v>
      </c>
      <c r="AL171">
        <f>SUM(Table1_1[[#This Row],[Food]:[Luxury &amp;Other Thing]])</f>
        <v>4537.8</v>
      </c>
    </row>
    <row r="172" spans="1:38" x14ac:dyDescent="0.25">
      <c r="A172" t="s">
        <v>34</v>
      </c>
      <c r="B172" t="s">
        <v>39</v>
      </c>
      <c r="C172">
        <v>2017</v>
      </c>
      <c r="D172">
        <v>133.30000000000001</v>
      </c>
      <c r="E172">
        <v>145.5</v>
      </c>
      <c r="F172">
        <v>128.1</v>
      </c>
      <c r="G172">
        <v>138.1</v>
      </c>
      <c r="H172">
        <v>118.2</v>
      </c>
      <c r="I172">
        <v>139.19999999999999</v>
      </c>
      <c r="J172">
        <v>133.30000000000001</v>
      </c>
      <c r="K172">
        <v>136.19999999999999</v>
      </c>
      <c r="L172">
        <v>119.6</v>
      </c>
      <c r="M172">
        <v>135.30000000000001</v>
      </c>
      <c r="N172">
        <v>127.8</v>
      </c>
      <c r="O172">
        <v>144.9</v>
      </c>
      <c r="P172">
        <v>135.19999999999999</v>
      </c>
      <c r="Q172">
        <v>138.5</v>
      </c>
      <c r="R172">
        <v>131.69999999999999</v>
      </c>
      <c r="S172">
        <v>137.5</v>
      </c>
      <c r="T172">
        <v>131.4</v>
      </c>
      <c r="U172">
        <v>131.19999999999999</v>
      </c>
      <c r="V172">
        <v>128.5</v>
      </c>
      <c r="W172">
        <v>123.4</v>
      </c>
      <c r="X172">
        <v>116.5</v>
      </c>
      <c r="Y172">
        <v>125.9</v>
      </c>
      <c r="Z172">
        <v>146.5</v>
      </c>
      <c r="AA172">
        <v>128.80000000000001</v>
      </c>
      <c r="AB172">
        <v>135.4</v>
      </c>
      <c r="AC172">
        <v>125.5</v>
      </c>
      <c r="AD172">
        <v>132</v>
      </c>
      <c r="AE172">
        <f>SUM(Table1_1[[#This Row],[Cereals and products]:[Food and beverages]])</f>
        <v>1734.7</v>
      </c>
      <c r="AF172">
        <f>SUM(Table1_1[[#This Row],[Clothing and footwear]:[Clothing]])</f>
        <v>407.7</v>
      </c>
      <c r="AG172">
        <f>SUM(Table1_1[[#This Row],[Clothing]:[Education]])</f>
        <v>1575.3</v>
      </c>
      <c r="AH172">
        <f>SUM(Table1_1[[#This Row],[Health]:[Personal care and effects]])</f>
        <v>251.9</v>
      </c>
      <c r="AI172">
        <f>SUM(Table1_1[[#This Row],[Recreation and amusement]:[Miscellaneous]])</f>
        <v>662.1</v>
      </c>
      <c r="AJ172">
        <f>SUM(Table1_1[[#This Row],[Fuel and light]])</f>
        <v>128.80000000000001</v>
      </c>
      <c r="AK172">
        <f>SUM(Table1_1[[#This Row],[Food]:[Luxury &amp;Other Thing]])</f>
        <v>4631.7</v>
      </c>
      <c r="AL172">
        <f>SUM(Table1_1[[#This Row],[Food]:[Luxury &amp;Other Thing]])</f>
        <v>4631.7</v>
      </c>
    </row>
    <row r="173" spans="1:38" x14ac:dyDescent="0.25">
      <c r="A173" t="s">
        <v>30</v>
      </c>
      <c r="B173" t="s">
        <v>39</v>
      </c>
      <c r="C173">
        <v>2018</v>
      </c>
      <c r="D173">
        <v>137.6</v>
      </c>
      <c r="E173">
        <v>148.1</v>
      </c>
      <c r="F173">
        <v>136.69999999999999</v>
      </c>
      <c r="G173">
        <v>143.19999999999999</v>
      </c>
      <c r="H173">
        <v>124</v>
      </c>
      <c r="I173">
        <v>154.1</v>
      </c>
      <c r="J173">
        <v>143.5</v>
      </c>
      <c r="K173">
        <v>126</v>
      </c>
      <c r="L173">
        <v>112.4</v>
      </c>
      <c r="M173">
        <v>137.6</v>
      </c>
      <c r="N173">
        <v>132.80000000000001</v>
      </c>
      <c r="O173">
        <v>154.30000000000001</v>
      </c>
      <c r="P173">
        <v>140</v>
      </c>
      <c r="Q173">
        <v>151.30000000000001</v>
      </c>
      <c r="R173">
        <v>144.69999999999999</v>
      </c>
      <c r="S173">
        <v>150.30000000000001</v>
      </c>
      <c r="T173">
        <v>139.5</v>
      </c>
      <c r="U173">
        <v>142.19999999999999</v>
      </c>
      <c r="V173">
        <v>138.4</v>
      </c>
      <c r="W173">
        <v>131.4</v>
      </c>
      <c r="X173">
        <v>127.4</v>
      </c>
      <c r="Y173">
        <v>137.80000000000001</v>
      </c>
      <c r="Z173">
        <v>157.30000000000001</v>
      </c>
      <c r="AA173">
        <v>145.1</v>
      </c>
      <c r="AB173">
        <v>145.1</v>
      </c>
      <c r="AC173">
        <v>135.6</v>
      </c>
      <c r="AD173">
        <v>140.5</v>
      </c>
      <c r="AE173">
        <f>SUM(Table1_1[[#This Row],[Cereals and products]:[Food and beverages]])</f>
        <v>1790.2999999999997</v>
      </c>
      <c r="AF173">
        <f>SUM(Table1_1[[#This Row],[Clothing and footwear]:[Clothing]])</f>
        <v>446.3</v>
      </c>
      <c r="AG173">
        <f>SUM(Table1_1[[#This Row],[Clothing]:[Education]])</f>
        <v>1710.4999999999998</v>
      </c>
      <c r="AH173">
        <f>SUM(Table1_1[[#This Row],[Health]:[Personal care and effects]])</f>
        <v>269.8</v>
      </c>
      <c r="AI173">
        <f>SUM(Table1_1[[#This Row],[Recreation and amusement]:[Miscellaneous]])</f>
        <v>720.90000000000009</v>
      </c>
      <c r="AJ173">
        <f>SUM(Table1_1[[#This Row],[Fuel and light]])</f>
        <v>145.1</v>
      </c>
      <c r="AK173">
        <f>SUM(Table1_1[[#This Row],[Food]:[Luxury &amp;Other Thing]])</f>
        <v>4937.7999999999993</v>
      </c>
      <c r="AL173">
        <f>SUM(Table1_1[[#This Row],[Food]:[Luxury &amp;Other Thing]])</f>
        <v>4937.7999999999993</v>
      </c>
    </row>
    <row r="174" spans="1:38" x14ac:dyDescent="0.25">
      <c r="A174" t="s">
        <v>33</v>
      </c>
      <c r="B174" t="s">
        <v>39</v>
      </c>
      <c r="C174">
        <v>2018</v>
      </c>
      <c r="D174">
        <v>135.30000000000001</v>
      </c>
      <c r="E174">
        <v>149.69999999999999</v>
      </c>
      <c r="F174">
        <v>133.9</v>
      </c>
      <c r="G174">
        <v>140.80000000000001</v>
      </c>
      <c r="H174">
        <v>116.6</v>
      </c>
      <c r="I174">
        <v>152.19999999999999</v>
      </c>
      <c r="J174">
        <v>144</v>
      </c>
      <c r="K174">
        <v>112.3</v>
      </c>
      <c r="L174">
        <v>108.4</v>
      </c>
      <c r="M174">
        <v>140</v>
      </c>
      <c r="N174">
        <v>126.7</v>
      </c>
      <c r="O174">
        <v>149</v>
      </c>
      <c r="P174">
        <v>138.4</v>
      </c>
      <c r="Q174">
        <v>138.9</v>
      </c>
      <c r="R174">
        <v>128.69999999999999</v>
      </c>
      <c r="S174">
        <v>137.4</v>
      </c>
      <c r="T174">
        <v>142.5</v>
      </c>
      <c r="U174">
        <v>133.1</v>
      </c>
      <c r="V174">
        <v>132.6</v>
      </c>
      <c r="W174">
        <v>128.19999999999999</v>
      </c>
      <c r="X174">
        <v>120.4</v>
      </c>
      <c r="Y174">
        <v>128.5</v>
      </c>
      <c r="Z174">
        <v>161</v>
      </c>
      <c r="AA174">
        <v>126.5</v>
      </c>
      <c r="AB174">
        <v>141.19999999999999</v>
      </c>
      <c r="AC174">
        <v>129.5</v>
      </c>
      <c r="AD174">
        <v>136.19999999999999</v>
      </c>
      <c r="AE174">
        <f>SUM(Table1_1[[#This Row],[Cereals and products]:[Food and beverages]])</f>
        <v>1747.3000000000002</v>
      </c>
      <c r="AF174">
        <f>SUM(Table1_1[[#This Row],[Clothing and footwear]:[Clothing]])</f>
        <v>405</v>
      </c>
      <c r="AG174">
        <f>SUM(Table1_1[[#This Row],[Clothing]:[Education]])</f>
        <v>1619.0000000000002</v>
      </c>
      <c r="AH174">
        <f>SUM(Table1_1[[#This Row],[Health]:[Personal care and effects]])</f>
        <v>260.79999999999995</v>
      </c>
      <c r="AI174">
        <f>SUM(Table1_1[[#This Row],[Recreation and amusement]:[Miscellaneous]])</f>
        <v>686.7</v>
      </c>
      <c r="AJ174">
        <f>SUM(Table1_1[[#This Row],[Fuel and light]])</f>
        <v>126.5</v>
      </c>
      <c r="AK174">
        <f>SUM(Table1_1[[#This Row],[Food]:[Luxury &amp;Other Thing]])</f>
        <v>4718.8</v>
      </c>
      <c r="AL174">
        <f>SUM(Table1_1[[#This Row],[Food]:[Luxury &amp;Other Thing]])</f>
        <v>4718.8</v>
      </c>
    </row>
    <row r="175" spans="1:38" x14ac:dyDescent="0.25">
      <c r="A175" t="s">
        <v>34</v>
      </c>
      <c r="B175" t="s">
        <v>39</v>
      </c>
      <c r="C175">
        <v>2018</v>
      </c>
      <c r="D175">
        <v>136.9</v>
      </c>
      <c r="E175">
        <v>148.69999999999999</v>
      </c>
      <c r="F175">
        <v>135.6</v>
      </c>
      <c r="G175">
        <v>142.30000000000001</v>
      </c>
      <c r="H175">
        <v>121.3</v>
      </c>
      <c r="I175">
        <v>153.19999999999999</v>
      </c>
      <c r="J175">
        <v>143.69999999999999</v>
      </c>
      <c r="K175">
        <v>121.4</v>
      </c>
      <c r="L175">
        <v>111.1</v>
      </c>
      <c r="M175">
        <v>138.4</v>
      </c>
      <c r="N175">
        <v>130.30000000000001</v>
      </c>
      <c r="O175">
        <v>151.80000000000001</v>
      </c>
      <c r="P175">
        <v>139.4</v>
      </c>
      <c r="Q175">
        <v>146.4</v>
      </c>
      <c r="R175">
        <v>138.1</v>
      </c>
      <c r="S175">
        <v>145.19999999999999</v>
      </c>
      <c r="T175">
        <v>142.5</v>
      </c>
      <c r="U175">
        <v>137.9</v>
      </c>
      <c r="V175">
        <v>136.19999999999999</v>
      </c>
      <c r="W175">
        <v>130.1</v>
      </c>
      <c r="X175">
        <v>123.7</v>
      </c>
      <c r="Y175">
        <v>132.6</v>
      </c>
      <c r="Z175">
        <v>158.30000000000001</v>
      </c>
      <c r="AA175">
        <v>138.1</v>
      </c>
      <c r="AB175">
        <v>142.80000000000001</v>
      </c>
      <c r="AC175">
        <v>132.6</v>
      </c>
      <c r="AD175">
        <v>138.5</v>
      </c>
      <c r="AE175">
        <f>SUM(Table1_1[[#This Row],[Cereals and products]:[Food and beverages]])</f>
        <v>1774.1000000000001</v>
      </c>
      <c r="AF175">
        <f>SUM(Table1_1[[#This Row],[Clothing and footwear]:[Clothing]])</f>
        <v>429.7</v>
      </c>
      <c r="AG175">
        <f>SUM(Table1_1[[#This Row],[Clothing]:[Education]])</f>
        <v>1671.8999999999996</v>
      </c>
      <c r="AH175">
        <f>SUM(Table1_1[[#This Row],[Health]:[Personal care and effects]])</f>
        <v>266.29999999999995</v>
      </c>
      <c r="AI175">
        <f>SUM(Table1_1[[#This Row],[Recreation and amusement]:[Miscellaneous]])</f>
        <v>704.4</v>
      </c>
      <c r="AJ175">
        <f>SUM(Table1_1[[#This Row],[Fuel and light]])</f>
        <v>138.1</v>
      </c>
      <c r="AK175">
        <f>SUM(Table1_1[[#This Row],[Food]:[Luxury &amp;Other Thing]])</f>
        <v>4846.3999999999996</v>
      </c>
      <c r="AL175">
        <f>SUM(Table1_1[[#This Row],[Food]:[Luxury &amp;Other Thing]])</f>
        <v>4846.3999999999996</v>
      </c>
    </row>
    <row r="176" spans="1:38" x14ac:dyDescent="0.25">
      <c r="A176" t="s">
        <v>30</v>
      </c>
      <c r="B176" t="s">
        <v>39</v>
      </c>
      <c r="C176">
        <v>2019</v>
      </c>
      <c r="D176">
        <v>137.80000000000001</v>
      </c>
      <c r="E176">
        <v>163.5</v>
      </c>
      <c r="F176">
        <v>136.19999999999999</v>
      </c>
      <c r="G176">
        <v>143.19999999999999</v>
      </c>
      <c r="H176">
        <v>124.3</v>
      </c>
      <c r="I176">
        <v>143.30000000000001</v>
      </c>
      <c r="J176">
        <v>140.6</v>
      </c>
      <c r="K176">
        <v>128.69999999999999</v>
      </c>
      <c r="L176">
        <v>110.6</v>
      </c>
      <c r="M176">
        <v>140.4</v>
      </c>
      <c r="N176">
        <v>138</v>
      </c>
      <c r="O176">
        <v>156.6</v>
      </c>
      <c r="P176">
        <v>141</v>
      </c>
      <c r="Q176">
        <v>151.4</v>
      </c>
      <c r="R176">
        <v>146.5</v>
      </c>
      <c r="S176">
        <v>150.69999999999999</v>
      </c>
      <c r="T176">
        <v>139.5</v>
      </c>
      <c r="U176">
        <v>149.6</v>
      </c>
      <c r="V176">
        <v>151.69999999999999</v>
      </c>
      <c r="W176">
        <v>134.80000000000001</v>
      </c>
      <c r="X176">
        <v>130.19999999999999</v>
      </c>
      <c r="Y176">
        <v>146.4</v>
      </c>
      <c r="Z176">
        <v>164.2</v>
      </c>
      <c r="AA176">
        <v>147.80000000000001</v>
      </c>
      <c r="AB176">
        <v>157.69999999999999</v>
      </c>
      <c r="AC176">
        <v>143.30000000000001</v>
      </c>
      <c r="AD176">
        <v>143.6</v>
      </c>
      <c r="AE176">
        <f>SUM(Table1_1[[#This Row],[Cereals and products]:[Food and beverages]])</f>
        <v>1804.1999999999998</v>
      </c>
      <c r="AF176">
        <f>SUM(Table1_1[[#This Row],[Clothing and footwear]:[Clothing]])</f>
        <v>448.59999999999997</v>
      </c>
      <c r="AG176">
        <f>SUM(Table1_1[[#This Row],[Clothing]:[Education]])</f>
        <v>1770.5</v>
      </c>
      <c r="AH176">
        <f>SUM(Table1_1[[#This Row],[Health]:[Personal care and effects]])</f>
        <v>286.5</v>
      </c>
      <c r="AI176">
        <f>SUM(Table1_1[[#This Row],[Recreation and amusement]:[Miscellaneous]])</f>
        <v>759.40000000000009</v>
      </c>
      <c r="AJ176">
        <f>SUM(Table1_1[[#This Row],[Fuel and light]])</f>
        <v>147.80000000000001</v>
      </c>
      <c r="AK176">
        <f>SUM(Table1_1[[#This Row],[Food]:[Luxury &amp;Other Thing]])</f>
        <v>5069.1999999999989</v>
      </c>
      <c r="AL176">
        <f>SUM(Table1_1[[#This Row],[Food]:[Luxury &amp;Other Thing]])</f>
        <v>5069.1999999999989</v>
      </c>
    </row>
    <row r="177" spans="1:38" x14ac:dyDescent="0.25">
      <c r="A177" t="s">
        <v>33</v>
      </c>
      <c r="B177" t="s">
        <v>39</v>
      </c>
      <c r="C177">
        <v>2019</v>
      </c>
      <c r="D177">
        <v>140.69999999999999</v>
      </c>
      <c r="E177">
        <v>159.6</v>
      </c>
      <c r="F177">
        <v>140.4</v>
      </c>
      <c r="G177">
        <v>143.4</v>
      </c>
      <c r="H177">
        <v>118.6</v>
      </c>
      <c r="I177">
        <v>150.9</v>
      </c>
      <c r="J177">
        <v>169.8</v>
      </c>
      <c r="K177">
        <v>127.4</v>
      </c>
      <c r="L177">
        <v>111.8</v>
      </c>
      <c r="M177">
        <v>141</v>
      </c>
      <c r="N177">
        <v>129</v>
      </c>
      <c r="O177">
        <v>155.1</v>
      </c>
      <c r="P177">
        <v>145.6</v>
      </c>
      <c r="Q177">
        <v>144.30000000000001</v>
      </c>
      <c r="R177">
        <v>131.69999999999999</v>
      </c>
      <c r="S177">
        <v>142.4</v>
      </c>
      <c r="T177">
        <v>149.4</v>
      </c>
      <c r="U177">
        <v>137.4</v>
      </c>
      <c r="V177">
        <v>140.30000000000001</v>
      </c>
      <c r="W177">
        <v>133.69999999999999</v>
      </c>
      <c r="X177">
        <v>119.6</v>
      </c>
      <c r="Y177">
        <v>134.30000000000001</v>
      </c>
      <c r="Z177">
        <v>166.7</v>
      </c>
      <c r="AA177">
        <v>130.5</v>
      </c>
      <c r="AB177">
        <v>148.9</v>
      </c>
      <c r="AC177">
        <v>133.6</v>
      </c>
      <c r="AD177">
        <v>142.1</v>
      </c>
      <c r="AE177">
        <f>SUM(Table1_1[[#This Row],[Cereals and products]:[Food and beverages]])</f>
        <v>1833.2999999999997</v>
      </c>
      <c r="AF177">
        <f>SUM(Table1_1[[#This Row],[Clothing and footwear]:[Clothing]])</f>
        <v>418.4</v>
      </c>
      <c r="AG177">
        <f>SUM(Table1_1[[#This Row],[Clothing]:[Education]])</f>
        <v>1679.2</v>
      </c>
      <c r="AH177">
        <f>SUM(Table1_1[[#This Row],[Health]:[Personal care and effects]])</f>
        <v>274</v>
      </c>
      <c r="AI177">
        <f>SUM(Table1_1[[#This Row],[Recreation and amusement]:[Miscellaneous]])</f>
        <v>714</v>
      </c>
      <c r="AJ177">
        <f>SUM(Table1_1[[#This Row],[Fuel and light]])</f>
        <v>130.5</v>
      </c>
      <c r="AK177">
        <f>SUM(Table1_1[[#This Row],[Food]:[Luxury &amp;Other Thing]])</f>
        <v>4918.8999999999996</v>
      </c>
      <c r="AL177">
        <f>SUM(Table1_1[[#This Row],[Food]:[Luxury &amp;Other Thing]])</f>
        <v>4918.8999999999996</v>
      </c>
    </row>
    <row r="178" spans="1:38" x14ac:dyDescent="0.25">
      <c r="A178" t="s">
        <v>34</v>
      </c>
      <c r="B178" t="s">
        <v>39</v>
      </c>
      <c r="C178">
        <v>2019</v>
      </c>
      <c r="D178">
        <v>138.69999999999999</v>
      </c>
      <c r="E178">
        <v>162.1</v>
      </c>
      <c r="F178">
        <v>137.80000000000001</v>
      </c>
      <c r="G178">
        <v>143.30000000000001</v>
      </c>
      <c r="H178">
        <v>122.2</v>
      </c>
      <c r="I178">
        <v>146.80000000000001</v>
      </c>
      <c r="J178">
        <v>150.5</v>
      </c>
      <c r="K178">
        <v>128.30000000000001</v>
      </c>
      <c r="L178">
        <v>111</v>
      </c>
      <c r="M178">
        <v>140.6</v>
      </c>
      <c r="N178">
        <v>134.19999999999999</v>
      </c>
      <c r="O178">
        <v>155.9</v>
      </c>
      <c r="P178">
        <v>142.69999999999999</v>
      </c>
      <c r="Q178">
        <v>148.6</v>
      </c>
      <c r="R178">
        <v>140.4</v>
      </c>
      <c r="S178">
        <v>147.4</v>
      </c>
      <c r="T178">
        <v>149.4</v>
      </c>
      <c r="U178">
        <v>143.80000000000001</v>
      </c>
      <c r="V178">
        <v>147.4</v>
      </c>
      <c r="W178">
        <v>134.30000000000001</v>
      </c>
      <c r="X178">
        <v>124.6</v>
      </c>
      <c r="Y178">
        <v>139.6</v>
      </c>
      <c r="Z178">
        <v>164.9</v>
      </c>
      <c r="AA178">
        <v>141.19999999999999</v>
      </c>
      <c r="AB178">
        <v>152.5</v>
      </c>
      <c r="AC178">
        <v>138.6</v>
      </c>
      <c r="AD178">
        <v>142.9</v>
      </c>
      <c r="AE178">
        <f>SUM(Table1_1[[#This Row],[Cereals and products]:[Food and beverages]])</f>
        <v>1814.1000000000001</v>
      </c>
      <c r="AF178">
        <f>SUM(Table1_1[[#This Row],[Clothing and footwear]:[Clothing]])</f>
        <v>436.4</v>
      </c>
      <c r="AG178">
        <f>SUM(Table1_1[[#This Row],[Clothing]:[Education]])</f>
        <v>1734.1</v>
      </c>
      <c r="AH178">
        <f>SUM(Table1_1[[#This Row],[Health]:[Personal care and effects]])</f>
        <v>281.70000000000005</v>
      </c>
      <c r="AI178">
        <f>SUM(Table1_1[[#This Row],[Recreation and amusement]:[Miscellaneous]])</f>
        <v>736.80000000000007</v>
      </c>
      <c r="AJ178">
        <f>SUM(Table1_1[[#This Row],[Fuel and light]])</f>
        <v>141.19999999999999</v>
      </c>
      <c r="AK178">
        <f>SUM(Table1_1[[#This Row],[Food]:[Luxury &amp;Other Thing]])</f>
        <v>5003.1000000000004</v>
      </c>
      <c r="AL178">
        <f>SUM(Table1_1[[#This Row],[Food]:[Luxury &amp;Other Thing]])</f>
        <v>5003.1000000000004</v>
      </c>
    </row>
    <row r="179" spans="1:38" x14ac:dyDescent="0.25">
      <c r="A179" t="s">
        <v>30</v>
      </c>
      <c r="B179" t="s">
        <v>39</v>
      </c>
      <c r="C179">
        <v>2020</v>
      </c>
      <c r="D179">
        <v>148.19999999999999</v>
      </c>
      <c r="E179">
        <v>190.3</v>
      </c>
      <c r="F179">
        <v>149.4</v>
      </c>
      <c r="G179">
        <v>153.30000000000001</v>
      </c>
      <c r="H179">
        <v>138.19999999999999</v>
      </c>
      <c r="I179">
        <v>143.19999999999999</v>
      </c>
      <c r="J179">
        <v>148.9</v>
      </c>
      <c r="K179">
        <v>150.30000000000001</v>
      </c>
      <c r="L179">
        <v>113.2</v>
      </c>
      <c r="M179">
        <v>159.80000000000001</v>
      </c>
      <c r="N179">
        <v>142.1</v>
      </c>
      <c r="O179">
        <v>161.80000000000001</v>
      </c>
      <c r="P179">
        <v>152.30000000000001</v>
      </c>
      <c r="Q179">
        <v>154.69999999999999</v>
      </c>
      <c r="R179">
        <v>150</v>
      </c>
      <c r="S179">
        <v>154.1</v>
      </c>
      <c r="T179">
        <v>139.5</v>
      </c>
      <c r="U179">
        <v>151.69999999999999</v>
      </c>
      <c r="V179">
        <v>158.19999999999999</v>
      </c>
      <c r="W179">
        <v>151.19999999999999</v>
      </c>
      <c r="X179">
        <v>141.4</v>
      </c>
      <c r="Y179">
        <v>153.19999999999999</v>
      </c>
      <c r="Z179">
        <v>182.4</v>
      </c>
      <c r="AA179">
        <v>144.9</v>
      </c>
      <c r="AB179">
        <v>161.80000000000001</v>
      </c>
      <c r="AC179">
        <v>151.69999999999999</v>
      </c>
      <c r="AD179">
        <v>152.69999999999999</v>
      </c>
      <c r="AE179">
        <f>SUM(Table1_1[[#This Row],[Cereals and products]:[Food and beverages]])</f>
        <v>1951</v>
      </c>
      <c r="AF179">
        <f>SUM(Table1_1[[#This Row],[Clothing and footwear]:[Clothing]])</f>
        <v>458.79999999999995</v>
      </c>
      <c r="AG179">
        <f>SUM(Table1_1[[#This Row],[Clothing]:[Education]])</f>
        <v>1843.1000000000004</v>
      </c>
      <c r="AH179">
        <f>SUM(Table1_1[[#This Row],[Health]:[Personal care and effects]])</f>
        <v>309.39999999999998</v>
      </c>
      <c r="AI179">
        <f>SUM(Table1_1[[#This Row],[Recreation and amusement]:[Miscellaneous]])</f>
        <v>794</v>
      </c>
      <c r="AJ179">
        <f>SUM(Table1_1[[#This Row],[Fuel and light]])</f>
        <v>144.9</v>
      </c>
      <c r="AK179">
        <f>SUM(Table1_1[[#This Row],[Food]:[Luxury &amp;Other Thing]])</f>
        <v>5356.3</v>
      </c>
      <c r="AL179">
        <f>SUM(Table1_1[[#This Row],[Food]:[Luxury &amp;Other Thing]])</f>
        <v>5356.3</v>
      </c>
    </row>
    <row r="180" spans="1:38" x14ac:dyDescent="0.25">
      <c r="A180" t="s">
        <v>33</v>
      </c>
      <c r="B180" t="s">
        <v>39</v>
      </c>
      <c r="C180">
        <v>2020</v>
      </c>
      <c r="D180">
        <v>152.69999999999999</v>
      </c>
      <c r="E180">
        <v>197</v>
      </c>
      <c r="F180">
        <v>154.6</v>
      </c>
      <c r="G180">
        <v>153.4</v>
      </c>
      <c r="H180">
        <v>132.9</v>
      </c>
      <c r="I180">
        <v>151.80000000000001</v>
      </c>
      <c r="J180">
        <v>171.2</v>
      </c>
      <c r="K180">
        <v>152</v>
      </c>
      <c r="L180">
        <v>116.3</v>
      </c>
      <c r="M180">
        <v>158.80000000000001</v>
      </c>
      <c r="N180">
        <v>135.6</v>
      </c>
      <c r="O180">
        <v>161.69999999999999</v>
      </c>
      <c r="P180">
        <v>157</v>
      </c>
      <c r="Q180">
        <v>149.1</v>
      </c>
      <c r="R180">
        <v>136.6</v>
      </c>
      <c r="S180">
        <v>147.19999999999999</v>
      </c>
      <c r="T180">
        <v>154.69999999999999</v>
      </c>
      <c r="U180">
        <v>140.4</v>
      </c>
      <c r="V180">
        <v>148.1</v>
      </c>
      <c r="W180">
        <v>152.19999999999999</v>
      </c>
      <c r="X180">
        <v>129.30000000000001</v>
      </c>
      <c r="Y180">
        <v>144.5</v>
      </c>
      <c r="Z180">
        <v>186.7</v>
      </c>
      <c r="AA180">
        <v>137.1</v>
      </c>
      <c r="AB180">
        <v>152.5</v>
      </c>
      <c r="AC180">
        <v>142</v>
      </c>
      <c r="AD180">
        <v>150.80000000000001</v>
      </c>
      <c r="AE180">
        <f>SUM(Table1_1[[#This Row],[Cereals and products]:[Food and beverages]])</f>
        <v>1994.9999999999998</v>
      </c>
      <c r="AF180">
        <f>SUM(Table1_1[[#This Row],[Clothing and footwear]:[Clothing]])</f>
        <v>432.9</v>
      </c>
      <c r="AG180">
        <f>SUM(Table1_1[[#This Row],[Clothing]:[Education]])</f>
        <v>1778.3999999999999</v>
      </c>
      <c r="AH180">
        <f>SUM(Table1_1[[#This Row],[Health]:[Personal care and effects]])</f>
        <v>300.29999999999995</v>
      </c>
      <c r="AI180">
        <f>SUM(Table1_1[[#This Row],[Recreation and amusement]:[Miscellaneous]])</f>
        <v>762.8</v>
      </c>
      <c r="AJ180">
        <f>SUM(Table1_1[[#This Row],[Fuel and light]])</f>
        <v>137.1</v>
      </c>
      <c r="AK180">
        <f>SUM(Table1_1[[#This Row],[Food]:[Luxury &amp;Other Thing]])</f>
        <v>5269.4</v>
      </c>
      <c r="AL180">
        <f>SUM(Table1_1[[#This Row],[Food]:[Luxury &amp;Other Thing]])</f>
        <v>5269.4</v>
      </c>
    </row>
    <row r="181" spans="1:38" x14ac:dyDescent="0.25">
      <c r="A181" t="s">
        <v>34</v>
      </c>
      <c r="B181" t="s">
        <v>39</v>
      </c>
      <c r="C181">
        <v>2020</v>
      </c>
      <c r="D181">
        <v>149.6</v>
      </c>
      <c r="E181">
        <v>192.7</v>
      </c>
      <c r="F181">
        <v>151.4</v>
      </c>
      <c r="G181">
        <v>153.30000000000001</v>
      </c>
      <c r="H181">
        <v>136.30000000000001</v>
      </c>
      <c r="I181">
        <v>147.19999999999999</v>
      </c>
      <c r="J181">
        <v>156.5</v>
      </c>
      <c r="K181">
        <v>150.9</v>
      </c>
      <c r="L181">
        <v>114.2</v>
      </c>
      <c r="M181">
        <v>159.5</v>
      </c>
      <c r="N181">
        <v>139.4</v>
      </c>
      <c r="O181">
        <v>161.80000000000001</v>
      </c>
      <c r="P181">
        <v>154</v>
      </c>
      <c r="Q181">
        <v>152.5</v>
      </c>
      <c r="R181">
        <v>144.4</v>
      </c>
      <c r="S181">
        <v>151.4</v>
      </c>
      <c r="T181">
        <v>154.69999999999999</v>
      </c>
      <c r="U181">
        <v>146.4</v>
      </c>
      <c r="V181">
        <v>154.4</v>
      </c>
      <c r="W181">
        <v>151.6</v>
      </c>
      <c r="X181">
        <v>135</v>
      </c>
      <c r="Y181">
        <v>148.30000000000001</v>
      </c>
      <c r="Z181">
        <v>183.5</v>
      </c>
      <c r="AA181">
        <v>141.9</v>
      </c>
      <c r="AB181">
        <v>156.4</v>
      </c>
      <c r="AC181">
        <v>147</v>
      </c>
      <c r="AD181">
        <v>151.80000000000001</v>
      </c>
      <c r="AE181">
        <f>SUM(Table1_1[[#This Row],[Cereals and products]:[Food and beverages]])</f>
        <v>1966.8000000000002</v>
      </c>
      <c r="AF181">
        <f>SUM(Table1_1[[#This Row],[Clothing and footwear]:[Clothing]])</f>
        <v>448.29999999999995</v>
      </c>
      <c r="AG181">
        <f>SUM(Table1_1[[#This Row],[Clothing]:[Education]])</f>
        <v>1820.5</v>
      </c>
      <c r="AH181">
        <f>SUM(Table1_1[[#This Row],[Health]:[Personal care and effects]])</f>
        <v>306</v>
      </c>
      <c r="AI181">
        <f>SUM(Table1_1[[#This Row],[Recreation and amusement]:[Miscellaneous]])</f>
        <v>777.1</v>
      </c>
      <c r="AJ181">
        <f>SUM(Table1_1[[#This Row],[Fuel and light]])</f>
        <v>141.9</v>
      </c>
      <c r="AK181">
        <f>SUM(Table1_1[[#This Row],[Food]:[Luxury &amp;Other Thing]])</f>
        <v>5318.7000000000007</v>
      </c>
      <c r="AL181">
        <f>SUM(Table1_1[[#This Row],[Food]:[Luxury &amp;Other Thing]])</f>
        <v>5318.7000000000007</v>
      </c>
    </row>
    <row r="182" spans="1:38" x14ac:dyDescent="0.25">
      <c r="A182" t="s">
        <v>30</v>
      </c>
      <c r="B182" t="s">
        <v>39</v>
      </c>
      <c r="C182">
        <v>2021</v>
      </c>
      <c r="D182">
        <v>145.6</v>
      </c>
      <c r="E182">
        <v>200.1</v>
      </c>
      <c r="F182">
        <v>179.3</v>
      </c>
      <c r="G182">
        <v>156.1</v>
      </c>
      <c r="H182">
        <v>190.4</v>
      </c>
      <c r="I182">
        <v>158.6</v>
      </c>
      <c r="J182">
        <v>144.69999999999999</v>
      </c>
      <c r="K182">
        <v>165.5</v>
      </c>
      <c r="L182">
        <v>114.6</v>
      </c>
      <c r="M182">
        <v>170</v>
      </c>
      <c r="N182">
        <v>165.5</v>
      </c>
      <c r="O182">
        <v>171.7</v>
      </c>
      <c r="P182">
        <v>160.5</v>
      </c>
      <c r="Q182">
        <v>165.3</v>
      </c>
      <c r="R182">
        <v>159.9</v>
      </c>
      <c r="S182">
        <v>164.6</v>
      </c>
      <c r="T182">
        <v>139.5</v>
      </c>
      <c r="U182">
        <v>159.19999999999999</v>
      </c>
      <c r="V182">
        <v>169.7</v>
      </c>
      <c r="W182">
        <v>159.4</v>
      </c>
      <c r="X182">
        <v>154.19999999999999</v>
      </c>
      <c r="Y182">
        <v>160.4</v>
      </c>
      <c r="Z182">
        <v>189.1</v>
      </c>
      <c r="AA182">
        <v>162.1</v>
      </c>
      <c r="AB182">
        <v>166.8</v>
      </c>
      <c r="AC182">
        <v>161.5</v>
      </c>
      <c r="AD182">
        <v>162.1</v>
      </c>
      <c r="AE182">
        <f>SUM(Table1_1[[#This Row],[Cereals and products]:[Food and beverages]])</f>
        <v>2122.6</v>
      </c>
      <c r="AF182">
        <f>SUM(Table1_1[[#This Row],[Clothing and footwear]:[Clothing]])</f>
        <v>489.80000000000007</v>
      </c>
      <c r="AG182">
        <f>SUM(Table1_1[[#This Row],[Clothing]:[Education]])</f>
        <v>1950.2</v>
      </c>
      <c r="AH182">
        <f>SUM(Table1_1[[#This Row],[Health]:[Personal care and effects]])</f>
        <v>329.1</v>
      </c>
      <c r="AI182">
        <f>SUM(Table1_1[[#This Row],[Recreation and amusement]:[Miscellaneous]])</f>
        <v>839.90000000000009</v>
      </c>
      <c r="AJ182">
        <f>SUM(Table1_1[[#This Row],[Fuel and light]])</f>
        <v>162.1</v>
      </c>
      <c r="AK182">
        <f>SUM(Table1_1[[#This Row],[Food]:[Luxury &amp;Other Thing]])</f>
        <v>5731.6</v>
      </c>
      <c r="AL182">
        <f>SUM(Table1_1[[#This Row],[Food]:[Luxury &amp;Other Thing]])</f>
        <v>5731.6</v>
      </c>
    </row>
    <row r="183" spans="1:38" x14ac:dyDescent="0.25">
      <c r="A183" t="s">
        <v>33</v>
      </c>
      <c r="B183" t="s">
        <v>39</v>
      </c>
      <c r="C183">
        <v>2021</v>
      </c>
      <c r="D183">
        <v>149.19999999999999</v>
      </c>
      <c r="E183">
        <v>205.5</v>
      </c>
      <c r="F183">
        <v>182.8</v>
      </c>
      <c r="G183">
        <v>156.5</v>
      </c>
      <c r="H183">
        <v>172.2</v>
      </c>
      <c r="I183">
        <v>171.5</v>
      </c>
      <c r="J183">
        <v>176.2</v>
      </c>
      <c r="K183">
        <v>166.9</v>
      </c>
      <c r="L183">
        <v>116.1</v>
      </c>
      <c r="M183">
        <v>165.5</v>
      </c>
      <c r="N183">
        <v>152.30000000000001</v>
      </c>
      <c r="O183">
        <v>173.3</v>
      </c>
      <c r="P183">
        <v>166.2</v>
      </c>
      <c r="Q183">
        <v>157.30000000000001</v>
      </c>
      <c r="R183">
        <v>140.5</v>
      </c>
      <c r="S183">
        <v>154.80000000000001</v>
      </c>
      <c r="T183">
        <v>160.5</v>
      </c>
      <c r="U183">
        <v>149.80000000000001</v>
      </c>
      <c r="V183">
        <v>160.80000000000001</v>
      </c>
      <c r="W183">
        <v>158</v>
      </c>
      <c r="X183">
        <v>147.5</v>
      </c>
      <c r="Y183">
        <v>150.69999999999999</v>
      </c>
      <c r="Z183">
        <v>195.6</v>
      </c>
      <c r="AA183">
        <v>156.1</v>
      </c>
      <c r="AB183">
        <v>158.1</v>
      </c>
      <c r="AC183">
        <v>153.4</v>
      </c>
      <c r="AD183">
        <v>160.4</v>
      </c>
      <c r="AE183">
        <f>SUM(Table1_1[[#This Row],[Cereals and products]:[Food and beverages]])</f>
        <v>2154.1999999999998</v>
      </c>
      <c r="AF183">
        <f>SUM(Table1_1[[#This Row],[Clothing and footwear]:[Clothing]])</f>
        <v>452.6</v>
      </c>
      <c r="AG183">
        <f>SUM(Table1_1[[#This Row],[Clothing]:[Education]])</f>
        <v>1889.6999999999998</v>
      </c>
      <c r="AH183">
        <f>SUM(Table1_1[[#This Row],[Health]:[Personal care and effects]])</f>
        <v>318.8</v>
      </c>
      <c r="AI183">
        <f>SUM(Table1_1[[#This Row],[Recreation and amusement]:[Miscellaneous]])</f>
        <v>813.9</v>
      </c>
      <c r="AJ183">
        <f>SUM(Table1_1[[#This Row],[Fuel and light]])</f>
        <v>156.1</v>
      </c>
      <c r="AK183">
        <f>SUM(Table1_1[[#This Row],[Food]:[Luxury &amp;Other Thing]])</f>
        <v>5629.2</v>
      </c>
      <c r="AL183">
        <f>SUM(Table1_1[[#This Row],[Food]:[Luxury &amp;Other Thing]])</f>
        <v>5629.2</v>
      </c>
    </row>
    <row r="184" spans="1:38" x14ac:dyDescent="0.25">
      <c r="A184" t="s">
        <v>34</v>
      </c>
      <c r="B184" t="s">
        <v>39</v>
      </c>
      <c r="C184">
        <v>2021</v>
      </c>
      <c r="D184">
        <v>146.69999999999999</v>
      </c>
      <c r="E184">
        <v>202</v>
      </c>
      <c r="F184">
        <v>180.7</v>
      </c>
      <c r="G184">
        <v>156.19999999999999</v>
      </c>
      <c r="H184">
        <v>183.7</v>
      </c>
      <c r="I184">
        <v>164.6</v>
      </c>
      <c r="J184">
        <v>155.4</v>
      </c>
      <c r="K184">
        <v>166</v>
      </c>
      <c r="L184">
        <v>115.1</v>
      </c>
      <c r="M184">
        <v>168.5</v>
      </c>
      <c r="N184">
        <v>160</v>
      </c>
      <c r="O184">
        <v>172.4</v>
      </c>
      <c r="P184">
        <v>162.6</v>
      </c>
      <c r="Q184">
        <v>162.19999999999999</v>
      </c>
      <c r="R184">
        <v>151.80000000000001</v>
      </c>
      <c r="S184">
        <v>160.69999999999999</v>
      </c>
      <c r="T184">
        <v>160.5</v>
      </c>
      <c r="U184">
        <v>154.80000000000001</v>
      </c>
      <c r="V184">
        <v>166.3</v>
      </c>
      <c r="W184">
        <v>158.80000000000001</v>
      </c>
      <c r="X184">
        <v>150.69999999999999</v>
      </c>
      <c r="Y184">
        <v>154.9</v>
      </c>
      <c r="Z184">
        <v>190.8</v>
      </c>
      <c r="AA184">
        <v>159.80000000000001</v>
      </c>
      <c r="AB184">
        <v>161.69999999999999</v>
      </c>
      <c r="AC184">
        <v>157.6</v>
      </c>
      <c r="AD184">
        <v>161.30000000000001</v>
      </c>
      <c r="AE184">
        <f>SUM(Table1_1[[#This Row],[Cereals and products]:[Food and beverages]])</f>
        <v>2133.9</v>
      </c>
      <c r="AF184">
        <f>SUM(Table1_1[[#This Row],[Clothing and footwear]:[Clothing]])</f>
        <v>474.7</v>
      </c>
      <c r="AG184">
        <f>SUM(Table1_1[[#This Row],[Clothing]:[Education]])</f>
        <v>1933</v>
      </c>
      <c r="AH184">
        <f>SUM(Table1_1[[#This Row],[Health]:[Personal care and effects]])</f>
        <v>325.10000000000002</v>
      </c>
      <c r="AI184">
        <f>SUM(Table1_1[[#This Row],[Recreation and amusement]:[Miscellaneous]])</f>
        <v>824.80000000000007</v>
      </c>
      <c r="AJ184">
        <f>SUM(Table1_1[[#This Row],[Fuel and light]])</f>
        <v>159.80000000000001</v>
      </c>
      <c r="AK184">
        <f>SUM(Table1_1[[#This Row],[Food]:[Luxury &amp;Other Thing]])</f>
        <v>5691.5000000000009</v>
      </c>
      <c r="AL184">
        <f>SUM(Table1_1[[#This Row],[Food]:[Luxury &amp;Other Thing]])</f>
        <v>5691.5000000000009</v>
      </c>
    </row>
    <row r="185" spans="1:38" x14ac:dyDescent="0.25">
      <c r="A185" t="s">
        <v>30</v>
      </c>
      <c r="B185" t="s">
        <v>39</v>
      </c>
      <c r="C185">
        <v>2022</v>
      </c>
      <c r="D185">
        <v>153.80000000000001</v>
      </c>
      <c r="E185">
        <v>217.2</v>
      </c>
      <c r="F185">
        <v>169.6</v>
      </c>
      <c r="G185">
        <v>165.4</v>
      </c>
      <c r="H185">
        <v>208.1</v>
      </c>
      <c r="I185">
        <v>165.8</v>
      </c>
      <c r="J185">
        <v>167.3</v>
      </c>
      <c r="K185">
        <v>164.6</v>
      </c>
      <c r="L185">
        <v>119.1</v>
      </c>
      <c r="M185">
        <v>188.9</v>
      </c>
      <c r="N185">
        <v>174.2</v>
      </c>
      <c r="O185">
        <v>181.9</v>
      </c>
      <c r="P185">
        <v>172.4</v>
      </c>
      <c r="Q185">
        <v>180.7</v>
      </c>
      <c r="R185">
        <v>178.7</v>
      </c>
      <c r="S185">
        <v>180.4</v>
      </c>
      <c r="T185">
        <v>139.5</v>
      </c>
      <c r="U185">
        <v>170.3</v>
      </c>
      <c r="V185">
        <v>178.2</v>
      </c>
      <c r="W185">
        <v>169.5</v>
      </c>
      <c r="X185">
        <v>165.5</v>
      </c>
      <c r="Y185">
        <v>168</v>
      </c>
      <c r="Z185">
        <v>192.9</v>
      </c>
      <c r="AA185">
        <v>176.7</v>
      </c>
      <c r="AB185">
        <v>172.6</v>
      </c>
      <c r="AC185">
        <v>171</v>
      </c>
      <c r="AD185">
        <v>173.6</v>
      </c>
      <c r="AE185">
        <f>SUM(Table1_1[[#This Row],[Cereals and products]:[Food and beverages]])</f>
        <v>2248.3000000000002</v>
      </c>
      <c r="AF185">
        <f>SUM(Table1_1[[#This Row],[Clothing and footwear]:[Clothing]])</f>
        <v>539.79999999999995</v>
      </c>
      <c r="AG185">
        <f>SUM(Table1_1[[#This Row],[Clothing]:[Education]])</f>
        <v>2073</v>
      </c>
      <c r="AH185">
        <f>SUM(Table1_1[[#This Row],[Health]:[Personal care and effects]])</f>
        <v>347.7</v>
      </c>
      <c r="AI185">
        <f>SUM(Table1_1[[#This Row],[Recreation and amusement]:[Miscellaneous]])</f>
        <v>881.19999999999993</v>
      </c>
      <c r="AJ185">
        <f>SUM(Table1_1[[#This Row],[Fuel and light]])</f>
        <v>176.7</v>
      </c>
      <c r="AK185">
        <f>SUM(Table1_1[[#This Row],[Food]:[Luxury &amp;Other Thing]])</f>
        <v>6090</v>
      </c>
      <c r="AL185">
        <f>SUM(Table1_1[[#This Row],[Food]:[Luxury &amp;Other Thing]])</f>
        <v>6090</v>
      </c>
    </row>
    <row r="186" spans="1:38" x14ac:dyDescent="0.25">
      <c r="A186" t="s">
        <v>33</v>
      </c>
      <c r="B186" t="s">
        <v>39</v>
      </c>
      <c r="C186">
        <v>2022</v>
      </c>
      <c r="D186">
        <v>157.5</v>
      </c>
      <c r="E186">
        <v>223.4</v>
      </c>
      <c r="F186">
        <v>172.8</v>
      </c>
      <c r="G186">
        <v>166.4</v>
      </c>
      <c r="H186">
        <v>188.6</v>
      </c>
      <c r="I186">
        <v>174.1</v>
      </c>
      <c r="J186">
        <v>211.5</v>
      </c>
      <c r="K186">
        <v>163.6</v>
      </c>
      <c r="L186">
        <v>121.4</v>
      </c>
      <c r="M186">
        <v>183.5</v>
      </c>
      <c r="N186">
        <v>159.1</v>
      </c>
      <c r="O186">
        <v>186.3</v>
      </c>
      <c r="P186">
        <v>179.3</v>
      </c>
      <c r="Q186">
        <v>171.6</v>
      </c>
      <c r="R186">
        <v>157.4</v>
      </c>
      <c r="S186">
        <v>169.4</v>
      </c>
      <c r="T186">
        <v>166.8</v>
      </c>
      <c r="U186">
        <v>162.1</v>
      </c>
      <c r="V186">
        <v>170.9</v>
      </c>
      <c r="W186">
        <v>169.2</v>
      </c>
      <c r="X186">
        <v>157.19999999999999</v>
      </c>
      <c r="Y186">
        <v>164.1</v>
      </c>
      <c r="Z186">
        <v>198.3</v>
      </c>
      <c r="AA186">
        <v>174.9</v>
      </c>
      <c r="AB186">
        <v>166.5</v>
      </c>
      <c r="AC186">
        <v>163.80000000000001</v>
      </c>
      <c r="AD186">
        <v>171.4</v>
      </c>
      <c r="AE186">
        <f>SUM(Table1_1[[#This Row],[Cereals and products]:[Food and beverages]])</f>
        <v>2287.5</v>
      </c>
      <c r="AF186">
        <f>SUM(Table1_1[[#This Row],[Clothing and footwear]:[Clothing]])</f>
        <v>498.4</v>
      </c>
      <c r="AG186">
        <f>SUM(Table1_1[[#This Row],[Clothing]:[Education]])</f>
        <v>2028.4</v>
      </c>
      <c r="AH186">
        <f>SUM(Table1_1[[#This Row],[Health]:[Personal care and effects]])</f>
        <v>340.1</v>
      </c>
      <c r="AI186">
        <f>SUM(Table1_1[[#This Row],[Recreation and amusement]:[Miscellaneous]])</f>
        <v>867.59999999999991</v>
      </c>
      <c r="AJ186">
        <f>SUM(Table1_1[[#This Row],[Fuel and light]])</f>
        <v>174.9</v>
      </c>
      <c r="AK186">
        <f>SUM(Table1_1[[#This Row],[Food]:[Luxury &amp;Other Thing]])</f>
        <v>6022</v>
      </c>
      <c r="AL186">
        <f>SUM(Table1_1[[#This Row],[Food]:[Luxury &amp;Other Thing]])</f>
        <v>6022</v>
      </c>
    </row>
    <row r="187" spans="1:38" x14ac:dyDescent="0.25">
      <c r="A187" t="s">
        <v>34</v>
      </c>
      <c r="B187" t="s">
        <v>39</v>
      </c>
      <c r="C187">
        <v>2022</v>
      </c>
      <c r="D187">
        <v>155</v>
      </c>
      <c r="E187">
        <v>219.4</v>
      </c>
      <c r="F187">
        <v>170.8</v>
      </c>
      <c r="G187">
        <v>165.8</v>
      </c>
      <c r="H187">
        <v>200.9</v>
      </c>
      <c r="I187">
        <v>169.7</v>
      </c>
      <c r="J187">
        <v>182.3</v>
      </c>
      <c r="K187">
        <v>164.3</v>
      </c>
      <c r="L187">
        <v>119.9</v>
      </c>
      <c r="M187">
        <v>187.1</v>
      </c>
      <c r="N187">
        <v>167.9</v>
      </c>
      <c r="O187">
        <v>183.9</v>
      </c>
      <c r="P187">
        <v>174.9</v>
      </c>
      <c r="Q187">
        <v>177.1</v>
      </c>
      <c r="R187">
        <v>169.9</v>
      </c>
      <c r="S187">
        <v>176</v>
      </c>
      <c r="T187">
        <v>166.8</v>
      </c>
      <c r="U187">
        <v>166.4</v>
      </c>
      <c r="V187">
        <v>175.4</v>
      </c>
      <c r="W187">
        <v>169.4</v>
      </c>
      <c r="X187">
        <v>161.1</v>
      </c>
      <c r="Y187">
        <v>165.8</v>
      </c>
      <c r="Z187">
        <v>194.3</v>
      </c>
      <c r="AA187">
        <v>176</v>
      </c>
      <c r="AB187">
        <v>169</v>
      </c>
      <c r="AC187">
        <v>167.5</v>
      </c>
      <c r="AD187">
        <v>172.6</v>
      </c>
      <c r="AE187">
        <f>SUM(Table1_1[[#This Row],[Cereals and products]:[Food and beverages]])</f>
        <v>2261.9</v>
      </c>
      <c r="AF187">
        <f>SUM(Table1_1[[#This Row],[Clothing and footwear]:[Clothing]])</f>
        <v>523</v>
      </c>
      <c r="AG187">
        <f>SUM(Table1_1[[#This Row],[Clothing]:[Education]])</f>
        <v>2067.1999999999998</v>
      </c>
      <c r="AH187">
        <f>SUM(Table1_1[[#This Row],[Health]:[Personal care and effects]])</f>
        <v>344.8</v>
      </c>
      <c r="AI187">
        <f>SUM(Table1_1[[#This Row],[Recreation and amusement]:[Miscellaneous]])</f>
        <v>872.6</v>
      </c>
      <c r="AJ187">
        <f>SUM(Table1_1[[#This Row],[Fuel and light]])</f>
        <v>176</v>
      </c>
      <c r="AK187">
        <f>SUM(Table1_1[[#This Row],[Food]:[Luxury &amp;Other Thing]])</f>
        <v>6069.5000000000009</v>
      </c>
      <c r="AL187">
        <f>SUM(Table1_1[[#This Row],[Food]:[Luxury &amp;Other Thing]])</f>
        <v>6069.5000000000009</v>
      </c>
    </row>
    <row r="188" spans="1:38" x14ac:dyDescent="0.25">
      <c r="A188" t="s">
        <v>30</v>
      </c>
      <c r="B188" t="s">
        <v>40</v>
      </c>
      <c r="C188">
        <v>2013</v>
      </c>
      <c r="D188">
        <v>113.4</v>
      </c>
      <c r="E188">
        <v>114.9</v>
      </c>
      <c r="F188">
        <v>110.5</v>
      </c>
      <c r="G188">
        <v>109.3</v>
      </c>
      <c r="H188">
        <v>106.2</v>
      </c>
      <c r="I188">
        <v>110.3</v>
      </c>
      <c r="J188">
        <v>129.19999999999999</v>
      </c>
      <c r="K188">
        <v>107.1</v>
      </c>
      <c r="L188">
        <v>104.3</v>
      </c>
      <c r="M188">
        <v>106.4</v>
      </c>
      <c r="N188">
        <v>109.1</v>
      </c>
      <c r="O188">
        <v>112.1</v>
      </c>
      <c r="P188">
        <v>113.1</v>
      </c>
      <c r="Q188">
        <v>110.5</v>
      </c>
      <c r="R188">
        <v>109.5</v>
      </c>
      <c r="S188">
        <v>110.3</v>
      </c>
      <c r="T188">
        <v>139.5</v>
      </c>
      <c r="U188">
        <v>108.3</v>
      </c>
      <c r="V188">
        <v>106.9</v>
      </c>
      <c r="W188">
        <v>102.5</v>
      </c>
      <c r="X188">
        <v>106.8</v>
      </c>
      <c r="Y188">
        <v>106.4</v>
      </c>
      <c r="Z188">
        <v>109.8</v>
      </c>
      <c r="AA188">
        <v>109.5</v>
      </c>
      <c r="AB188">
        <v>107.8</v>
      </c>
      <c r="AC188">
        <v>106.5</v>
      </c>
      <c r="AD188">
        <v>110.7</v>
      </c>
      <c r="AE188">
        <f>SUM(Table1_1[[#This Row],[Cereals and products]:[Food and beverages]])</f>
        <v>1445.8999999999996</v>
      </c>
      <c r="AF188">
        <f>SUM(Table1_1[[#This Row],[Clothing and footwear]:[Clothing]])</f>
        <v>330.3</v>
      </c>
      <c r="AG188">
        <f>SUM(Table1_1[[#This Row],[Clothing]:[Education]])</f>
        <v>1327.8</v>
      </c>
      <c r="AH188">
        <f>SUM(Table1_1[[#This Row],[Health]:[Personal care and effects]])</f>
        <v>209.4</v>
      </c>
      <c r="AI188">
        <f>SUM(Table1_1[[#This Row],[Recreation and amusement]:[Miscellaneous]])</f>
        <v>540</v>
      </c>
      <c r="AJ188">
        <f>SUM(Table1_1[[#This Row],[Fuel and light]])</f>
        <v>109.5</v>
      </c>
      <c r="AK188">
        <f>SUM(Table1_1[[#This Row],[Food]:[Luxury &amp;Other Thing]])</f>
        <v>3853.3999999999996</v>
      </c>
      <c r="AL188">
        <f>SUM(Table1_1[[#This Row],[Food]:[Luxury &amp;Other Thing]])</f>
        <v>3853.3999999999996</v>
      </c>
    </row>
    <row r="189" spans="1:38" x14ac:dyDescent="0.25">
      <c r="A189" t="s">
        <v>33</v>
      </c>
      <c r="B189" t="s">
        <v>40</v>
      </c>
      <c r="C189">
        <v>2013</v>
      </c>
      <c r="D189">
        <v>117.8</v>
      </c>
      <c r="E189">
        <v>119.2</v>
      </c>
      <c r="F189">
        <v>114</v>
      </c>
      <c r="G189">
        <v>108.3</v>
      </c>
      <c r="H189">
        <v>101.1</v>
      </c>
      <c r="I189">
        <v>113.2</v>
      </c>
      <c r="J189">
        <v>160.9</v>
      </c>
      <c r="K189">
        <v>105.1</v>
      </c>
      <c r="L189">
        <v>101.3</v>
      </c>
      <c r="M189">
        <v>107.5</v>
      </c>
      <c r="N189">
        <v>110.4</v>
      </c>
      <c r="O189">
        <v>113.1</v>
      </c>
      <c r="P189">
        <v>117.5</v>
      </c>
      <c r="Q189">
        <v>109.8</v>
      </c>
      <c r="R189">
        <v>107.8</v>
      </c>
      <c r="S189">
        <v>109.5</v>
      </c>
      <c r="T189">
        <v>107.7</v>
      </c>
      <c r="U189">
        <v>108.1</v>
      </c>
      <c r="V189">
        <v>107.1</v>
      </c>
      <c r="W189">
        <v>103.2</v>
      </c>
      <c r="X189">
        <v>107.3</v>
      </c>
      <c r="Y189">
        <v>105.9</v>
      </c>
      <c r="Z189">
        <v>111.7</v>
      </c>
      <c r="AA189">
        <v>108.6</v>
      </c>
      <c r="AB189">
        <v>110.1</v>
      </c>
      <c r="AC189">
        <v>107.3</v>
      </c>
      <c r="AD189">
        <v>111.4</v>
      </c>
      <c r="AE189">
        <f>SUM(Table1_1[[#This Row],[Cereals and products]:[Food and beverages]])</f>
        <v>1489.4</v>
      </c>
      <c r="AF189">
        <f>SUM(Table1_1[[#This Row],[Clothing and footwear]:[Clothing]])</f>
        <v>327.10000000000002</v>
      </c>
      <c r="AG189">
        <f>SUM(Table1_1[[#This Row],[Clothing]:[Education]])</f>
        <v>1296.7999999999997</v>
      </c>
      <c r="AH189">
        <f>SUM(Table1_1[[#This Row],[Health]:[Personal care and effects]])</f>
        <v>210.3</v>
      </c>
      <c r="AI189">
        <f>SUM(Table1_1[[#This Row],[Recreation and amusement]:[Miscellaneous]])</f>
        <v>543.6</v>
      </c>
      <c r="AJ189">
        <f>SUM(Table1_1[[#This Row],[Fuel and light]])</f>
        <v>108.6</v>
      </c>
      <c r="AK189">
        <f>SUM(Table1_1[[#This Row],[Food]:[Luxury &amp;Other Thing]])</f>
        <v>3867.2</v>
      </c>
      <c r="AL189">
        <f>SUM(Table1_1[[#This Row],[Food]:[Luxury &amp;Other Thing]])</f>
        <v>3867.2</v>
      </c>
    </row>
    <row r="190" spans="1:38" x14ac:dyDescent="0.25">
      <c r="A190" t="s">
        <v>34</v>
      </c>
      <c r="B190" t="s">
        <v>40</v>
      </c>
      <c r="C190">
        <v>2013</v>
      </c>
      <c r="D190">
        <v>114.8</v>
      </c>
      <c r="E190">
        <v>116.4</v>
      </c>
      <c r="F190">
        <v>111.9</v>
      </c>
      <c r="G190">
        <v>108.9</v>
      </c>
      <c r="H190">
        <v>104.3</v>
      </c>
      <c r="I190">
        <v>111.7</v>
      </c>
      <c r="J190">
        <v>140</v>
      </c>
      <c r="K190">
        <v>106.4</v>
      </c>
      <c r="L190">
        <v>103.3</v>
      </c>
      <c r="M190">
        <v>106.8</v>
      </c>
      <c r="N190">
        <v>109.6</v>
      </c>
      <c r="O190">
        <v>112.6</v>
      </c>
      <c r="P190">
        <v>114.7</v>
      </c>
      <c r="Q190">
        <v>110.2</v>
      </c>
      <c r="R190">
        <v>108.8</v>
      </c>
      <c r="S190">
        <v>110</v>
      </c>
      <c r="T190">
        <v>107.7</v>
      </c>
      <c r="U190">
        <v>108.2</v>
      </c>
      <c r="V190">
        <v>107</v>
      </c>
      <c r="W190">
        <v>102.8</v>
      </c>
      <c r="X190">
        <v>107.1</v>
      </c>
      <c r="Y190">
        <v>106.1</v>
      </c>
      <c r="Z190">
        <v>110.3</v>
      </c>
      <c r="AA190">
        <v>109.2</v>
      </c>
      <c r="AB190">
        <v>109.1</v>
      </c>
      <c r="AC190">
        <v>106.9</v>
      </c>
      <c r="AD190">
        <v>111</v>
      </c>
      <c r="AE190">
        <f>SUM(Table1_1[[#This Row],[Cereals and products]:[Food and beverages]])</f>
        <v>1461.3999999999999</v>
      </c>
      <c r="AF190">
        <f>SUM(Table1_1[[#This Row],[Clothing and footwear]:[Clothing]])</f>
        <v>329</v>
      </c>
      <c r="AG190">
        <f>SUM(Table1_1[[#This Row],[Clothing]:[Education]])</f>
        <v>1296.5</v>
      </c>
      <c r="AH190">
        <f>SUM(Table1_1[[#This Row],[Health]:[Personal care and effects]])</f>
        <v>209.8</v>
      </c>
      <c r="AI190">
        <f>SUM(Table1_1[[#This Row],[Recreation and amusement]:[Miscellaneous]])</f>
        <v>541.59999999999991</v>
      </c>
      <c r="AJ190">
        <f>SUM(Table1_1[[#This Row],[Fuel and light]])</f>
        <v>109.2</v>
      </c>
      <c r="AK190">
        <f>SUM(Table1_1[[#This Row],[Food]:[Luxury &amp;Other Thing]])</f>
        <v>3838.2999999999997</v>
      </c>
      <c r="AL190">
        <f>SUM(Table1_1[[#This Row],[Food]:[Luxury &amp;Other Thing]])</f>
        <v>3838.2999999999997</v>
      </c>
    </row>
    <row r="191" spans="1:38" x14ac:dyDescent="0.25">
      <c r="A191" t="s">
        <v>30</v>
      </c>
      <c r="B191" t="s">
        <v>40</v>
      </c>
      <c r="C191">
        <v>2014</v>
      </c>
      <c r="D191">
        <v>121.7</v>
      </c>
      <c r="E191">
        <v>122.5</v>
      </c>
      <c r="F191">
        <v>117.7</v>
      </c>
      <c r="G191">
        <v>120.6</v>
      </c>
      <c r="H191">
        <v>110.4</v>
      </c>
      <c r="I191">
        <v>129.1</v>
      </c>
      <c r="J191">
        <v>150.1</v>
      </c>
      <c r="K191">
        <v>113.2</v>
      </c>
      <c r="L191">
        <v>104.8</v>
      </c>
      <c r="M191">
        <v>113.3</v>
      </c>
      <c r="N191">
        <v>115.6</v>
      </c>
      <c r="O191">
        <v>120.9</v>
      </c>
      <c r="P191">
        <v>123.3</v>
      </c>
      <c r="Q191">
        <v>120.7</v>
      </c>
      <c r="R191">
        <v>118.3</v>
      </c>
      <c r="S191">
        <v>120.3</v>
      </c>
      <c r="T191">
        <v>139.5</v>
      </c>
      <c r="U191">
        <v>115.4</v>
      </c>
      <c r="V191">
        <v>113.4</v>
      </c>
      <c r="W191">
        <v>108.8</v>
      </c>
      <c r="X191">
        <v>113.2</v>
      </c>
      <c r="Y191">
        <v>111.8</v>
      </c>
      <c r="Z191">
        <v>118</v>
      </c>
      <c r="AA191">
        <v>115.3</v>
      </c>
      <c r="AB191">
        <v>115.5</v>
      </c>
      <c r="AC191">
        <v>113.1</v>
      </c>
      <c r="AD191">
        <v>119.5</v>
      </c>
      <c r="AE191">
        <f>SUM(Table1_1[[#This Row],[Cereals and products]:[Food and beverages]])</f>
        <v>1563.2</v>
      </c>
      <c r="AF191">
        <f>SUM(Table1_1[[#This Row],[Clothing and footwear]:[Clothing]])</f>
        <v>359.3</v>
      </c>
      <c r="AG191">
        <f>SUM(Table1_1[[#This Row],[Clothing]:[Education]])</f>
        <v>1410.2</v>
      </c>
      <c r="AH191">
        <f>SUM(Table1_1[[#This Row],[Health]:[Personal care and effects]])</f>
        <v>222.2</v>
      </c>
      <c r="AI191">
        <f>SUM(Table1_1[[#This Row],[Recreation and amusement]:[Miscellaneous]])</f>
        <v>573.70000000000005</v>
      </c>
      <c r="AJ191">
        <f>SUM(Table1_1[[#This Row],[Fuel and light]])</f>
        <v>115.3</v>
      </c>
      <c r="AK191">
        <f>SUM(Table1_1[[#This Row],[Food]:[Luxury &amp;Other Thing]])</f>
        <v>4128.5999999999995</v>
      </c>
      <c r="AL191">
        <f>SUM(Table1_1[[#This Row],[Food]:[Luxury &amp;Other Thing]])</f>
        <v>4128.5999999999995</v>
      </c>
    </row>
    <row r="192" spans="1:38" x14ac:dyDescent="0.25">
      <c r="A192" t="s">
        <v>33</v>
      </c>
      <c r="B192" t="s">
        <v>40</v>
      </c>
      <c r="C192">
        <v>2014</v>
      </c>
      <c r="D192">
        <v>123.8</v>
      </c>
      <c r="E192">
        <v>126.4</v>
      </c>
      <c r="F192">
        <v>118</v>
      </c>
      <c r="G192">
        <v>121.6</v>
      </c>
      <c r="H192">
        <v>103.5</v>
      </c>
      <c r="I192">
        <v>133.69999999999999</v>
      </c>
      <c r="J192">
        <v>172.4</v>
      </c>
      <c r="K192">
        <v>113.1</v>
      </c>
      <c r="L192">
        <v>102.7</v>
      </c>
      <c r="M192">
        <v>120</v>
      </c>
      <c r="N192">
        <v>113.8</v>
      </c>
      <c r="O192">
        <v>123.4</v>
      </c>
      <c r="P192">
        <v>127.1</v>
      </c>
      <c r="Q192">
        <v>118</v>
      </c>
      <c r="R192">
        <v>113.6</v>
      </c>
      <c r="S192">
        <v>117.4</v>
      </c>
      <c r="T192">
        <v>114.8</v>
      </c>
      <c r="U192">
        <v>114.9</v>
      </c>
      <c r="V192">
        <v>111.5</v>
      </c>
      <c r="W192">
        <v>109.7</v>
      </c>
      <c r="X192">
        <v>113</v>
      </c>
      <c r="Y192">
        <v>112.4</v>
      </c>
      <c r="Z192">
        <v>121</v>
      </c>
      <c r="AA192">
        <v>111.6</v>
      </c>
      <c r="AB192">
        <v>117.8</v>
      </c>
      <c r="AC192">
        <v>113.5</v>
      </c>
      <c r="AD192">
        <v>118.9</v>
      </c>
      <c r="AE192">
        <f>SUM(Table1_1[[#This Row],[Cereals and products]:[Food and beverages]])</f>
        <v>1599.5</v>
      </c>
      <c r="AF192">
        <f>SUM(Table1_1[[#This Row],[Clothing and footwear]:[Clothing]])</f>
        <v>349</v>
      </c>
      <c r="AG192">
        <f>SUM(Table1_1[[#This Row],[Clothing]:[Education]])</f>
        <v>1375.7</v>
      </c>
      <c r="AH192">
        <f>SUM(Table1_1[[#This Row],[Health]:[Personal care and effects]])</f>
        <v>221.2</v>
      </c>
      <c r="AI192">
        <f>SUM(Table1_1[[#This Row],[Recreation and amusement]:[Miscellaneous]])</f>
        <v>576.29999999999995</v>
      </c>
      <c r="AJ192">
        <f>SUM(Table1_1[[#This Row],[Fuel and light]])</f>
        <v>111.6</v>
      </c>
      <c r="AK192">
        <f>SUM(Table1_1[[#This Row],[Food]:[Luxury &amp;Other Thing]])</f>
        <v>4121.7</v>
      </c>
      <c r="AL192">
        <f>SUM(Table1_1[[#This Row],[Food]:[Luxury &amp;Other Thing]])</f>
        <v>4121.7</v>
      </c>
    </row>
    <row r="193" spans="1:38" x14ac:dyDescent="0.25">
      <c r="A193" t="s">
        <v>34</v>
      </c>
      <c r="B193" t="s">
        <v>40</v>
      </c>
      <c r="C193">
        <v>2014</v>
      </c>
      <c r="D193">
        <v>122.4</v>
      </c>
      <c r="E193">
        <v>123.9</v>
      </c>
      <c r="F193">
        <v>117.8</v>
      </c>
      <c r="G193">
        <v>121</v>
      </c>
      <c r="H193">
        <v>107.9</v>
      </c>
      <c r="I193">
        <v>131.19999999999999</v>
      </c>
      <c r="J193">
        <v>157.69999999999999</v>
      </c>
      <c r="K193">
        <v>113.2</v>
      </c>
      <c r="L193">
        <v>104.1</v>
      </c>
      <c r="M193">
        <v>115.5</v>
      </c>
      <c r="N193">
        <v>114.8</v>
      </c>
      <c r="O193">
        <v>122.1</v>
      </c>
      <c r="P193">
        <v>124.7</v>
      </c>
      <c r="Q193">
        <v>119.6</v>
      </c>
      <c r="R193">
        <v>116.3</v>
      </c>
      <c r="S193">
        <v>119.1</v>
      </c>
      <c r="T193">
        <v>114.8</v>
      </c>
      <c r="U193">
        <v>115.2</v>
      </c>
      <c r="V193">
        <v>112.7</v>
      </c>
      <c r="W193">
        <v>109.2</v>
      </c>
      <c r="X193">
        <v>113.1</v>
      </c>
      <c r="Y193">
        <v>112.1</v>
      </c>
      <c r="Z193">
        <v>118.8</v>
      </c>
      <c r="AA193">
        <v>113.9</v>
      </c>
      <c r="AB193">
        <v>116.8</v>
      </c>
      <c r="AC193">
        <v>113.3</v>
      </c>
      <c r="AD193">
        <v>119.2</v>
      </c>
      <c r="AE193">
        <f>SUM(Table1_1[[#This Row],[Cereals and products]:[Food and beverages]])</f>
        <v>1576.3</v>
      </c>
      <c r="AF193">
        <f>SUM(Table1_1[[#This Row],[Clothing and footwear]:[Clothing]])</f>
        <v>355</v>
      </c>
      <c r="AG193">
        <f>SUM(Table1_1[[#This Row],[Clothing]:[Education]])</f>
        <v>1381.6000000000001</v>
      </c>
      <c r="AH193">
        <f>SUM(Table1_1[[#This Row],[Health]:[Personal care and effects]])</f>
        <v>221.9</v>
      </c>
      <c r="AI193">
        <f>SUM(Table1_1[[#This Row],[Recreation and amusement]:[Miscellaneous]])</f>
        <v>574.9</v>
      </c>
      <c r="AJ193">
        <f>SUM(Table1_1[[#This Row],[Fuel and light]])</f>
        <v>113.9</v>
      </c>
      <c r="AK193">
        <f>SUM(Table1_1[[#This Row],[Food]:[Luxury &amp;Other Thing]])</f>
        <v>4109.7</v>
      </c>
      <c r="AL193">
        <f>SUM(Table1_1[[#This Row],[Food]:[Luxury &amp;Other Thing]])</f>
        <v>4109.7</v>
      </c>
    </row>
    <row r="194" spans="1:38" x14ac:dyDescent="0.25">
      <c r="A194" t="s">
        <v>30</v>
      </c>
      <c r="B194" t="s">
        <v>40</v>
      </c>
      <c r="C194">
        <v>2015</v>
      </c>
      <c r="D194">
        <v>124</v>
      </c>
      <c r="E194">
        <v>131.5</v>
      </c>
      <c r="F194">
        <v>122</v>
      </c>
      <c r="G194">
        <v>128.69999999999999</v>
      </c>
      <c r="H194">
        <v>113.5</v>
      </c>
      <c r="I194">
        <v>133.30000000000001</v>
      </c>
      <c r="J194">
        <v>140.80000000000001</v>
      </c>
      <c r="K194">
        <v>133.80000000000001</v>
      </c>
      <c r="L194">
        <v>94.1</v>
      </c>
      <c r="M194">
        <v>123.4</v>
      </c>
      <c r="N194">
        <v>121</v>
      </c>
      <c r="O194">
        <v>131.69999999999999</v>
      </c>
      <c r="P194">
        <v>127.5</v>
      </c>
      <c r="Q194">
        <v>128.80000000000001</v>
      </c>
      <c r="R194">
        <v>125.5</v>
      </c>
      <c r="S194">
        <v>128.30000000000001</v>
      </c>
      <c r="T194">
        <v>139.5</v>
      </c>
      <c r="U194">
        <v>123</v>
      </c>
      <c r="V194">
        <v>120.8</v>
      </c>
      <c r="W194">
        <v>112.7</v>
      </c>
      <c r="X194">
        <v>114.1</v>
      </c>
      <c r="Y194">
        <v>118</v>
      </c>
      <c r="Z194">
        <v>129.4</v>
      </c>
      <c r="AA194">
        <v>123</v>
      </c>
      <c r="AB194">
        <v>122.9</v>
      </c>
      <c r="AC194">
        <v>118.1</v>
      </c>
      <c r="AD194">
        <v>124.7</v>
      </c>
      <c r="AE194">
        <f>SUM(Table1_1[[#This Row],[Cereals and products]:[Food and beverages]])</f>
        <v>1625.3</v>
      </c>
      <c r="AF194">
        <f>SUM(Table1_1[[#This Row],[Clothing and footwear]:[Clothing]])</f>
        <v>382.6</v>
      </c>
      <c r="AG194">
        <f>SUM(Table1_1[[#This Row],[Clothing]:[Education]])</f>
        <v>1486.0000000000002</v>
      </c>
      <c r="AH194">
        <f>SUM(Table1_1[[#This Row],[Health]:[Personal care and effects]])</f>
        <v>233.5</v>
      </c>
      <c r="AI194">
        <f>SUM(Table1_1[[#This Row],[Recreation and amusement]:[Miscellaneous]])</f>
        <v>611.4</v>
      </c>
      <c r="AJ194">
        <f>SUM(Table1_1[[#This Row],[Fuel and light]])</f>
        <v>123</v>
      </c>
      <c r="AK194">
        <f>SUM(Table1_1[[#This Row],[Food]:[Luxury &amp;Other Thing]])</f>
        <v>4338.8</v>
      </c>
      <c r="AL194">
        <f>SUM(Table1_1[[#This Row],[Food]:[Luxury &amp;Other Thing]])</f>
        <v>4338.8</v>
      </c>
    </row>
    <row r="195" spans="1:38" x14ac:dyDescent="0.25">
      <c r="A195" t="s">
        <v>33</v>
      </c>
      <c r="B195" t="s">
        <v>40</v>
      </c>
      <c r="C195">
        <v>2015</v>
      </c>
      <c r="D195">
        <v>123.2</v>
      </c>
      <c r="E195">
        <v>134.30000000000001</v>
      </c>
      <c r="F195">
        <v>119.5</v>
      </c>
      <c r="G195">
        <v>127.7</v>
      </c>
      <c r="H195">
        <v>106.3</v>
      </c>
      <c r="I195">
        <v>132.80000000000001</v>
      </c>
      <c r="J195">
        <v>153.5</v>
      </c>
      <c r="K195">
        <v>149.5</v>
      </c>
      <c r="L195">
        <v>85.7</v>
      </c>
      <c r="M195">
        <v>131.5</v>
      </c>
      <c r="N195">
        <v>118.3</v>
      </c>
      <c r="O195">
        <v>131.1</v>
      </c>
      <c r="P195">
        <v>129.5</v>
      </c>
      <c r="Q195">
        <v>123.5</v>
      </c>
      <c r="R195">
        <v>117.9</v>
      </c>
      <c r="S195">
        <v>122.7</v>
      </c>
      <c r="T195">
        <v>119.9</v>
      </c>
      <c r="U195">
        <v>119.5</v>
      </c>
      <c r="V195">
        <v>116</v>
      </c>
      <c r="W195">
        <v>111.7</v>
      </c>
      <c r="X195">
        <v>111.5</v>
      </c>
      <c r="Y195">
        <v>116.6</v>
      </c>
      <c r="Z195">
        <v>133.1</v>
      </c>
      <c r="AA195">
        <v>115.3</v>
      </c>
      <c r="AB195">
        <v>125.4</v>
      </c>
      <c r="AC195">
        <v>116.3</v>
      </c>
      <c r="AD195">
        <v>122.4</v>
      </c>
      <c r="AE195">
        <f>SUM(Table1_1[[#This Row],[Cereals and products]:[Food and beverages]])</f>
        <v>1642.8999999999999</v>
      </c>
      <c r="AF195">
        <f>SUM(Table1_1[[#This Row],[Clothing and footwear]:[Clothing]])</f>
        <v>364.1</v>
      </c>
      <c r="AG195">
        <f>SUM(Table1_1[[#This Row],[Clothing]:[Education]])</f>
        <v>1433.1</v>
      </c>
      <c r="AH195">
        <f>SUM(Table1_1[[#This Row],[Health]:[Personal care and effects]])</f>
        <v>227.7</v>
      </c>
      <c r="AI195">
        <f>SUM(Table1_1[[#This Row],[Recreation and amusement]:[Miscellaneous]])</f>
        <v>606.69999999999993</v>
      </c>
      <c r="AJ195">
        <f>SUM(Table1_1[[#This Row],[Fuel and light]])</f>
        <v>115.3</v>
      </c>
      <c r="AK195">
        <f>SUM(Table1_1[[#This Row],[Food]:[Luxury &amp;Other Thing]])</f>
        <v>4274.5</v>
      </c>
      <c r="AL195">
        <f>SUM(Table1_1[[#This Row],[Food]:[Luxury &amp;Other Thing]])</f>
        <v>4274.5</v>
      </c>
    </row>
    <row r="196" spans="1:38" x14ac:dyDescent="0.25">
      <c r="A196" t="s">
        <v>34</v>
      </c>
      <c r="B196" t="s">
        <v>40</v>
      </c>
      <c r="C196">
        <v>2015</v>
      </c>
      <c r="D196">
        <v>123.7</v>
      </c>
      <c r="E196">
        <v>132.5</v>
      </c>
      <c r="F196">
        <v>121</v>
      </c>
      <c r="G196">
        <v>128.30000000000001</v>
      </c>
      <c r="H196">
        <v>110.9</v>
      </c>
      <c r="I196">
        <v>133.1</v>
      </c>
      <c r="J196">
        <v>145.1</v>
      </c>
      <c r="K196">
        <v>139.1</v>
      </c>
      <c r="L196">
        <v>91.3</v>
      </c>
      <c r="M196">
        <v>126.1</v>
      </c>
      <c r="N196">
        <v>119.9</v>
      </c>
      <c r="O196">
        <v>131.4</v>
      </c>
      <c r="P196">
        <v>128.19999999999999</v>
      </c>
      <c r="Q196">
        <v>126.7</v>
      </c>
      <c r="R196">
        <v>122.3</v>
      </c>
      <c r="S196">
        <v>126.1</v>
      </c>
      <c r="T196">
        <v>119.9</v>
      </c>
      <c r="U196">
        <v>121.3</v>
      </c>
      <c r="V196">
        <v>119</v>
      </c>
      <c r="W196">
        <v>112.3</v>
      </c>
      <c r="X196">
        <v>112.7</v>
      </c>
      <c r="Y196">
        <v>117.2</v>
      </c>
      <c r="Z196">
        <v>130.4</v>
      </c>
      <c r="AA196">
        <v>120.1</v>
      </c>
      <c r="AB196">
        <v>124.4</v>
      </c>
      <c r="AC196">
        <v>117.2</v>
      </c>
      <c r="AD196">
        <v>123.6</v>
      </c>
      <c r="AE196">
        <f>SUM(Table1_1[[#This Row],[Cereals and products]:[Food and beverages]])</f>
        <v>1630.6000000000001</v>
      </c>
      <c r="AF196">
        <f>SUM(Table1_1[[#This Row],[Clothing and footwear]:[Clothing]])</f>
        <v>375.1</v>
      </c>
      <c r="AG196">
        <f>SUM(Table1_1[[#This Row],[Clothing]:[Education]])</f>
        <v>1452.4</v>
      </c>
      <c r="AH196">
        <f>SUM(Table1_1[[#This Row],[Health]:[Personal care and effects]])</f>
        <v>231.3</v>
      </c>
      <c r="AI196">
        <f>SUM(Table1_1[[#This Row],[Recreation and amusement]:[Miscellaneous]])</f>
        <v>609.30000000000007</v>
      </c>
      <c r="AJ196">
        <f>SUM(Table1_1[[#This Row],[Fuel and light]])</f>
        <v>120.1</v>
      </c>
      <c r="AK196">
        <f>SUM(Table1_1[[#This Row],[Food]:[Luxury &amp;Other Thing]])</f>
        <v>4298.7000000000007</v>
      </c>
      <c r="AL196">
        <f>SUM(Table1_1[[#This Row],[Food]:[Luxury &amp;Other Thing]])</f>
        <v>4298.7000000000007</v>
      </c>
    </row>
    <row r="197" spans="1:38" x14ac:dyDescent="0.25">
      <c r="A197" t="s">
        <v>30</v>
      </c>
      <c r="B197" t="s">
        <v>40</v>
      </c>
      <c r="C197">
        <v>2016</v>
      </c>
      <c r="D197">
        <v>129.30000000000001</v>
      </c>
      <c r="E197">
        <v>139.5</v>
      </c>
      <c r="F197">
        <v>129.6</v>
      </c>
      <c r="G197">
        <v>134.5</v>
      </c>
      <c r="H197">
        <v>119.5</v>
      </c>
      <c r="I197">
        <v>138.5</v>
      </c>
      <c r="J197">
        <v>158.19999999999999</v>
      </c>
      <c r="K197">
        <v>171.8</v>
      </c>
      <c r="L197">
        <v>110.3</v>
      </c>
      <c r="M197">
        <v>134.30000000000001</v>
      </c>
      <c r="N197">
        <v>127.3</v>
      </c>
      <c r="O197">
        <v>139.9</v>
      </c>
      <c r="P197">
        <v>137.6</v>
      </c>
      <c r="Q197">
        <v>137.19999999999999</v>
      </c>
      <c r="R197">
        <v>132.19999999999999</v>
      </c>
      <c r="S197">
        <v>136.5</v>
      </c>
      <c r="T197">
        <v>139.5</v>
      </c>
      <c r="U197">
        <v>130</v>
      </c>
      <c r="V197">
        <v>126.7</v>
      </c>
      <c r="W197">
        <v>120.9</v>
      </c>
      <c r="X197">
        <v>116.4</v>
      </c>
      <c r="Y197">
        <v>125.2</v>
      </c>
      <c r="Z197">
        <v>138</v>
      </c>
      <c r="AA197">
        <v>128.19999999999999</v>
      </c>
      <c r="AB197">
        <v>130.80000000000001</v>
      </c>
      <c r="AC197">
        <v>123.8</v>
      </c>
      <c r="AD197">
        <v>133</v>
      </c>
      <c r="AE197">
        <f>SUM(Table1_1[[#This Row],[Cereals and products]:[Food and beverages]])</f>
        <v>1770.2999999999997</v>
      </c>
      <c r="AF197">
        <f>SUM(Table1_1[[#This Row],[Clothing and footwear]:[Clothing]])</f>
        <v>405.9</v>
      </c>
      <c r="AG197">
        <f>SUM(Table1_1[[#This Row],[Clothing]:[Education]])</f>
        <v>1561.6000000000001</v>
      </c>
      <c r="AH197">
        <f>SUM(Table1_1[[#This Row],[Health]:[Personal care and effects]])</f>
        <v>247.60000000000002</v>
      </c>
      <c r="AI197">
        <f>SUM(Table1_1[[#This Row],[Recreation and amusement]:[Miscellaneous]])</f>
        <v>646</v>
      </c>
      <c r="AJ197">
        <f>SUM(Table1_1[[#This Row],[Fuel and light]])</f>
        <v>128.19999999999999</v>
      </c>
      <c r="AK197">
        <f>SUM(Table1_1[[#This Row],[Food]:[Luxury &amp;Other Thing]])</f>
        <v>4631.3999999999996</v>
      </c>
      <c r="AL197">
        <f>SUM(Table1_1[[#This Row],[Food]:[Luxury &amp;Other Thing]])</f>
        <v>4631.3999999999996</v>
      </c>
    </row>
    <row r="198" spans="1:38" x14ac:dyDescent="0.25">
      <c r="A198" t="s">
        <v>33</v>
      </c>
      <c r="B198" t="s">
        <v>40</v>
      </c>
      <c r="C198">
        <v>2016</v>
      </c>
      <c r="D198">
        <v>126.8</v>
      </c>
      <c r="E198">
        <v>144.19999999999999</v>
      </c>
      <c r="F198">
        <v>136.6</v>
      </c>
      <c r="G198">
        <v>131.80000000000001</v>
      </c>
      <c r="H198">
        <v>111</v>
      </c>
      <c r="I198">
        <v>137</v>
      </c>
      <c r="J198">
        <v>179.5</v>
      </c>
      <c r="K198">
        <v>188.4</v>
      </c>
      <c r="L198">
        <v>113.3</v>
      </c>
      <c r="M198">
        <v>143.9</v>
      </c>
      <c r="N198">
        <v>121.7</v>
      </c>
      <c r="O198">
        <v>137.5</v>
      </c>
      <c r="P198">
        <v>139.80000000000001</v>
      </c>
      <c r="Q198">
        <v>127.9</v>
      </c>
      <c r="R198">
        <v>121.1</v>
      </c>
      <c r="S198">
        <v>126.9</v>
      </c>
      <c r="T198">
        <v>126.4</v>
      </c>
      <c r="U198">
        <v>123.5</v>
      </c>
      <c r="V198">
        <v>120.9</v>
      </c>
      <c r="W198">
        <v>120</v>
      </c>
      <c r="X198">
        <v>111.7</v>
      </c>
      <c r="Y198">
        <v>120.3</v>
      </c>
      <c r="Z198">
        <v>142.9</v>
      </c>
      <c r="AA198">
        <v>115.5</v>
      </c>
      <c r="AB198">
        <v>130.80000000000001</v>
      </c>
      <c r="AC198">
        <v>119.9</v>
      </c>
      <c r="AD198">
        <v>129</v>
      </c>
      <c r="AE198">
        <f>SUM(Table1_1[[#This Row],[Cereals and products]:[Food and beverages]])</f>
        <v>1811.5000000000002</v>
      </c>
      <c r="AF198">
        <f>SUM(Table1_1[[#This Row],[Clothing and footwear]:[Clothing]])</f>
        <v>375.9</v>
      </c>
      <c r="AG198">
        <f>SUM(Table1_1[[#This Row],[Clothing]:[Education]])</f>
        <v>1487.9</v>
      </c>
      <c r="AH198">
        <f>SUM(Table1_1[[#This Row],[Health]:[Personal care and effects]])</f>
        <v>240.9</v>
      </c>
      <c r="AI198">
        <f>SUM(Table1_1[[#This Row],[Recreation and amusement]:[Miscellaneous]])</f>
        <v>629.4</v>
      </c>
      <c r="AJ198">
        <f>SUM(Table1_1[[#This Row],[Fuel and light]])</f>
        <v>115.5</v>
      </c>
      <c r="AK198">
        <f>SUM(Table1_1[[#This Row],[Food]:[Luxury &amp;Other Thing]])</f>
        <v>4545.6000000000004</v>
      </c>
      <c r="AL198">
        <f>SUM(Table1_1[[#This Row],[Food]:[Luxury &amp;Other Thing]])</f>
        <v>4545.6000000000004</v>
      </c>
    </row>
    <row r="199" spans="1:38" x14ac:dyDescent="0.25">
      <c r="A199" t="s">
        <v>34</v>
      </c>
      <c r="B199" t="s">
        <v>40</v>
      </c>
      <c r="C199">
        <v>2016</v>
      </c>
      <c r="D199">
        <v>128.5</v>
      </c>
      <c r="E199">
        <v>141.19999999999999</v>
      </c>
      <c r="F199">
        <v>132.30000000000001</v>
      </c>
      <c r="G199">
        <v>133.5</v>
      </c>
      <c r="H199">
        <v>116.4</v>
      </c>
      <c r="I199">
        <v>137.80000000000001</v>
      </c>
      <c r="J199">
        <v>165.4</v>
      </c>
      <c r="K199">
        <v>177.4</v>
      </c>
      <c r="L199">
        <v>111.3</v>
      </c>
      <c r="M199">
        <v>137.5</v>
      </c>
      <c r="N199">
        <v>125</v>
      </c>
      <c r="O199">
        <v>138.80000000000001</v>
      </c>
      <c r="P199">
        <v>138.4</v>
      </c>
      <c r="Q199">
        <v>133.5</v>
      </c>
      <c r="R199">
        <v>127.6</v>
      </c>
      <c r="S199">
        <v>132.69999999999999</v>
      </c>
      <c r="T199">
        <v>126.4</v>
      </c>
      <c r="U199">
        <v>126.9</v>
      </c>
      <c r="V199">
        <v>124.5</v>
      </c>
      <c r="W199">
        <v>120.5</v>
      </c>
      <c r="X199">
        <v>113.9</v>
      </c>
      <c r="Y199">
        <v>122.4</v>
      </c>
      <c r="Z199">
        <v>139.30000000000001</v>
      </c>
      <c r="AA199">
        <v>123.4</v>
      </c>
      <c r="AB199">
        <v>130.80000000000001</v>
      </c>
      <c r="AC199">
        <v>121.9</v>
      </c>
      <c r="AD199">
        <v>131.1</v>
      </c>
      <c r="AE199">
        <f>SUM(Table1_1[[#This Row],[Cereals and products]:[Food and beverages]])</f>
        <v>1783.5</v>
      </c>
      <c r="AF199">
        <f>SUM(Table1_1[[#This Row],[Clothing and footwear]:[Clothing]])</f>
        <v>393.8</v>
      </c>
      <c r="AG199">
        <f>SUM(Table1_1[[#This Row],[Clothing]:[Education]])</f>
        <v>1521.9</v>
      </c>
      <c r="AH199">
        <f>SUM(Table1_1[[#This Row],[Health]:[Personal care and effects]])</f>
        <v>245</v>
      </c>
      <c r="AI199">
        <f>SUM(Table1_1[[#This Row],[Recreation and amusement]:[Miscellaneous]])</f>
        <v>637.80000000000007</v>
      </c>
      <c r="AJ199">
        <f>SUM(Table1_1[[#This Row],[Fuel and light]])</f>
        <v>123.4</v>
      </c>
      <c r="AK199">
        <f>SUM(Table1_1[[#This Row],[Food]:[Luxury &amp;Other Thing]])</f>
        <v>4582</v>
      </c>
      <c r="AL199">
        <f>SUM(Table1_1[[#This Row],[Food]:[Luxury &amp;Other Thing]])</f>
        <v>4582</v>
      </c>
    </row>
    <row r="200" spans="1:38" x14ac:dyDescent="0.25">
      <c r="A200" t="s">
        <v>30</v>
      </c>
      <c r="B200" t="s">
        <v>40</v>
      </c>
      <c r="C200">
        <v>2017</v>
      </c>
      <c r="D200">
        <v>134</v>
      </c>
      <c r="E200">
        <v>144.19999999999999</v>
      </c>
      <c r="F200">
        <v>129.80000000000001</v>
      </c>
      <c r="G200">
        <v>139</v>
      </c>
      <c r="H200">
        <v>120.9</v>
      </c>
      <c r="I200">
        <v>143.9</v>
      </c>
      <c r="J200">
        <v>151.5</v>
      </c>
      <c r="K200">
        <v>138.1</v>
      </c>
      <c r="L200">
        <v>120</v>
      </c>
      <c r="M200">
        <v>133.9</v>
      </c>
      <c r="N200">
        <v>131.4</v>
      </c>
      <c r="O200">
        <v>147.69999999999999</v>
      </c>
      <c r="P200">
        <v>138.5</v>
      </c>
      <c r="Q200">
        <v>144.30000000000001</v>
      </c>
      <c r="R200">
        <v>138.1</v>
      </c>
      <c r="S200">
        <v>143.5</v>
      </c>
      <c r="T200">
        <v>139.5</v>
      </c>
      <c r="U200">
        <v>136.1</v>
      </c>
      <c r="V200">
        <v>132.1</v>
      </c>
      <c r="W200">
        <v>124.4</v>
      </c>
      <c r="X200">
        <v>119.1</v>
      </c>
      <c r="Y200">
        <v>130.6</v>
      </c>
      <c r="Z200">
        <v>147.4</v>
      </c>
      <c r="AA200">
        <v>135.30000000000001</v>
      </c>
      <c r="AB200">
        <v>138.6</v>
      </c>
      <c r="AC200">
        <v>128.6</v>
      </c>
      <c r="AD200">
        <v>136.19999999999999</v>
      </c>
      <c r="AE200">
        <f>SUM(Table1_1[[#This Row],[Cereals and products]:[Food and beverages]])</f>
        <v>1772.9</v>
      </c>
      <c r="AF200">
        <f>SUM(Table1_1[[#This Row],[Clothing and footwear]:[Clothing]])</f>
        <v>425.9</v>
      </c>
      <c r="AG200">
        <f>SUM(Table1_1[[#This Row],[Clothing]:[Education]])</f>
        <v>1628.9999999999998</v>
      </c>
      <c r="AH200">
        <f>SUM(Table1_1[[#This Row],[Health]:[Personal care and effects]])</f>
        <v>256.5</v>
      </c>
      <c r="AI200">
        <f>SUM(Table1_1[[#This Row],[Recreation and amusement]:[Miscellaneous]])</f>
        <v>680.5</v>
      </c>
      <c r="AJ200">
        <f>SUM(Table1_1[[#This Row],[Fuel and light]])</f>
        <v>135.30000000000001</v>
      </c>
      <c r="AK200">
        <f>SUM(Table1_1[[#This Row],[Food]:[Luxury &amp;Other Thing]])</f>
        <v>4764.8</v>
      </c>
      <c r="AL200">
        <f>SUM(Table1_1[[#This Row],[Food]:[Luxury &amp;Other Thing]])</f>
        <v>4764.8</v>
      </c>
    </row>
    <row r="201" spans="1:38" x14ac:dyDescent="0.25">
      <c r="A201" t="s">
        <v>33</v>
      </c>
      <c r="B201" t="s">
        <v>40</v>
      </c>
      <c r="C201">
        <v>2017</v>
      </c>
      <c r="D201">
        <v>132.80000000000001</v>
      </c>
      <c r="E201">
        <v>148.4</v>
      </c>
      <c r="F201">
        <v>129.4</v>
      </c>
      <c r="G201">
        <v>137.69999999999999</v>
      </c>
      <c r="H201">
        <v>113.4</v>
      </c>
      <c r="I201">
        <v>139.4</v>
      </c>
      <c r="J201">
        <v>175.1</v>
      </c>
      <c r="K201">
        <v>124.7</v>
      </c>
      <c r="L201">
        <v>121.5</v>
      </c>
      <c r="M201">
        <v>137.80000000000001</v>
      </c>
      <c r="N201">
        <v>124.4</v>
      </c>
      <c r="O201">
        <v>143.69999999999999</v>
      </c>
      <c r="P201">
        <v>139.80000000000001</v>
      </c>
      <c r="Q201">
        <v>131.6</v>
      </c>
      <c r="R201">
        <v>123.7</v>
      </c>
      <c r="S201">
        <v>130.4</v>
      </c>
      <c r="T201">
        <v>132.6</v>
      </c>
      <c r="U201">
        <v>127.2</v>
      </c>
      <c r="V201">
        <v>125</v>
      </c>
      <c r="W201">
        <v>122.4</v>
      </c>
      <c r="X201">
        <v>113.2</v>
      </c>
      <c r="Y201">
        <v>123.5</v>
      </c>
      <c r="Z201">
        <v>150.5</v>
      </c>
      <c r="AA201">
        <v>119.7</v>
      </c>
      <c r="AB201">
        <v>135.5</v>
      </c>
      <c r="AC201">
        <v>123</v>
      </c>
      <c r="AD201">
        <v>131.80000000000001</v>
      </c>
      <c r="AE201">
        <f>SUM(Table1_1[[#This Row],[Cereals and products]:[Food and beverages]])</f>
        <v>1768.1</v>
      </c>
      <c r="AF201">
        <f>SUM(Table1_1[[#This Row],[Clothing and footwear]:[Clothing]])</f>
        <v>385.70000000000005</v>
      </c>
      <c r="AG201">
        <f>SUM(Table1_1[[#This Row],[Clothing]:[Education]])</f>
        <v>1535.3000000000002</v>
      </c>
      <c r="AH201">
        <f>SUM(Table1_1[[#This Row],[Health]:[Personal care and effects]])</f>
        <v>247.4</v>
      </c>
      <c r="AI201">
        <f>SUM(Table1_1[[#This Row],[Recreation and amusement]:[Miscellaneous]])</f>
        <v>652.20000000000005</v>
      </c>
      <c r="AJ201">
        <f>SUM(Table1_1[[#This Row],[Fuel and light]])</f>
        <v>119.7</v>
      </c>
      <c r="AK201">
        <f>SUM(Table1_1[[#This Row],[Food]:[Luxury &amp;Other Thing]])</f>
        <v>4588.7000000000007</v>
      </c>
      <c r="AL201">
        <f>SUM(Table1_1[[#This Row],[Food]:[Luxury &amp;Other Thing]])</f>
        <v>4588.7000000000007</v>
      </c>
    </row>
    <row r="202" spans="1:38" x14ac:dyDescent="0.25">
      <c r="A202" t="s">
        <v>34</v>
      </c>
      <c r="B202" t="s">
        <v>40</v>
      </c>
      <c r="C202">
        <v>2017</v>
      </c>
      <c r="D202">
        <v>133.6</v>
      </c>
      <c r="E202">
        <v>145.69999999999999</v>
      </c>
      <c r="F202">
        <v>129.6</v>
      </c>
      <c r="G202">
        <v>138.5</v>
      </c>
      <c r="H202">
        <v>118.1</v>
      </c>
      <c r="I202">
        <v>141.80000000000001</v>
      </c>
      <c r="J202">
        <v>159.5</v>
      </c>
      <c r="K202">
        <v>133.6</v>
      </c>
      <c r="L202">
        <v>120.5</v>
      </c>
      <c r="M202">
        <v>135.19999999999999</v>
      </c>
      <c r="N202">
        <v>128.5</v>
      </c>
      <c r="O202">
        <v>145.80000000000001</v>
      </c>
      <c r="P202">
        <v>139</v>
      </c>
      <c r="Q202">
        <v>139.30000000000001</v>
      </c>
      <c r="R202">
        <v>132.1</v>
      </c>
      <c r="S202">
        <v>138.30000000000001</v>
      </c>
      <c r="T202">
        <v>132.6</v>
      </c>
      <c r="U202">
        <v>131.9</v>
      </c>
      <c r="V202">
        <v>129.4</v>
      </c>
      <c r="W202">
        <v>123.6</v>
      </c>
      <c r="X202">
        <v>116</v>
      </c>
      <c r="Y202">
        <v>126.6</v>
      </c>
      <c r="Z202">
        <v>148.19999999999999</v>
      </c>
      <c r="AA202">
        <v>129.4</v>
      </c>
      <c r="AB202">
        <v>136.80000000000001</v>
      </c>
      <c r="AC202">
        <v>125.9</v>
      </c>
      <c r="AD202">
        <v>134.19999999999999</v>
      </c>
      <c r="AE202">
        <f>SUM(Table1_1[[#This Row],[Cereals and products]:[Food and beverages]])</f>
        <v>1769.3999999999999</v>
      </c>
      <c r="AF202">
        <f>SUM(Table1_1[[#This Row],[Clothing and footwear]:[Clothing]])</f>
        <v>409.7</v>
      </c>
      <c r="AG202">
        <f>SUM(Table1_1[[#This Row],[Clothing]:[Education]])</f>
        <v>1584.1999999999998</v>
      </c>
      <c r="AH202">
        <f>SUM(Table1_1[[#This Row],[Health]:[Personal care and effects]])</f>
        <v>253</v>
      </c>
      <c r="AI202">
        <f>SUM(Table1_1[[#This Row],[Recreation and amusement]:[Miscellaneous]])</f>
        <v>666.9</v>
      </c>
      <c r="AJ202">
        <f>SUM(Table1_1[[#This Row],[Fuel and light]])</f>
        <v>129.4</v>
      </c>
      <c r="AK202">
        <f>SUM(Table1_1[[#This Row],[Food]:[Luxury &amp;Other Thing]])</f>
        <v>4683.2</v>
      </c>
      <c r="AL202">
        <f>SUM(Table1_1[[#This Row],[Food]:[Luxury &amp;Other Thing]])</f>
        <v>4683.2</v>
      </c>
    </row>
    <row r="203" spans="1:38" x14ac:dyDescent="0.25">
      <c r="A203" t="s">
        <v>30</v>
      </c>
      <c r="B203" t="s">
        <v>40</v>
      </c>
      <c r="C203">
        <v>2018</v>
      </c>
      <c r="D203">
        <v>138.4</v>
      </c>
      <c r="E203">
        <v>149.30000000000001</v>
      </c>
      <c r="F203">
        <v>139.30000000000001</v>
      </c>
      <c r="G203">
        <v>143.4</v>
      </c>
      <c r="H203">
        <v>124.1</v>
      </c>
      <c r="I203">
        <v>153.30000000000001</v>
      </c>
      <c r="J203">
        <v>154.19999999999999</v>
      </c>
      <c r="K203">
        <v>126.4</v>
      </c>
      <c r="L203">
        <v>114.3</v>
      </c>
      <c r="M203">
        <v>138.19999999999999</v>
      </c>
      <c r="N203">
        <v>132.80000000000001</v>
      </c>
      <c r="O203">
        <v>154.80000000000001</v>
      </c>
      <c r="P203">
        <v>142</v>
      </c>
      <c r="Q203">
        <v>151.5</v>
      </c>
      <c r="R203">
        <v>145.1</v>
      </c>
      <c r="S203">
        <v>150.6</v>
      </c>
      <c r="T203">
        <v>139.5</v>
      </c>
      <c r="U203">
        <v>143.1</v>
      </c>
      <c r="V203">
        <v>139</v>
      </c>
      <c r="W203">
        <v>131.4</v>
      </c>
      <c r="X203">
        <v>127.5</v>
      </c>
      <c r="Y203">
        <v>138.4</v>
      </c>
      <c r="Z203">
        <v>156.1</v>
      </c>
      <c r="AA203">
        <v>146.80000000000001</v>
      </c>
      <c r="AB203">
        <v>145.80000000000001</v>
      </c>
      <c r="AC203">
        <v>136</v>
      </c>
      <c r="AD203">
        <v>141.80000000000001</v>
      </c>
      <c r="AE203">
        <f>SUM(Table1_1[[#This Row],[Cereals and products]:[Food and beverages]])</f>
        <v>1810.5000000000002</v>
      </c>
      <c r="AF203">
        <f>SUM(Table1_1[[#This Row],[Clothing and footwear]:[Clothing]])</f>
        <v>447.20000000000005</v>
      </c>
      <c r="AG203">
        <f>SUM(Table1_1[[#This Row],[Clothing]:[Education]])</f>
        <v>1714.8</v>
      </c>
      <c r="AH203">
        <f>SUM(Table1_1[[#This Row],[Health]:[Personal care and effects]])</f>
        <v>270.39999999999998</v>
      </c>
      <c r="AI203">
        <f>SUM(Table1_1[[#This Row],[Recreation and amusement]:[Miscellaneous]])</f>
        <v>723.1</v>
      </c>
      <c r="AJ203">
        <f>SUM(Table1_1[[#This Row],[Fuel and light]])</f>
        <v>146.80000000000001</v>
      </c>
      <c r="AK203">
        <f>SUM(Table1_1[[#This Row],[Food]:[Luxury &amp;Other Thing]])</f>
        <v>4966</v>
      </c>
      <c r="AL203">
        <f>SUM(Table1_1[[#This Row],[Food]:[Luxury &amp;Other Thing]])</f>
        <v>4966</v>
      </c>
    </row>
    <row r="204" spans="1:38" x14ac:dyDescent="0.25">
      <c r="A204" t="s">
        <v>33</v>
      </c>
      <c r="B204" t="s">
        <v>40</v>
      </c>
      <c r="C204">
        <v>2018</v>
      </c>
      <c r="D204">
        <v>135.6</v>
      </c>
      <c r="E204">
        <v>148.6</v>
      </c>
      <c r="F204">
        <v>139.1</v>
      </c>
      <c r="G204">
        <v>141</v>
      </c>
      <c r="H204">
        <v>116.7</v>
      </c>
      <c r="I204">
        <v>149.69999999999999</v>
      </c>
      <c r="J204">
        <v>159.19999999999999</v>
      </c>
      <c r="K204">
        <v>112.6</v>
      </c>
      <c r="L204">
        <v>111.8</v>
      </c>
      <c r="M204">
        <v>140.30000000000001</v>
      </c>
      <c r="N204">
        <v>126.8</v>
      </c>
      <c r="O204">
        <v>149.4</v>
      </c>
      <c r="P204">
        <v>140.30000000000001</v>
      </c>
      <c r="Q204">
        <v>139.6</v>
      </c>
      <c r="R204">
        <v>128.9</v>
      </c>
      <c r="S204">
        <v>137.9</v>
      </c>
      <c r="T204">
        <v>143.6</v>
      </c>
      <c r="U204">
        <v>133.6</v>
      </c>
      <c r="V204">
        <v>133.6</v>
      </c>
      <c r="W204">
        <v>128.19999999999999</v>
      </c>
      <c r="X204">
        <v>120.1</v>
      </c>
      <c r="Y204">
        <v>129</v>
      </c>
      <c r="Z204">
        <v>161.4</v>
      </c>
      <c r="AA204">
        <v>128.1</v>
      </c>
      <c r="AB204">
        <v>144</v>
      </c>
      <c r="AC204">
        <v>130.19999999999999</v>
      </c>
      <c r="AD204">
        <v>137.5</v>
      </c>
      <c r="AE204">
        <f>SUM(Table1_1[[#This Row],[Cereals and products]:[Food and beverages]])</f>
        <v>1771.1</v>
      </c>
      <c r="AF204">
        <f>SUM(Table1_1[[#This Row],[Clothing and footwear]:[Clothing]])</f>
        <v>406.4</v>
      </c>
      <c r="AG204">
        <f>SUM(Table1_1[[#This Row],[Clothing]:[Education]])</f>
        <v>1628</v>
      </c>
      <c r="AH204">
        <f>SUM(Table1_1[[#This Row],[Health]:[Personal care and effects]])</f>
        <v>261.79999999999995</v>
      </c>
      <c r="AI204">
        <f>SUM(Table1_1[[#This Row],[Recreation and amusement]:[Miscellaneous]])</f>
        <v>692.7</v>
      </c>
      <c r="AJ204">
        <f>SUM(Table1_1[[#This Row],[Fuel and light]])</f>
        <v>128.1</v>
      </c>
      <c r="AK204">
        <f>SUM(Table1_1[[#This Row],[Food]:[Luxury &amp;Other Thing]])</f>
        <v>4760</v>
      </c>
      <c r="AL204">
        <f>SUM(Table1_1[[#This Row],[Food]:[Luxury &amp;Other Thing]])</f>
        <v>4760</v>
      </c>
    </row>
    <row r="205" spans="1:38" x14ac:dyDescent="0.25">
      <c r="A205" t="s">
        <v>34</v>
      </c>
      <c r="B205" t="s">
        <v>40</v>
      </c>
      <c r="C205">
        <v>2018</v>
      </c>
      <c r="D205">
        <v>137.5</v>
      </c>
      <c r="E205">
        <v>149.1</v>
      </c>
      <c r="F205">
        <v>139.19999999999999</v>
      </c>
      <c r="G205">
        <v>142.5</v>
      </c>
      <c r="H205">
        <v>121.4</v>
      </c>
      <c r="I205">
        <v>151.6</v>
      </c>
      <c r="J205">
        <v>155.9</v>
      </c>
      <c r="K205">
        <v>121.7</v>
      </c>
      <c r="L205">
        <v>113.5</v>
      </c>
      <c r="M205">
        <v>138.9</v>
      </c>
      <c r="N205">
        <v>130.30000000000001</v>
      </c>
      <c r="O205">
        <v>152.30000000000001</v>
      </c>
      <c r="P205">
        <v>141.4</v>
      </c>
      <c r="Q205">
        <v>146.80000000000001</v>
      </c>
      <c r="R205">
        <v>138.4</v>
      </c>
      <c r="S205">
        <v>145.6</v>
      </c>
      <c r="T205">
        <v>143.6</v>
      </c>
      <c r="U205">
        <v>138.6</v>
      </c>
      <c r="V205">
        <v>137</v>
      </c>
      <c r="W205">
        <v>130.1</v>
      </c>
      <c r="X205">
        <v>123.6</v>
      </c>
      <c r="Y205">
        <v>133.1</v>
      </c>
      <c r="Z205">
        <v>157.5</v>
      </c>
      <c r="AA205">
        <v>139.69999999999999</v>
      </c>
      <c r="AB205">
        <v>144.69999999999999</v>
      </c>
      <c r="AC205">
        <v>133.19999999999999</v>
      </c>
      <c r="AD205">
        <v>139.80000000000001</v>
      </c>
      <c r="AE205">
        <f>SUM(Table1_1[[#This Row],[Cereals and products]:[Food and beverages]])</f>
        <v>1795.3</v>
      </c>
      <c r="AF205">
        <f>SUM(Table1_1[[#This Row],[Clothing and footwear]:[Clothing]])</f>
        <v>430.80000000000007</v>
      </c>
      <c r="AG205">
        <f>SUM(Table1_1[[#This Row],[Clothing]:[Education]])</f>
        <v>1678.7</v>
      </c>
      <c r="AH205">
        <f>SUM(Table1_1[[#This Row],[Health]:[Personal care and effects]])</f>
        <v>267.10000000000002</v>
      </c>
      <c r="AI205">
        <f>SUM(Table1_1[[#This Row],[Recreation and amusement]:[Miscellaneous]])</f>
        <v>708.2</v>
      </c>
      <c r="AJ205">
        <f>SUM(Table1_1[[#This Row],[Fuel and light]])</f>
        <v>139.69999999999999</v>
      </c>
      <c r="AK205">
        <f>SUM(Table1_1[[#This Row],[Food]:[Luxury &amp;Other Thing]])</f>
        <v>4880.1000000000004</v>
      </c>
      <c r="AL205">
        <f>SUM(Table1_1[[#This Row],[Food]:[Luxury &amp;Other Thing]])</f>
        <v>4880.1000000000004</v>
      </c>
    </row>
    <row r="206" spans="1:38" x14ac:dyDescent="0.25">
      <c r="A206" t="s">
        <v>30</v>
      </c>
      <c r="B206" t="s">
        <v>40</v>
      </c>
      <c r="C206">
        <v>2019</v>
      </c>
      <c r="D206">
        <v>138.4</v>
      </c>
      <c r="E206">
        <v>164</v>
      </c>
      <c r="F206">
        <v>138.4</v>
      </c>
      <c r="G206">
        <v>143.9</v>
      </c>
      <c r="H206">
        <v>124.4</v>
      </c>
      <c r="I206">
        <v>146.4</v>
      </c>
      <c r="J206">
        <v>150.1</v>
      </c>
      <c r="K206">
        <v>130.6</v>
      </c>
      <c r="L206">
        <v>110.8</v>
      </c>
      <c r="M206">
        <v>141.69999999999999</v>
      </c>
      <c r="N206">
        <v>138.5</v>
      </c>
      <c r="O206">
        <v>156.69999999999999</v>
      </c>
      <c r="P206">
        <v>143</v>
      </c>
      <c r="Q206">
        <v>151.6</v>
      </c>
      <c r="R206">
        <v>146.6</v>
      </c>
      <c r="S206">
        <v>150.9</v>
      </c>
      <c r="T206">
        <v>139.5</v>
      </c>
      <c r="U206">
        <v>150</v>
      </c>
      <c r="V206">
        <v>152.19999999999999</v>
      </c>
      <c r="W206">
        <v>136.1</v>
      </c>
      <c r="X206">
        <v>131.19999999999999</v>
      </c>
      <c r="Y206">
        <v>147.5</v>
      </c>
      <c r="Z206">
        <v>164.5</v>
      </c>
      <c r="AA206">
        <v>146.80000000000001</v>
      </c>
      <c r="AB206">
        <v>159.1</v>
      </c>
      <c r="AC206">
        <v>144.19999999999999</v>
      </c>
      <c r="AD206">
        <v>144.9</v>
      </c>
      <c r="AE206">
        <f>SUM(Table1_1[[#This Row],[Cereals and products]:[Food and beverages]])</f>
        <v>1826.8999999999999</v>
      </c>
      <c r="AF206">
        <f>SUM(Table1_1[[#This Row],[Clothing and footwear]:[Clothing]])</f>
        <v>449.1</v>
      </c>
      <c r="AG206">
        <f>SUM(Table1_1[[#This Row],[Clothing]:[Education]])</f>
        <v>1775.9999999999998</v>
      </c>
      <c r="AH206">
        <f>SUM(Table1_1[[#This Row],[Health]:[Personal care and effects]])</f>
        <v>288.29999999999995</v>
      </c>
      <c r="AI206">
        <f>SUM(Table1_1[[#This Row],[Recreation and amusement]:[Miscellaneous]])</f>
        <v>762.09999999999991</v>
      </c>
      <c r="AJ206">
        <f>SUM(Table1_1[[#This Row],[Fuel and light]])</f>
        <v>146.80000000000001</v>
      </c>
      <c r="AK206">
        <f>SUM(Table1_1[[#This Row],[Food]:[Luxury &amp;Other Thing]])</f>
        <v>5102.3999999999996</v>
      </c>
      <c r="AL206">
        <f>SUM(Table1_1[[#This Row],[Food]:[Luxury &amp;Other Thing]])</f>
        <v>5102.3999999999996</v>
      </c>
    </row>
    <row r="207" spans="1:38" x14ac:dyDescent="0.25">
      <c r="A207" t="s">
        <v>33</v>
      </c>
      <c r="B207" t="s">
        <v>40</v>
      </c>
      <c r="C207">
        <v>2019</v>
      </c>
      <c r="D207">
        <v>141.4</v>
      </c>
      <c r="E207">
        <v>160.19999999999999</v>
      </c>
      <c r="F207">
        <v>142.5</v>
      </c>
      <c r="G207">
        <v>144.1</v>
      </c>
      <c r="H207">
        <v>119.3</v>
      </c>
      <c r="I207">
        <v>154.69999999999999</v>
      </c>
      <c r="J207">
        <v>180.1</v>
      </c>
      <c r="K207">
        <v>128.9</v>
      </c>
      <c r="L207">
        <v>111.8</v>
      </c>
      <c r="M207">
        <v>141.6</v>
      </c>
      <c r="N207">
        <v>129.5</v>
      </c>
      <c r="O207">
        <v>155.6</v>
      </c>
      <c r="P207">
        <v>147.69999999999999</v>
      </c>
      <c r="Q207">
        <v>144.69999999999999</v>
      </c>
      <c r="R207">
        <v>131.9</v>
      </c>
      <c r="S207">
        <v>142.69999999999999</v>
      </c>
      <c r="T207">
        <v>150.6</v>
      </c>
      <c r="U207">
        <v>137.69999999999999</v>
      </c>
      <c r="V207">
        <v>140.80000000000001</v>
      </c>
      <c r="W207">
        <v>135.1</v>
      </c>
      <c r="X207">
        <v>120.6</v>
      </c>
      <c r="Y207">
        <v>135</v>
      </c>
      <c r="Z207">
        <v>167.2</v>
      </c>
      <c r="AA207">
        <v>127</v>
      </c>
      <c r="AB207">
        <v>150.4</v>
      </c>
      <c r="AC207">
        <v>134.5</v>
      </c>
      <c r="AD207">
        <v>143.30000000000001</v>
      </c>
      <c r="AE207">
        <f>SUM(Table1_1[[#This Row],[Cereals and products]:[Food and beverages]])</f>
        <v>1857.3999999999999</v>
      </c>
      <c r="AF207">
        <f>SUM(Table1_1[[#This Row],[Clothing and footwear]:[Clothing]])</f>
        <v>419.3</v>
      </c>
      <c r="AG207">
        <f>SUM(Table1_1[[#This Row],[Clothing]:[Education]])</f>
        <v>1683.7</v>
      </c>
      <c r="AH207">
        <f>SUM(Table1_1[[#This Row],[Health]:[Personal care and effects]])</f>
        <v>275.89999999999998</v>
      </c>
      <c r="AI207">
        <f>SUM(Table1_1[[#This Row],[Recreation and amusement]:[Miscellaneous]])</f>
        <v>714.1</v>
      </c>
      <c r="AJ207">
        <f>SUM(Table1_1[[#This Row],[Fuel and light]])</f>
        <v>127</v>
      </c>
      <c r="AK207">
        <f>SUM(Table1_1[[#This Row],[Food]:[Luxury &amp;Other Thing]])</f>
        <v>4950.3999999999996</v>
      </c>
      <c r="AL207">
        <f>SUM(Table1_1[[#This Row],[Food]:[Luxury &amp;Other Thing]])</f>
        <v>4950.3999999999996</v>
      </c>
    </row>
    <row r="208" spans="1:38" x14ac:dyDescent="0.25">
      <c r="A208" t="s">
        <v>34</v>
      </c>
      <c r="B208" t="s">
        <v>40</v>
      </c>
      <c r="C208">
        <v>2019</v>
      </c>
      <c r="D208">
        <v>139.30000000000001</v>
      </c>
      <c r="E208">
        <v>162.69999999999999</v>
      </c>
      <c r="F208">
        <v>140</v>
      </c>
      <c r="G208">
        <v>144</v>
      </c>
      <c r="H208">
        <v>122.5</v>
      </c>
      <c r="I208">
        <v>150.30000000000001</v>
      </c>
      <c r="J208">
        <v>160.30000000000001</v>
      </c>
      <c r="K208">
        <v>130</v>
      </c>
      <c r="L208">
        <v>111.1</v>
      </c>
      <c r="M208">
        <v>141.69999999999999</v>
      </c>
      <c r="N208">
        <v>134.69999999999999</v>
      </c>
      <c r="O208">
        <v>156.19999999999999</v>
      </c>
      <c r="P208">
        <v>144.69999999999999</v>
      </c>
      <c r="Q208">
        <v>148.9</v>
      </c>
      <c r="R208">
        <v>140.5</v>
      </c>
      <c r="S208">
        <v>147.6</v>
      </c>
      <c r="T208">
        <v>150.6</v>
      </c>
      <c r="U208">
        <v>144.19999999999999</v>
      </c>
      <c r="V208">
        <v>147.9</v>
      </c>
      <c r="W208">
        <v>135.69999999999999</v>
      </c>
      <c r="X208">
        <v>125.6</v>
      </c>
      <c r="Y208">
        <v>140.5</v>
      </c>
      <c r="Z208">
        <v>165.2</v>
      </c>
      <c r="AA208">
        <v>139.30000000000001</v>
      </c>
      <c r="AB208">
        <v>154</v>
      </c>
      <c r="AC208">
        <v>139.5</v>
      </c>
      <c r="AD208">
        <v>144.19999999999999</v>
      </c>
      <c r="AE208">
        <f>SUM(Table1_1[[#This Row],[Cereals and products]:[Food and beverages]])</f>
        <v>1837.5</v>
      </c>
      <c r="AF208">
        <f>SUM(Table1_1[[#This Row],[Clothing and footwear]:[Clothing]])</f>
        <v>437</v>
      </c>
      <c r="AG208">
        <f>SUM(Table1_1[[#This Row],[Clothing]:[Education]])</f>
        <v>1739.9999999999998</v>
      </c>
      <c r="AH208">
        <f>SUM(Table1_1[[#This Row],[Health]:[Personal care and effects]])</f>
        <v>283.60000000000002</v>
      </c>
      <c r="AI208">
        <f>SUM(Table1_1[[#This Row],[Recreation and amusement]:[Miscellaneous]])</f>
        <v>738.5</v>
      </c>
      <c r="AJ208">
        <f>SUM(Table1_1[[#This Row],[Fuel and light]])</f>
        <v>139.30000000000001</v>
      </c>
      <c r="AK208">
        <f>SUM(Table1_1[[#This Row],[Food]:[Luxury &amp;Other Thing]])</f>
        <v>5036.6000000000004</v>
      </c>
      <c r="AL208">
        <f>SUM(Table1_1[[#This Row],[Food]:[Luxury &amp;Other Thing]])</f>
        <v>5036.6000000000004</v>
      </c>
    </row>
    <row r="209" spans="1:38" x14ac:dyDescent="0.25">
      <c r="A209" t="s">
        <v>30</v>
      </c>
      <c r="B209" t="s">
        <v>40</v>
      </c>
      <c r="C209">
        <v>2020</v>
      </c>
      <c r="D209">
        <v>148.19999999999999</v>
      </c>
      <c r="E209">
        <v>190.3</v>
      </c>
      <c r="F209">
        <v>149.4</v>
      </c>
      <c r="G209">
        <v>153.30000000000001</v>
      </c>
      <c r="H209">
        <v>138.19999999999999</v>
      </c>
      <c r="I209">
        <v>143.19999999999999</v>
      </c>
      <c r="J209">
        <v>148.9</v>
      </c>
      <c r="K209">
        <v>150.30000000000001</v>
      </c>
      <c r="L209">
        <v>113.2</v>
      </c>
      <c r="M209">
        <v>159.80000000000001</v>
      </c>
      <c r="N209">
        <v>142.1</v>
      </c>
      <c r="O209">
        <v>161.80000000000001</v>
      </c>
      <c r="P209">
        <v>152.30000000000001</v>
      </c>
      <c r="Q209">
        <v>154.69999999999999</v>
      </c>
      <c r="R209">
        <v>150</v>
      </c>
      <c r="S209">
        <v>154.1</v>
      </c>
      <c r="T209">
        <v>139.5</v>
      </c>
      <c r="U209">
        <v>151.69999999999999</v>
      </c>
      <c r="V209">
        <v>158.19999999999999</v>
      </c>
      <c r="W209">
        <v>151.19999999999999</v>
      </c>
      <c r="X209">
        <v>141.4</v>
      </c>
      <c r="Y209">
        <v>153.19999999999999</v>
      </c>
      <c r="Z209">
        <v>182.4</v>
      </c>
      <c r="AA209">
        <v>144.9</v>
      </c>
      <c r="AB209">
        <v>161.80000000000001</v>
      </c>
      <c r="AC209">
        <v>151.69999999999999</v>
      </c>
      <c r="AD209">
        <v>152.69999999999999</v>
      </c>
      <c r="AE209">
        <f>SUM(Table1_1[[#This Row],[Cereals and products]:[Food and beverages]])</f>
        <v>1951</v>
      </c>
      <c r="AF209">
        <f>SUM(Table1_1[[#This Row],[Clothing and footwear]:[Clothing]])</f>
        <v>458.79999999999995</v>
      </c>
      <c r="AG209">
        <f>SUM(Table1_1[[#This Row],[Clothing]:[Education]])</f>
        <v>1843.1000000000004</v>
      </c>
      <c r="AH209">
        <f>SUM(Table1_1[[#This Row],[Health]:[Personal care and effects]])</f>
        <v>309.39999999999998</v>
      </c>
      <c r="AI209">
        <f>SUM(Table1_1[[#This Row],[Recreation and amusement]:[Miscellaneous]])</f>
        <v>794</v>
      </c>
      <c r="AJ209">
        <f>SUM(Table1_1[[#This Row],[Fuel and light]])</f>
        <v>144.9</v>
      </c>
      <c r="AK209">
        <f>SUM(Table1_1[[#This Row],[Food]:[Luxury &amp;Other Thing]])</f>
        <v>5356.3</v>
      </c>
      <c r="AL209">
        <f>SUM(Table1_1[[#This Row],[Food]:[Luxury &amp;Other Thing]])</f>
        <v>5356.3</v>
      </c>
    </row>
    <row r="210" spans="1:38" x14ac:dyDescent="0.25">
      <c r="A210" t="s">
        <v>33</v>
      </c>
      <c r="B210" t="s">
        <v>40</v>
      </c>
      <c r="C210">
        <v>2020</v>
      </c>
      <c r="D210">
        <v>152.69999999999999</v>
      </c>
      <c r="E210">
        <v>197</v>
      </c>
      <c r="F210">
        <v>154.6</v>
      </c>
      <c r="G210">
        <v>153.4</v>
      </c>
      <c r="H210">
        <v>132.9</v>
      </c>
      <c r="I210">
        <v>151.80000000000001</v>
      </c>
      <c r="J210">
        <v>171.2</v>
      </c>
      <c r="K210">
        <v>152</v>
      </c>
      <c r="L210">
        <v>116.3</v>
      </c>
      <c r="M210">
        <v>158.80000000000001</v>
      </c>
      <c r="N210">
        <v>135.6</v>
      </c>
      <c r="O210">
        <v>161.69999999999999</v>
      </c>
      <c r="P210">
        <v>157</v>
      </c>
      <c r="Q210">
        <v>149.1</v>
      </c>
      <c r="R210">
        <v>136.6</v>
      </c>
      <c r="S210">
        <v>147.19999999999999</v>
      </c>
      <c r="T210">
        <v>154.69999999999999</v>
      </c>
      <c r="U210">
        <v>140.4</v>
      </c>
      <c r="V210">
        <v>148.1</v>
      </c>
      <c r="W210">
        <v>152.19999999999999</v>
      </c>
      <c r="X210">
        <v>129.30000000000001</v>
      </c>
      <c r="Y210">
        <v>144.5</v>
      </c>
      <c r="Z210">
        <v>186.7</v>
      </c>
      <c r="AA210">
        <v>137.1</v>
      </c>
      <c r="AB210">
        <v>152.5</v>
      </c>
      <c r="AC210">
        <v>142</v>
      </c>
      <c r="AD210">
        <v>150.80000000000001</v>
      </c>
      <c r="AE210">
        <f>SUM(Table1_1[[#This Row],[Cereals and products]:[Food and beverages]])</f>
        <v>1994.9999999999998</v>
      </c>
      <c r="AF210">
        <f>SUM(Table1_1[[#This Row],[Clothing and footwear]:[Clothing]])</f>
        <v>432.9</v>
      </c>
      <c r="AG210">
        <f>SUM(Table1_1[[#This Row],[Clothing]:[Education]])</f>
        <v>1778.3999999999999</v>
      </c>
      <c r="AH210">
        <f>SUM(Table1_1[[#This Row],[Health]:[Personal care and effects]])</f>
        <v>300.29999999999995</v>
      </c>
      <c r="AI210">
        <f>SUM(Table1_1[[#This Row],[Recreation and amusement]:[Miscellaneous]])</f>
        <v>762.8</v>
      </c>
      <c r="AJ210">
        <f>SUM(Table1_1[[#This Row],[Fuel and light]])</f>
        <v>137.1</v>
      </c>
      <c r="AK210">
        <f>SUM(Table1_1[[#This Row],[Food]:[Luxury &amp;Other Thing]])</f>
        <v>5269.4</v>
      </c>
      <c r="AL210">
        <f>SUM(Table1_1[[#This Row],[Food]:[Luxury &amp;Other Thing]])</f>
        <v>5269.4</v>
      </c>
    </row>
    <row r="211" spans="1:38" x14ac:dyDescent="0.25">
      <c r="A211" t="s">
        <v>34</v>
      </c>
      <c r="B211" t="s">
        <v>40</v>
      </c>
      <c r="C211">
        <v>2020</v>
      </c>
      <c r="D211">
        <v>149.6</v>
      </c>
      <c r="E211">
        <v>192.7</v>
      </c>
      <c r="F211">
        <v>151.4</v>
      </c>
      <c r="G211">
        <v>153.30000000000001</v>
      </c>
      <c r="H211">
        <v>136.30000000000001</v>
      </c>
      <c r="I211">
        <v>147.19999999999999</v>
      </c>
      <c r="J211">
        <v>156.5</v>
      </c>
      <c r="K211">
        <v>150.9</v>
      </c>
      <c r="L211">
        <v>114.2</v>
      </c>
      <c r="M211">
        <v>159.5</v>
      </c>
      <c r="N211">
        <v>139.4</v>
      </c>
      <c r="O211">
        <v>161.80000000000001</v>
      </c>
      <c r="P211">
        <v>154</v>
      </c>
      <c r="Q211">
        <v>152.5</v>
      </c>
      <c r="R211">
        <v>144.4</v>
      </c>
      <c r="S211">
        <v>151.4</v>
      </c>
      <c r="T211">
        <v>154.69999999999999</v>
      </c>
      <c r="U211">
        <v>146.4</v>
      </c>
      <c r="V211">
        <v>154.4</v>
      </c>
      <c r="W211">
        <v>151.6</v>
      </c>
      <c r="X211">
        <v>135</v>
      </c>
      <c r="Y211">
        <v>148.30000000000001</v>
      </c>
      <c r="Z211">
        <v>183.5</v>
      </c>
      <c r="AA211">
        <v>141.9</v>
      </c>
      <c r="AB211">
        <v>156.4</v>
      </c>
      <c r="AC211">
        <v>147</v>
      </c>
      <c r="AD211">
        <v>151.80000000000001</v>
      </c>
      <c r="AE211">
        <f>SUM(Table1_1[[#This Row],[Cereals and products]:[Food and beverages]])</f>
        <v>1966.8000000000002</v>
      </c>
      <c r="AF211">
        <f>SUM(Table1_1[[#This Row],[Clothing and footwear]:[Clothing]])</f>
        <v>448.29999999999995</v>
      </c>
      <c r="AG211">
        <f>SUM(Table1_1[[#This Row],[Clothing]:[Education]])</f>
        <v>1820.5</v>
      </c>
      <c r="AH211">
        <f>SUM(Table1_1[[#This Row],[Health]:[Personal care and effects]])</f>
        <v>306</v>
      </c>
      <c r="AI211">
        <f>SUM(Table1_1[[#This Row],[Recreation and amusement]:[Miscellaneous]])</f>
        <v>777.1</v>
      </c>
      <c r="AJ211">
        <f>SUM(Table1_1[[#This Row],[Fuel and light]])</f>
        <v>141.9</v>
      </c>
      <c r="AK211">
        <f>SUM(Table1_1[[#This Row],[Food]:[Luxury &amp;Other Thing]])</f>
        <v>5318.7000000000007</v>
      </c>
      <c r="AL211">
        <f>SUM(Table1_1[[#This Row],[Food]:[Luxury &amp;Other Thing]])</f>
        <v>5318.7000000000007</v>
      </c>
    </row>
    <row r="212" spans="1:38" x14ac:dyDescent="0.25">
      <c r="A212" t="s">
        <v>30</v>
      </c>
      <c r="B212" t="s">
        <v>40</v>
      </c>
      <c r="C212">
        <v>2021</v>
      </c>
      <c r="D212">
        <v>145.1</v>
      </c>
      <c r="E212">
        <v>204.5</v>
      </c>
      <c r="F212">
        <v>180.4</v>
      </c>
      <c r="G212">
        <v>157.1</v>
      </c>
      <c r="H212">
        <v>188.7</v>
      </c>
      <c r="I212">
        <v>157.69999999999999</v>
      </c>
      <c r="J212">
        <v>152.80000000000001</v>
      </c>
      <c r="K212">
        <v>163.6</v>
      </c>
      <c r="L212">
        <v>113.9</v>
      </c>
      <c r="M212">
        <v>169.7</v>
      </c>
      <c r="N212">
        <v>166.2</v>
      </c>
      <c r="O212">
        <v>171</v>
      </c>
      <c r="P212">
        <v>161.69999999999999</v>
      </c>
      <c r="Q212">
        <v>166</v>
      </c>
      <c r="R212">
        <v>161.1</v>
      </c>
      <c r="S212">
        <v>165.3</v>
      </c>
      <c r="T212">
        <v>139.5</v>
      </c>
      <c r="U212">
        <v>160.30000000000001</v>
      </c>
      <c r="V212">
        <v>170.4</v>
      </c>
      <c r="W212">
        <v>160.4</v>
      </c>
      <c r="X212">
        <v>157.1</v>
      </c>
      <c r="Y212">
        <v>160.69999999999999</v>
      </c>
      <c r="Z212">
        <v>189.7</v>
      </c>
      <c r="AA212">
        <v>162.5</v>
      </c>
      <c r="AB212">
        <v>167.2</v>
      </c>
      <c r="AC212">
        <v>162.80000000000001</v>
      </c>
      <c r="AD212">
        <v>163.19999999999999</v>
      </c>
      <c r="AE212">
        <f>SUM(Table1_1[[#This Row],[Cereals and products]:[Food and beverages]])</f>
        <v>2132.4</v>
      </c>
      <c r="AF212">
        <f>SUM(Table1_1[[#This Row],[Clothing and footwear]:[Clothing]])</f>
        <v>492.40000000000003</v>
      </c>
      <c r="AG212">
        <f>SUM(Table1_1[[#This Row],[Clothing]:[Education]])</f>
        <v>1960.2</v>
      </c>
      <c r="AH212">
        <f>SUM(Table1_1[[#This Row],[Health]:[Personal care and effects]])</f>
        <v>330.8</v>
      </c>
      <c r="AI212">
        <f>SUM(Table1_1[[#This Row],[Recreation and amusement]:[Miscellaneous]])</f>
        <v>842.89999999999986</v>
      </c>
      <c r="AJ212">
        <f>SUM(Table1_1[[#This Row],[Fuel and light]])</f>
        <v>162.5</v>
      </c>
      <c r="AK212">
        <f>SUM(Table1_1[[#This Row],[Food]:[Luxury &amp;Other Thing]])</f>
        <v>5758.7</v>
      </c>
      <c r="AL212">
        <f>SUM(Table1_1[[#This Row],[Food]:[Luxury &amp;Other Thing]])</f>
        <v>5758.7</v>
      </c>
    </row>
    <row r="213" spans="1:38" x14ac:dyDescent="0.25">
      <c r="A213" t="s">
        <v>33</v>
      </c>
      <c r="B213" t="s">
        <v>40</v>
      </c>
      <c r="C213">
        <v>2021</v>
      </c>
      <c r="D213">
        <v>149.1</v>
      </c>
      <c r="E213">
        <v>210.9</v>
      </c>
      <c r="F213">
        <v>185</v>
      </c>
      <c r="G213">
        <v>158.19999999999999</v>
      </c>
      <c r="H213">
        <v>170.6</v>
      </c>
      <c r="I213">
        <v>170.9</v>
      </c>
      <c r="J213">
        <v>186.4</v>
      </c>
      <c r="K213">
        <v>164.7</v>
      </c>
      <c r="L213">
        <v>115.7</v>
      </c>
      <c r="M213">
        <v>165.5</v>
      </c>
      <c r="N213">
        <v>153.4</v>
      </c>
      <c r="O213">
        <v>173.5</v>
      </c>
      <c r="P213">
        <v>167.9</v>
      </c>
      <c r="Q213">
        <v>157.9</v>
      </c>
      <c r="R213">
        <v>141.9</v>
      </c>
      <c r="S213">
        <v>155.5</v>
      </c>
      <c r="T213">
        <v>161.5</v>
      </c>
      <c r="U213">
        <v>150.69999999999999</v>
      </c>
      <c r="V213">
        <v>161.5</v>
      </c>
      <c r="W213">
        <v>159.6</v>
      </c>
      <c r="X213">
        <v>149.5</v>
      </c>
      <c r="Y213">
        <v>151.19999999999999</v>
      </c>
      <c r="Z213">
        <v>195.5</v>
      </c>
      <c r="AA213">
        <v>157.69999999999999</v>
      </c>
      <c r="AB213">
        <v>160.30000000000001</v>
      </c>
      <c r="AC213">
        <v>155</v>
      </c>
      <c r="AD213">
        <v>161.80000000000001</v>
      </c>
      <c r="AE213">
        <f>SUM(Table1_1[[#This Row],[Cereals and products]:[Food and beverages]])</f>
        <v>2171.8000000000002</v>
      </c>
      <c r="AF213">
        <f>SUM(Table1_1[[#This Row],[Clothing and footwear]:[Clothing]])</f>
        <v>455.3</v>
      </c>
      <c r="AG213">
        <f>SUM(Table1_1[[#This Row],[Clothing]:[Education]])</f>
        <v>1902.8</v>
      </c>
      <c r="AH213">
        <f>SUM(Table1_1[[#This Row],[Health]:[Personal care and effects]])</f>
        <v>321.10000000000002</v>
      </c>
      <c r="AI213">
        <f>SUM(Table1_1[[#This Row],[Recreation and amusement]:[Miscellaneous]])</f>
        <v>819.7</v>
      </c>
      <c r="AJ213">
        <f>SUM(Table1_1[[#This Row],[Fuel and light]])</f>
        <v>157.69999999999999</v>
      </c>
      <c r="AK213">
        <f>SUM(Table1_1[[#This Row],[Food]:[Luxury &amp;Other Thing]])</f>
        <v>5670.7000000000007</v>
      </c>
      <c r="AL213">
        <f>SUM(Table1_1[[#This Row],[Food]:[Luxury &amp;Other Thing]])</f>
        <v>5670.7000000000007</v>
      </c>
    </row>
    <row r="214" spans="1:38" x14ac:dyDescent="0.25">
      <c r="A214" t="s">
        <v>34</v>
      </c>
      <c r="B214" t="s">
        <v>40</v>
      </c>
      <c r="C214">
        <v>2021</v>
      </c>
      <c r="D214">
        <v>146.4</v>
      </c>
      <c r="E214">
        <v>206.8</v>
      </c>
      <c r="F214">
        <v>182.2</v>
      </c>
      <c r="G214">
        <v>157.5</v>
      </c>
      <c r="H214">
        <v>182.1</v>
      </c>
      <c r="I214">
        <v>163.9</v>
      </c>
      <c r="J214">
        <v>164.2</v>
      </c>
      <c r="K214">
        <v>164</v>
      </c>
      <c r="L214">
        <v>114.5</v>
      </c>
      <c r="M214">
        <v>168.3</v>
      </c>
      <c r="N214">
        <v>160.9</v>
      </c>
      <c r="O214">
        <v>172.2</v>
      </c>
      <c r="P214">
        <v>164</v>
      </c>
      <c r="Q214">
        <v>162.80000000000001</v>
      </c>
      <c r="R214">
        <v>153.1</v>
      </c>
      <c r="S214">
        <v>161.4</v>
      </c>
      <c r="T214">
        <v>161.5</v>
      </c>
      <c r="U214">
        <v>155.80000000000001</v>
      </c>
      <c r="V214">
        <v>167</v>
      </c>
      <c r="W214">
        <v>160.1</v>
      </c>
      <c r="X214">
        <v>153.1</v>
      </c>
      <c r="Y214">
        <v>155.30000000000001</v>
      </c>
      <c r="Z214">
        <v>191.2</v>
      </c>
      <c r="AA214">
        <v>160.69999999999999</v>
      </c>
      <c r="AB214">
        <v>163.19999999999999</v>
      </c>
      <c r="AC214">
        <v>159</v>
      </c>
      <c r="AD214">
        <v>162.5</v>
      </c>
      <c r="AE214">
        <f>SUM(Table1_1[[#This Row],[Cereals and products]:[Food and beverages]])</f>
        <v>2147</v>
      </c>
      <c r="AF214">
        <f>SUM(Table1_1[[#This Row],[Clothing and footwear]:[Clothing]])</f>
        <v>477.29999999999995</v>
      </c>
      <c r="AG214">
        <f>SUM(Table1_1[[#This Row],[Clothing]:[Education]])</f>
        <v>1945.1999999999998</v>
      </c>
      <c r="AH214">
        <f>SUM(Table1_1[[#This Row],[Health]:[Personal care and effects]])</f>
        <v>327.10000000000002</v>
      </c>
      <c r="AI214">
        <f>SUM(Table1_1[[#This Row],[Recreation and amusement]:[Miscellaneous]])</f>
        <v>829.4</v>
      </c>
      <c r="AJ214">
        <f>SUM(Table1_1[[#This Row],[Fuel and light]])</f>
        <v>160.69999999999999</v>
      </c>
      <c r="AK214">
        <f>SUM(Table1_1[[#This Row],[Food]:[Luxury &amp;Other Thing]])</f>
        <v>5726</v>
      </c>
      <c r="AL214">
        <f>SUM(Table1_1[[#This Row],[Food]:[Luxury &amp;Other Thing]])</f>
        <v>5726</v>
      </c>
    </row>
    <row r="215" spans="1:38" x14ac:dyDescent="0.25">
      <c r="A215" t="s">
        <v>30</v>
      </c>
      <c r="B215" t="s">
        <v>40</v>
      </c>
      <c r="C215">
        <v>2022</v>
      </c>
      <c r="D215">
        <v>155.19999999999999</v>
      </c>
      <c r="E215">
        <v>210.8</v>
      </c>
      <c r="F215">
        <v>174.3</v>
      </c>
      <c r="G215">
        <v>166.3</v>
      </c>
      <c r="H215">
        <v>202.2</v>
      </c>
      <c r="I215">
        <v>169.6</v>
      </c>
      <c r="J215">
        <v>168.6</v>
      </c>
      <c r="K215">
        <v>164.4</v>
      </c>
      <c r="L215">
        <v>119.2</v>
      </c>
      <c r="M215">
        <v>191.8</v>
      </c>
      <c r="N215">
        <v>174.5</v>
      </c>
      <c r="O215">
        <v>183.1</v>
      </c>
      <c r="P215">
        <v>172.5</v>
      </c>
      <c r="Q215">
        <v>182</v>
      </c>
      <c r="R215">
        <v>180.3</v>
      </c>
      <c r="S215">
        <v>181.7</v>
      </c>
      <c r="T215">
        <v>139.5</v>
      </c>
      <c r="U215">
        <v>171.3</v>
      </c>
      <c r="V215">
        <v>178.8</v>
      </c>
      <c r="W215">
        <v>169.7</v>
      </c>
      <c r="X215">
        <v>166.3</v>
      </c>
      <c r="Y215">
        <v>168.6</v>
      </c>
      <c r="Z215">
        <v>193.2</v>
      </c>
      <c r="AA215">
        <v>179.6</v>
      </c>
      <c r="AB215">
        <v>174.7</v>
      </c>
      <c r="AC215">
        <v>171.8</v>
      </c>
      <c r="AD215">
        <v>174.3</v>
      </c>
      <c r="AE215">
        <f>SUM(Table1_1[[#This Row],[Cereals and products]:[Food and beverages]])</f>
        <v>2252.5</v>
      </c>
      <c r="AF215">
        <f>SUM(Table1_1[[#This Row],[Clothing and footwear]:[Clothing]])</f>
        <v>544</v>
      </c>
      <c r="AG215">
        <f>SUM(Table1_1[[#This Row],[Clothing]:[Education]])</f>
        <v>2085.6999999999998</v>
      </c>
      <c r="AH215">
        <f>SUM(Table1_1[[#This Row],[Health]:[Personal care and effects]])</f>
        <v>348.5</v>
      </c>
      <c r="AI215">
        <f>SUM(Table1_1[[#This Row],[Recreation and amusement]:[Miscellaneous]])</f>
        <v>887.89999999999986</v>
      </c>
      <c r="AJ215">
        <f>SUM(Table1_1[[#This Row],[Fuel and light]])</f>
        <v>179.6</v>
      </c>
      <c r="AK215">
        <f>SUM(Table1_1[[#This Row],[Food]:[Luxury &amp;Other Thing]])</f>
        <v>6118.5999999999995</v>
      </c>
      <c r="AL215">
        <f>SUM(Table1_1[[#This Row],[Food]:[Luxury &amp;Other Thing]])</f>
        <v>6118.5999999999995</v>
      </c>
    </row>
    <row r="216" spans="1:38" x14ac:dyDescent="0.25">
      <c r="A216" t="s">
        <v>33</v>
      </c>
      <c r="B216" t="s">
        <v>40</v>
      </c>
      <c r="C216">
        <v>2022</v>
      </c>
      <c r="D216">
        <v>159.30000000000001</v>
      </c>
      <c r="E216">
        <v>217.1</v>
      </c>
      <c r="F216">
        <v>176.6</v>
      </c>
      <c r="G216">
        <v>167.1</v>
      </c>
      <c r="H216">
        <v>184.8</v>
      </c>
      <c r="I216">
        <v>179.5</v>
      </c>
      <c r="J216">
        <v>208.5</v>
      </c>
      <c r="K216">
        <v>164</v>
      </c>
      <c r="L216">
        <v>121.5</v>
      </c>
      <c r="M216">
        <v>186.3</v>
      </c>
      <c r="N216">
        <v>159.80000000000001</v>
      </c>
      <c r="O216">
        <v>187.7</v>
      </c>
      <c r="P216">
        <v>179.4</v>
      </c>
      <c r="Q216">
        <v>172.7</v>
      </c>
      <c r="R216">
        <v>158.69999999999999</v>
      </c>
      <c r="S216">
        <v>170.6</v>
      </c>
      <c r="T216">
        <v>167.8</v>
      </c>
      <c r="U216">
        <v>163.1</v>
      </c>
      <c r="V216">
        <v>171.7</v>
      </c>
      <c r="W216">
        <v>169.8</v>
      </c>
      <c r="X216">
        <v>157.4</v>
      </c>
      <c r="Y216">
        <v>164.6</v>
      </c>
      <c r="Z216">
        <v>198.6</v>
      </c>
      <c r="AA216">
        <v>179.5</v>
      </c>
      <c r="AB216">
        <v>169.1</v>
      </c>
      <c r="AC216">
        <v>164.7</v>
      </c>
      <c r="AD216">
        <v>172.3</v>
      </c>
      <c r="AE216">
        <f>SUM(Table1_1[[#This Row],[Cereals and products]:[Food and beverages]])</f>
        <v>2291.6</v>
      </c>
      <c r="AF216">
        <f>SUM(Table1_1[[#This Row],[Clothing and footwear]:[Clothing]])</f>
        <v>502</v>
      </c>
      <c r="AG216">
        <f>SUM(Table1_1[[#This Row],[Clothing]:[Education]])</f>
        <v>2043.5999999999997</v>
      </c>
      <c r="AH216">
        <f>SUM(Table1_1[[#This Row],[Health]:[Personal care and effects]])</f>
        <v>341.5</v>
      </c>
      <c r="AI216">
        <f>SUM(Table1_1[[#This Row],[Recreation and amusement]:[Miscellaneous]])</f>
        <v>876.5</v>
      </c>
      <c r="AJ216">
        <f>SUM(Table1_1[[#This Row],[Fuel and light]])</f>
        <v>179.5</v>
      </c>
      <c r="AK216">
        <f>SUM(Table1_1[[#This Row],[Food]:[Luxury &amp;Other Thing]])</f>
        <v>6055.2</v>
      </c>
      <c r="AL216">
        <f>SUM(Table1_1[[#This Row],[Food]:[Luxury &amp;Other Thing]])</f>
        <v>6055.2</v>
      </c>
    </row>
    <row r="217" spans="1:38" x14ac:dyDescent="0.25">
      <c r="A217" t="s">
        <v>34</v>
      </c>
      <c r="B217" t="s">
        <v>40</v>
      </c>
      <c r="C217">
        <v>2022</v>
      </c>
      <c r="D217">
        <v>156.5</v>
      </c>
      <c r="E217">
        <v>213</v>
      </c>
      <c r="F217">
        <v>175.2</v>
      </c>
      <c r="G217">
        <v>166.6</v>
      </c>
      <c r="H217">
        <v>195.8</v>
      </c>
      <c r="I217">
        <v>174.2</v>
      </c>
      <c r="J217">
        <v>182.1</v>
      </c>
      <c r="K217">
        <v>164.3</v>
      </c>
      <c r="L217">
        <v>120</v>
      </c>
      <c r="M217">
        <v>190</v>
      </c>
      <c r="N217">
        <v>168.4</v>
      </c>
      <c r="O217">
        <v>185.2</v>
      </c>
      <c r="P217">
        <v>175</v>
      </c>
      <c r="Q217">
        <v>178.3</v>
      </c>
      <c r="R217">
        <v>171.3</v>
      </c>
      <c r="S217">
        <v>177.3</v>
      </c>
      <c r="T217">
        <v>167.8</v>
      </c>
      <c r="U217">
        <v>167.4</v>
      </c>
      <c r="V217">
        <v>176.1</v>
      </c>
      <c r="W217">
        <v>169.7</v>
      </c>
      <c r="X217">
        <v>161.6</v>
      </c>
      <c r="Y217">
        <v>166.3</v>
      </c>
      <c r="Z217">
        <v>194.6</v>
      </c>
      <c r="AA217">
        <v>179.6</v>
      </c>
      <c r="AB217">
        <v>171.4</v>
      </c>
      <c r="AC217">
        <v>168.4</v>
      </c>
      <c r="AD217">
        <v>173.4</v>
      </c>
      <c r="AE217">
        <f>SUM(Table1_1[[#This Row],[Cereals and products]:[Food and beverages]])</f>
        <v>2266.3000000000002</v>
      </c>
      <c r="AF217">
        <f>SUM(Table1_1[[#This Row],[Clothing and footwear]:[Clothing]])</f>
        <v>526.90000000000009</v>
      </c>
      <c r="AG217">
        <f>SUM(Table1_1[[#This Row],[Clothing]:[Education]])</f>
        <v>2081.3999999999996</v>
      </c>
      <c r="AH217">
        <f>SUM(Table1_1[[#This Row],[Health]:[Personal care and effects]])</f>
        <v>345.79999999999995</v>
      </c>
      <c r="AI217">
        <f>SUM(Table1_1[[#This Row],[Recreation and amusement]:[Miscellaneous]])</f>
        <v>880.3</v>
      </c>
      <c r="AJ217">
        <f>SUM(Table1_1[[#This Row],[Fuel and light]])</f>
        <v>179.6</v>
      </c>
      <c r="AK217">
        <f>SUM(Table1_1[[#This Row],[Food]:[Luxury &amp;Other Thing]])</f>
        <v>6100.7000000000007</v>
      </c>
      <c r="AL217">
        <f>SUM(Table1_1[[#This Row],[Food]:[Luxury &amp;Other Thing]])</f>
        <v>6100.7000000000007</v>
      </c>
    </row>
    <row r="218" spans="1:38" x14ac:dyDescent="0.25">
      <c r="A218" t="s">
        <v>30</v>
      </c>
      <c r="B218" t="s">
        <v>31</v>
      </c>
      <c r="C218">
        <v>2013</v>
      </c>
      <c r="D218">
        <v>107.5</v>
      </c>
      <c r="E218">
        <v>106.3</v>
      </c>
      <c r="F218">
        <v>108.1</v>
      </c>
      <c r="G218">
        <v>104.9</v>
      </c>
      <c r="H218">
        <v>106.1</v>
      </c>
      <c r="I218">
        <v>103.9</v>
      </c>
      <c r="J218">
        <v>101.9</v>
      </c>
      <c r="K218">
        <v>106.1</v>
      </c>
      <c r="L218">
        <v>106.8</v>
      </c>
      <c r="M218">
        <v>103.1</v>
      </c>
      <c r="N218">
        <v>104.8</v>
      </c>
      <c r="O218">
        <v>106.7</v>
      </c>
      <c r="P218">
        <v>105.5</v>
      </c>
      <c r="Q218">
        <v>106.5</v>
      </c>
      <c r="R218">
        <v>105.8</v>
      </c>
      <c r="S218">
        <v>106.4</v>
      </c>
      <c r="T218">
        <v>139.5</v>
      </c>
      <c r="U218">
        <v>104.8</v>
      </c>
      <c r="V218">
        <v>104</v>
      </c>
      <c r="W218">
        <v>104.7</v>
      </c>
      <c r="X218">
        <v>103.3</v>
      </c>
      <c r="Y218">
        <v>103.4</v>
      </c>
      <c r="Z218">
        <v>105.1</v>
      </c>
      <c r="AA218">
        <v>105.5</v>
      </c>
      <c r="AB218">
        <v>103.8</v>
      </c>
      <c r="AC218">
        <v>104</v>
      </c>
      <c r="AD218">
        <v>105.1</v>
      </c>
      <c r="AE218">
        <f>SUM(Table1_1[[#This Row],[Cereals and products]:[Food and beverages]])</f>
        <v>1371.6999999999998</v>
      </c>
      <c r="AF218">
        <f>SUM(Table1_1[[#This Row],[Clothing and footwear]:[Clothing]])</f>
        <v>318.70000000000005</v>
      </c>
      <c r="AG218">
        <f>SUM(Table1_1[[#This Row],[Clothing]:[Education]])</f>
        <v>1292.8</v>
      </c>
      <c r="AH218">
        <f>SUM(Table1_1[[#This Row],[Health]:[Personal care and effects]])</f>
        <v>208.7</v>
      </c>
      <c r="AI218">
        <f>SUM(Table1_1[[#This Row],[Recreation and amusement]:[Miscellaneous]])</f>
        <v>521.79999999999995</v>
      </c>
      <c r="AJ218">
        <f>SUM(Table1_1[[#This Row],[Fuel and light]])</f>
        <v>105.5</v>
      </c>
      <c r="AK218">
        <f>SUM(Table1_1[[#This Row],[Food]:[Luxury &amp;Other Thing]])</f>
        <v>3713.7</v>
      </c>
      <c r="AL218">
        <f>SUM(Table1_1[[#This Row],[Food]:[Luxury &amp;Other Thing]])</f>
        <v>3713.7</v>
      </c>
    </row>
    <row r="219" spans="1:38" x14ac:dyDescent="0.25">
      <c r="A219" t="s">
        <v>33</v>
      </c>
      <c r="B219" t="s">
        <v>31</v>
      </c>
      <c r="C219">
        <v>2013</v>
      </c>
      <c r="D219">
        <v>110.5</v>
      </c>
      <c r="E219">
        <v>109.1</v>
      </c>
      <c r="F219">
        <v>113</v>
      </c>
      <c r="G219">
        <v>103.6</v>
      </c>
      <c r="H219">
        <v>103.4</v>
      </c>
      <c r="I219">
        <v>102.3</v>
      </c>
      <c r="J219">
        <v>102.9</v>
      </c>
      <c r="K219">
        <v>105.8</v>
      </c>
      <c r="L219">
        <v>105.1</v>
      </c>
      <c r="M219">
        <v>101.8</v>
      </c>
      <c r="N219">
        <v>105.1</v>
      </c>
      <c r="O219">
        <v>107.9</v>
      </c>
      <c r="P219">
        <v>105.9</v>
      </c>
      <c r="Q219">
        <v>105.9</v>
      </c>
      <c r="R219">
        <v>105</v>
      </c>
      <c r="S219">
        <v>105.8</v>
      </c>
      <c r="T219">
        <v>100.3</v>
      </c>
      <c r="U219">
        <v>104.8</v>
      </c>
      <c r="V219">
        <v>104.1</v>
      </c>
      <c r="W219">
        <v>104.3</v>
      </c>
      <c r="X219">
        <v>103.2</v>
      </c>
      <c r="Y219">
        <v>102.9</v>
      </c>
      <c r="Z219">
        <v>105.2</v>
      </c>
      <c r="AA219">
        <v>105.4</v>
      </c>
      <c r="AB219">
        <v>103.5</v>
      </c>
      <c r="AC219">
        <v>103.7</v>
      </c>
      <c r="AD219">
        <v>104</v>
      </c>
      <c r="AE219">
        <f>SUM(Table1_1[[#This Row],[Cereals and products]:[Food and beverages]])</f>
        <v>1376.4</v>
      </c>
      <c r="AF219">
        <f>SUM(Table1_1[[#This Row],[Clothing and footwear]:[Clothing]])</f>
        <v>316.7</v>
      </c>
      <c r="AG219">
        <f>SUM(Table1_1[[#This Row],[Clothing]:[Education]])</f>
        <v>1250.4000000000001</v>
      </c>
      <c r="AH219">
        <f>SUM(Table1_1[[#This Row],[Health]:[Personal care and effects]])</f>
        <v>208.39999999999998</v>
      </c>
      <c r="AI219">
        <f>SUM(Table1_1[[#This Row],[Recreation and amusement]:[Miscellaneous]])</f>
        <v>520.70000000000005</v>
      </c>
      <c r="AJ219">
        <f>SUM(Table1_1[[#This Row],[Fuel and light]])</f>
        <v>105.4</v>
      </c>
      <c r="AK219">
        <f>SUM(Table1_1[[#This Row],[Food]:[Luxury &amp;Other Thing]])</f>
        <v>3672.6000000000004</v>
      </c>
      <c r="AL219">
        <f>SUM(Table1_1[[#This Row],[Food]:[Luxury &amp;Other Thing]])</f>
        <v>3672.6000000000004</v>
      </c>
    </row>
    <row r="220" spans="1:38" x14ac:dyDescent="0.25">
      <c r="A220" t="s">
        <v>34</v>
      </c>
      <c r="B220" t="s">
        <v>31</v>
      </c>
      <c r="C220">
        <v>2013</v>
      </c>
      <c r="D220">
        <v>108.4</v>
      </c>
      <c r="E220">
        <v>107.3</v>
      </c>
      <c r="F220">
        <v>110</v>
      </c>
      <c r="G220">
        <v>104.4</v>
      </c>
      <c r="H220">
        <v>105.1</v>
      </c>
      <c r="I220">
        <v>103.2</v>
      </c>
      <c r="J220">
        <v>102.2</v>
      </c>
      <c r="K220">
        <v>106</v>
      </c>
      <c r="L220">
        <v>106.2</v>
      </c>
      <c r="M220">
        <v>102.7</v>
      </c>
      <c r="N220">
        <v>104.9</v>
      </c>
      <c r="O220">
        <v>107.3</v>
      </c>
      <c r="P220">
        <v>105.6</v>
      </c>
      <c r="Q220">
        <v>106.3</v>
      </c>
      <c r="R220">
        <v>105.5</v>
      </c>
      <c r="S220">
        <v>106.2</v>
      </c>
      <c r="T220">
        <v>100.3</v>
      </c>
      <c r="U220">
        <v>104.8</v>
      </c>
      <c r="V220">
        <v>104</v>
      </c>
      <c r="W220">
        <v>104.5</v>
      </c>
      <c r="X220">
        <v>103.2</v>
      </c>
      <c r="Y220">
        <v>103.1</v>
      </c>
      <c r="Z220">
        <v>105.1</v>
      </c>
      <c r="AA220">
        <v>105.5</v>
      </c>
      <c r="AB220">
        <v>103.6</v>
      </c>
      <c r="AC220">
        <v>103.9</v>
      </c>
      <c r="AD220">
        <v>104.6</v>
      </c>
      <c r="AE220">
        <f>SUM(Table1_1[[#This Row],[Cereals and products]:[Food and beverages]])</f>
        <v>1373.3000000000002</v>
      </c>
      <c r="AF220">
        <f>SUM(Table1_1[[#This Row],[Clothing and footwear]:[Clothing]])</f>
        <v>318</v>
      </c>
      <c r="AG220">
        <f>SUM(Table1_1[[#This Row],[Clothing]:[Education]])</f>
        <v>1252.0999999999999</v>
      </c>
      <c r="AH220">
        <f>SUM(Table1_1[[#This Row],[Health]:[Personal care and effects]])</f>
        <v>208.5</v>
      </c>
      <c r="AI220">
        <f>SUM(Table1_1[[#This Row],[Recreation and amusement]:[Miscellaneous]])</f>
        <v>521.19999999999993</v>
      </c>
      <c r="AJ220">
        <f>SUM(Table1_1[[#This Row],[Fuel and light]])</f>
        <v>105.5</v>
      </c>
      <c r="AK220">
        <f>SUM(Table1_1[[#This Row],[Food]:[Luxury &amp;Other Thing]])</f>
        <v>3673.1</v>
      </c>
      <c r="AL220">
        <f>SUM(Table1_1[[#This Row],[Food]:[Luxury &amp;Other Thing]])</f>
        <v>3673.1</v>
      </c>
    </row>
    <row r="221" spans="1:38" x14ac:dyDescent="0.25">
      <c r="A221" t="s">
        <v>30</v>
      </c>
      <c r="B221" t="s">
        <v>31</v>
      </c>
      <c r="C221">
        <v>2014</v>
      </c>
      <c r="D221">
        <v>118.9</v>
      </c>
      <c r="E221">
        <v>117.1</v>
      </c>
      <c r="F221">
        <v>120.5</v>
      </c>
      <c r="G221">
        <v>114.4</v>
      </c>
      <c r="H221">
        <v>109</v>
      </c>
      <c r="I221">
        <v>115.5</v>
      </c>
      <c r="J221">
        <v>123.9</v>
      </c>
      <c r="K221">
        <v>109.6</v>
      </c>
      <c r="L221">
        <v>101.8</v>
      </c>
      <c r="M221">
        <v>110.2</v>
      </c>
      <c r="N221">
        <v>112.4</v>
      </c>
      <c r="O221">
        <v>117.3</v>
      </c>
      <c r="P221">
        <v>116</v>
      </c>
      <c r="Q221">
        <v>116.5</v>
      </c>
      <c r="R221">
        <v>114.5</v>
      </c>
      <c r="S221">
        <v>116.2</v>
      </c>
      <c r="T221">
        <v>139.5</v>
      </c>
      <c r="U221">
        <v>112.6</v>
      </c>
      <c r="V221">
        <v>110.6</v>
      </c>
      <c r="W221">
        <v>108.3</v>
      </c>
      <c r="X221">
        <v>110.5</v>
      </c>
      <c r="Y221">
        <v>109.6</v>
      </c>
      <c r="Z221">
        <v>114</v>
      </c>
      <c r="AA221">
        <v>113</v>
      </c>
      <c r="AB221">
        <v>111.8</v>
      </c>
      <c r="AC221">
        <v>110.6</v>
      </c>
      <c r="AD221">
        <v>114.2</v>
      </c>
      <c r="AE221">
        <f>SUM(Table1_1[[#This Row],[Cereals and products]:[Food and beverages]])</f>
        <v>1486.6000000000001</v>
      </c>
      <c r="AF221">
        <f>SUM(Table1_1[[#This Row],[Clothing and footwear]:[Clothing]])</f>
        <v>347.2</v>
      </c>
      <c r="AG221">
        <f>SUM(Table1_1[[#This Row],[Clothing]:[Education]])</f>
        <v>1377.1</v>
      </c>
      <c r="AH221">
        <f>SUM(Table1_1[[#This Row],[Health]:[Personal care and effects]])</f>
        <v>218.89999999999998</v>
      </c>
      <c r="AI221">
        <f>SUM(Table1_1[[#This Row],[Recreation and amusement]:[Miscellaneous]])</f>
        <v>559</v>
      </c>
      <c r="AJ221">
        <f>SUM(Table1_1[[#This Row],[Fuel and light]])</f>
        <v>113</v>
      </c>
      <c r="AK221">
        <f>SUM(Table1_1[[#This Row],[Food]:[Luxury &amp;Other Thing]])</f>
        <v>3988.8</v>
      </c>
      <c r="AL221">
        <f>SUM(Table1_1[[#This Row],[Food]:[Luxury &amp;Other Thing]])</f>
        <v>3988.8</v>
      </c>
    </row>
    <row r="222" spans="1:38" x14ac:dyDescent="0.25">
      <c r="A222" t="s">
        <v>33</v>
      </c>
      <c r="B222" t="s">
        <v>31</v>
      </c>
      <c r="C222">
        <v>2014</v>
      </c>
      <c r="D222">
        <v>121.2</v>
      </c>
      <c r="E222">
        <v>122</v>
      </c>
      <c r="F222">
        <v>129.9</v>
      </c>
      <c r="G222">
        <v>113.6</v>
      </c>
      <c r="H222">
        <v>102.9</v>
      </c>
      <c r="I222">
        <v>112.1</v>
      </c>
      <c r="J222">
        <v>118.9</v>
      </c>
      <c r="K222">
        <v>107.5</v>
      </c>
      <c r="L222">
        <v>96.9</v>
      </c>
      <c r="M222">
        <v>112.7</v>
      </c>
      <c r="N222">
        <v>112.1</v>
      </c>
      <c r="O222">
        <v>119</v>
      </c>
      <c r="P222">
        <v>115.5</v>
      </c>
      <c r="Q222">
        <v>114.8</v>
      </c>
      <c r="R222">
        <v>111.3</v>
      </c>
      <c r="S222">
        <v>114.3</v>
      </c>
      <c r="T222">
        <v>111.6</v>
      </c>
      <c r="U222">
        <v>111.9</v>
      </c>
      <c r="V222">
        <v>109.7</v>
      </c>
      <c r="W222">
        <v>108</v>
      </c>
      <c r="X222">
        <v>110.8</v>
      </c>
      <c r="Y222">
        <v>109.8</v>
      </c>
      <c r="Z222">
        <v>115.7</v>
      </c>
      <c r="AA222">
        <v>111</v>
      </c>
      <c r="AB222">
        <v>111.5</v>
      </c>
      <c r="AC222">
        <v>110.5</v>
      </c>
      <c r="AD222">
        <v>112.9</v>
      </c>
      <c r="AE222">
        <f>SUM(Table1_1[[#This Row],[Cereals and products]:[Food and beverages]])</f>
        <v>1484.3</v>
      </c>
      <c r="AF222">
        <f>SUM(Table1_1[[#This Row],[Clothing and footwear]:[Clothing]])</f>
        <v>340.4</v>
      </c>
      <c r="AG222">
        <f>SUM(Table1_1[[#This Row],[Clothing]:[Education]])</f>
        <v>1340.3999999999999</v>
      </c>
      <c r="AH222">
        <f>SUM(Table1_1[[#This Row],[Health]:[Personal care and effects]])</f>
        <v>217.7</v>
      </c>
      <c r="AI222">
        <f>SUM(Table1_1[[#This Row],[Recreation and amusement]:[Miscellaneous]])</f>
        <v>558.5</v>
      </c>
      <c r="AJ222">
        <f>SUM(Table1_1[[#This Row],[Fuel and light]])</f>
        <v>111</v>
      </c>
      <c r="AK222">
        <f>SUM(Table1_1[[#This Row],[Food]:[Luxury &amp;Other Thing]])</f>
        <v>3941.2999999999993</v>
      </c>
      <c r="AL222">
        <f>SUM(Table1_1[[#This Row],[Food]:[Luxury &amp;Other Thing]])</f>
        <v>3941.2999999999993</v>
      </c>
    </row>
    <row r="223" spans="1:38" x14ac:dyDescent="0.25">
      <c r="A223" t="s">
        <v>34</v>
      </c>
      <c r="B223" t="s">
        <v>31</v>
      </c>
      <c r="C223">
        <v>2014</v>
      </c>
      <c r="D223">
        <v>119.6</v>
      </c>
      <c r="E223">
        <v>118.8</v>
      </c>
      <c r="F223">
        <v>124.1</v>
      </c>
      <c r="G223">
        <v>114.1</v>
      </c>
      <c r="H223">
        <v>106.8</v>
      </c>
      <c r="I223">
        <v>113.9</v>
      </c>
      <c r="J223">
        <v>122.2</v>
      </c>
      <c r="K223">
        <v>108.9</v>
      </c>
      <c r="L223">
        <v>100.2</v>
      </c>
      <c r="M223">
        <v>111</v>
      </c>
      <c r="N223">
        <v>112.3</v>
      </c>
      <c r="O223">
        <v>118.1</v>
      </c>
      <c r="P223">
        <v>115.8</v>
      </c>
      <c r="Q223">
        <v>115.8</v>
      </c>
      <c r="R223">
        <v>113.2</v>
      </c>
      <c r="S223">
        <v>115.4</v>
      </c>
      <c r="T223">
        <v>111.6</v>
      </c>
      <c r="U223">
        <v>112.3</v>
      </c>
      <c r="V223">
        <v>110.3</v>
      </c>
      <c r="W223">
        <v>108.2</v>
      </c>
      <c r="X223">
        <v>110.7</v>
      </c>
      <c r="Y223">
        <v>109.7</v>
      </c>
      <c r="Z223">
        <v>114.5</v>
      </c>
      <c r="AA223">
        <v>112.2</v>
      </c>
      <c r="AB223">
        <v>111.6</v>
      </c>
      <c r="AC223">
        <v>110.6</v>
      </c>
      <c r="AD223">
        <v>113.6</v>
      </c>
      <c r="AE223">
        <f>SUM(Table1_1[[#This Row],[Cereals and products]:[Food and beverages]])</f>
        <v>1485.7999999999997</v>
      </c>
      <c r="AF223">
        <f>SUM(Table1_1[[#This Row],[Clothing and footwear]:[Clothing]])</f>
        <v>344.4</v>
      </c>
      <c r="AG223">
        <f>SUM(Table1_1[[#This Row],[Clothing]:[Education]])</f>
        <v>1345.5</v>
      </c>
      <c r="AH223">
        <f>SUM(Table1_1[[#This Row],[Health]:[Personal care and effects]])</f>
        <v>218.5</v>
      </c>
      <c r="AI223">
        <f>SUM(Table1_1[[#This Row],[Recreation and amusement]:[Miscellaneous]])</f>
        <v>558.6</v>
      </c>
      <c r="AJ223">
        <f>SUM(Table1_1[[#This Row],[Fuel and light]])</f>
        <v>112.2</v>
      </c>
      <c r="AK223">
        <f>SUM(Table1_1[[#This Row],[Food]:[Luxury &amp;Other Thing]])</f>
        <v>3952.7999999999997</v>
      </c>
      <c r="AL223">
        <f>SUM(Table1_1[[#This Row],[Food]:[Luxury &amp;Other Thing]])</f>
        <v>3952.7999999999997</v>
      </c>
    </row>
    <row r="224" spans="1:38" x14ac:dyDescent="0.25">
      <c r="A224" t="s">
        <v>30</v>
      </c>
      <c r="B224" t="s">
        <v>31</v>
      </c>
      <c r="C224">
        <v>2015</v>
      </c>
      <c r="D224">
        <v>123.1</v>
      </c>
      <c r="E224">
        <v>123.1</v>
      </c>
      <c r="F224">
        <v>122.1</v>
      </c>
      <c r="G224">
        <v>124.9</v>
      </c>
      <c r="H224">
        <v>111</v>
      </c>
      <c r="I224">
        <v>130.4</v>
      </c>
      <c r="J224">
        <v>132.30000000000001</v>
      </c>
      <c r="K224">
        <v>117.2</v>
      </c>
      <c r="L224">
        <v>100.5</v>
      </c>
      <c r="M224">
        <v>117.2</v>
      </c>
      <c r="N224">
        <v>117.9</v>
      </c>
      <c r="O224">
        <v>125.6</v>
      </c>
      <c r="P224">
        <v>122.8</v>
      </c>
      <c r="Q224">
        <v>124.4</v>
      </c>
      <c r="R224">
        <v>121.6</v>
      </c>
      <c r="S224">
        <v>124</v>
      </c>
      <c r="T224">
        <v>139.5</v>
      </c>
      <c r="U224">
        <v>118.9</v>
      </c>
      <c r="V224">
        <v>116.6</v>
      </c>
      <c r="W224">
        <v>110.2</v>
      </c>
      <c r="X224">
        <v>111</v>
      </c>
      <c r="Y224">
        <v>114</v>
      </c>
      <c r="Z224">
        <v>122.7</v>
      </c>
      <c r="AA224">
        <v>118.4</v>
      </c>
      <c r="AB224">
        <v>118.2</v>
      </c>
      <c r="AC224">
        <v>114.5</v>
      </c>
      <c r="AD224">
        <v>120.3</v>
      </c>
      <c r="AE224">
        <f>SUM(Table1_1[[#This Row],[Cereals and products]:[Food and beverages]])</f>
        <v>1568.1</v>
      </c>
      <c r="AF224">
        <f>SUM(Table1_1[[#This Row],[Clothing and footwear]:[Clothing]])</f>
        <v>370</v>
      </c>
      <c r="AG224">
        <f>SUM(Table1_1[[#This Row],[Clothing]:[Education]])</f>
        <v>1439.5000000000002</v>
      </c>
      <c r="AH224">
        <f>SUM(Table1_1[[#This Row],[Health]:[Personal care and effects]])</f>
        <v>226.8</v>
      </c>
      <c r="AI224">
        <f>SUM(Table1_1[[#This Row],[Recreation and amusement]:[Miscellaneous]])</f>
        <v>587.79999999999995</v>
      </c>
      <c r="AJ224">
        <f>SUM(Table1_1[[#This Row],[Fuel and light]])</f>
        <v>118.4</v>
      </c>
      <c r="AK224">
        <f>SUM(Table1_1[[#This Row],[Food]:[Luxury &amp;Other Thing]])</f>
        <v>4192.2000000000007</v>
      </c>
      <c r="AL224">
        <f>SUM(Table1_1[[#This Row],[Food]:[Luxury &amp;Other Thing]])</f>
        <v>4192.2000000000007</v>
      </c>
    </row>
    <row r="225" spans="1:38" x14ac:dyDescent="0.25">
      <c r="A225" t="s">
        <v>33</v>
      </c>
      <c r="B225" t="s">
        <v>31</v>
      </c>
      <c r="C225">
        <v>2015</v>
      </c>
      <c r="D225">
        <v>124</v>
      </c>
      <c r="E225">
        <v>125.5</v>
      </c>
      <c r="F225">
        <v>126.6</v>
      </c>
      <c r="G225">
        <v>125.2</v>
      </c>
      <c r="H225">
        <v>104.3</v>
      </c>
      <c r="I225">
        <v>121.3</v>
      </c>
      <c r="J225">
        <v>134.4</v>
      </c>
      <c r="K225">
        <v>122.9</v>
      </c>
      <c r="L225">
        <v>96.1</v>
      </c>
      <c r="M225">
        <v>126.6</v>
      </c>
      <c r="N225">
        <v>116.5</v>
      </c>
      <c r="O225">
        <v>128</v>
      </c>
      <c r="P225">
        <v>123.5</v>
      </c>
      <c r="Q225">
        <v>121</v>
      </c>
      <c r="R225">
        <v>116.1</v>
      </c>
      <c r="S225">
        <v>120.2</v>
      </c>
      <c r="T225">
        <v>117.3</v>
      </c>
      <c r="U225">
        <v>117.2</v>
      </c>
      <c r="V225">
        <v>113.7</v>
      </c>
      <c r="W225">
        <v>111.4</v>
      </c>
      <c r="X225">
        <v>107.9</v>
      </c>
      <c r="Y225">
        <v>114.6</v>
      </c>
      <c r="Z225">
        <v>127.4</v>
      </c>
      <c r="AA225">
        <v>113.4</v>
      </c>
      <c r="AB225">
        <v>120.8</v>
      </c>
      <c r="AC225">
        <v>113.4</v>
      </c>
      <c r="AD225">
        <v>118.5</v>
      </c>
      <c r="AE225">
        <f>SUM(Table1_1[[#This Row],[Cereals and products]:[Food and beverages]])</f>
        <v>1574.8999999999999</v>
      </c>
      <c r="AF225">
        <f>SUM(Table1_1[[#This Row],[Clothing and footwear]:[Clothing]])</f>
        <v>357.3</v>
      </c>
      <c r="AG225">
        <f>SUM(Table1_1[[#This Row],[Clothing]:[Education]])</f>
        <v>1401.0000000000002</v>
      </c>
      <c r="AH225">
        <f>SUM(Table1_1[[#This Row],[Health]:[Personal care and effects]])</f>
        <v>225.10000000000002</v>
      </c>
      <c r="AI225">
        <f>SUM(Table1_1[[#This Row],[Recreation and amusement]:[Miscellaneous]])</f>
        <v>589.6</v>
      </c>
      <c r="AJ225">
        <f>SUM(Table1_1[[#This Row],[Fuel and light]])</f>
        <v>113.4</v>
      </c>
      <c r="AK225">
        <f>SUM(Table1_1[[#This Row],[Food]:[Luxury &amp;Other Thing]])</f>
        <v>4147.8999999999996</v>
      </c>
      <c r="AL225">
        <f>SUM(Table1_1[[#This Row],[Food]:[Luxury &amp;Other Thing]])</f>
        <v>4147.8999999999996</v>
      </c>
    </row>
    <row r="226" spans="1:38" x14ac:dyDescent="0.25">
      <c r="A226" t="s">
        <v>34</v>
      </c>
      <c r="B226" t="s">
        <v>31</v>
      </c>
      <c r="C226">
        <v>2015</v>
      </c>
      <c r="D226">
        <v>123.4</v>
      </c>
      <c r="E226">
        <v>123.9</v>
      </c>
      <c r="F226">
        <v>123.8</v>
      </c>
      <c r="G226">
        <v>125</v>
      </c>
      <c r="H226">
        <v>108.5</v>
      </c>
      <c r="I226">
        <v>126.2</v>
      </c>
      <c r="J226">
        <v>133</v>
      </c>
      <c r="K226">
        <v>119.1</v>
      </c>
      <c r="L226">
        <v>99</v>
      </c>
      <c r="M226">
        <v>120.3</v>
      </c>
      <c r="N226">
        <v>117.3</v>
      </c>
      <c r="O226">
        <v>126.7</v>
      </c>
      <c r="P226">
        <v>123.1</v>
      </c>
      <c r="Q226">
        <v>123.1</v>
      </c>
      <c r="R226">
        <v>119.3</v>
      </c>
      <c r="S226">
        <v>122.5</v>
      </c>
      <c r="T226">
        <v>117.3</v>
      </c>
      <c r="U226">
        <v>118.1</v>
      </c>
      <c r="V226">
        <v>115.5</v>
      </c>
      <c r="W226">
        <v>110.7</v>
      </c>
      <c r="X226">
        <v>109.4</v>
      </c>
      <c r="Y226">
        <v>114.3</v>
      </c>
      <c r="Z226">
        <v>124</v>
      </c>
      <c r="AA226">
        <v>116.5</v>
      </c>
      <c r="AB226">
        <v>119.7</v>
      </c>
      <c r="AC226">
        <v>114</v>
      </c>
      <c r="AD226">
        <v>119.5</v>
      </c>
      <c r="AE226">
        <f>SUM(Table1_1[[#This Row],[Cereals and products]:[Food and beverages]])</f>
        <v>1569.3</v>
      </c>
      <c r="AF226">
        <f>SUM(Table1_1[[#This Row],[Clothing and footwear]:[Clothing]])</f>
        <v>364.9</v>
      </c>
      <c r="AG226">
        <f>SUM(Table1_1[[#This Row],[Clothing]:[Education]])</f>
        <v>1410.4</v>
      </c>
      <c r="AH226">
        <f>SUM(Table1_1[[#This Row],[Health]:[Personal care and effects]])</f>
        <v>226.2</v>
      </c>
      <c r="AI226">
        <f>SUM(Table1_1[[#This Row],[Recreation and amusement]:[Miscellaneous]])</f>
        <v>588.5</v>
      </c>
      <c r="AJ226">
        <f>SUM(Table1_1[[#This Row],[Fuel and light]])</f>
        <v>116.5</v>
      </c>
      <c r="AK226">
        <f>SUM(Table1_1[[#This Row],[Food]:[Luxury &amp;Other Thing]])</f>
        <v>4159.2999999999993</v>
      </c>
      <c r="AL226">
        <f>SUM(Table1_1[[#This Row],[Food]:[Luxury &amp;Other Thing]])</f>
        <v>4159.2999999999993</v>
      </c>
    </row>
    <row r="227" spans="1:38" x14ac:dyDescent="0.25">
      <c r="A227" t="s">
        <v>30</v>
      </c>
      <c r="B227" t="s">
        <v>31</v>
      </c>
      <c r="C227">
        <v>2016</v>
      </c>
      <c r="D227" s="2">
        <v>126.8</v>
      </c>
      <c r="E227" s="2">
        <v>133.19999999999999</v>
      </c>
      <c r="F227" s="2">
        <v>126.5</v>
      </c>
      <c r="G227" s="2">
        <v>130.30000000000001</v>
      </c>
      <c r="H227" s="2">
        <v>118.9</v>
      </c>
      <c r="I227" s="2">
        <v>131.6</v>
      </c>
      <c r="J227" s="2">
        <v>140.1</v>
      </c>
      <c r="K227" s="2">
        <v>163.80000000000001</v>
      </c>
      <c r="L227" s="2">
        <v>97.7</v>
      </c>
      <c r="M227" s="2">
        <v>129.6</v>
      </c>
      <c r="N227" s="2">
        <v>124.3</v>
      </c>
      <c r="O227" s="2">
        <v>135.9</v>
      </c>
      <c r="P227" s="2">
        <v>131.4</v>
      </c>
      <c r="Q227" s="2">
        <v>133.19999999999999</v>
      </c>
      <c r="R227" s="2">
        <v>128.9</v>
      </c>
      <c r="S227" s="2">
        <v>132.6</v>
      </c>
      <c r="T227" s="2">
        <v>139.5</v>
      </c>
      <c r="U227" s="2">
        <v>126.6</v>
      </c>
      <c r="V227" s="2">
        <v>123.7</v>
      </c>
      <c r="W227" s="2">
        <v>114.9</v>
      </c>
      <c r="X227" s="2">
        <v>113.6</v>
      </c>
      <c r="Y227" s="2">
        <v>121.4</v>
      </c>
      <c r="Z227" s="2">
        <v>133.6</v>
      </c>
      <c r="AA227" s="2">
        <v>126.2</v>
      </c>
      <c r="AB227" s="2">
        <v>126.2</v>
      </c>
      <c r="AC227" s="2">
        <v>120.1</v>
      </c>
      <c r="AD227" s="2">
        <v>128.1</v>
      </c>
      <c r="AE227" s="2">
        <f>SUM(Table1_1[[#This Row],[Cereals and products]:[Food and beverages]])</f>
        <v>1690.1000000000001</v>
      </c>
      <c r="AF227" s="2">
        <f>SUM(Table1_1[[#This Row],[Clothing and footwear]:[Clothing]])</f>
        <v>394.70000000000005</v>
      </c>
      <c r="AG227" s="2">
        <f>SUM(Table1_1[[#This Row],[Clothing]:[Education]])</f>
        <v>1520.4</v>
      </c>
      <c r="AH227" s="2">
        <f>SUM(Table1_1[[#This Row],[Health]:[Personal care and effects]])</f>
        <v>238.60000000000002</v>
      </c>
      <c r="AI227" s="2">
        <f>SUM(Table1_1[[#This Row],[Recreation and amusement]:[Miscellaneous]])</f>
        <v>627.5</v>
      </c>
      <c r="AJ227" s="2">
        <f>SUM(Table1_1[[#This Row],[Fuel and light]])</f>
        <v>126.2</v>
      </c>
      <c r="AK227">
        <f>SUM(Table1_1[[#This Row],[Food]:[Luxury &amp;Other Thing]])</f>
        <v>4471.3</v>
      </c>
      <c r="AL227">
        <f>SUM(Table1_1[[#This Row],[Food]:[Luxury &amp;Other Thing]])</f>
        <v>4471.3</v>
      </c>
    </row>
    <row r="228" spans="1:38" x14ac:dyDescent="0.25">
      <c r="A228" t="s">
        <v>33</v>
      </c>
      <c r="B228" t="s">
        <v>31</v>
      </c>
      <c r="C228">
        <v>2016</v>
      </c>
      <c r="D228" s="2">
        <v>124.7</v>
      </c>
      <c r="E228" s="2">
        <v>135.9</v>
      </c>
      <c r="F228" s="2">
        <v>132</v>
      </c>
      <c r="G228" s="2">
        <v>129.19999999999999</v>
      </c>
      <c r="H228" s="2">
        <v>109.7</v>
      </c>
      <c r="I228" s="2">
        <v>119</v>
      </c>
      <c r="J228" s="2">
        <v>144.1</v>
      </c>
      <c r="K228" s="2">
        <v>184.2</v>
      </c>
      <c r="L228" s="2">
        <v>96.7</v>
      </c>
      <c r="M228" s="2">
        <v>139.5</v>
      </c>
      <c r="N228" s="2">
        <v>120.5</v>
      </c>
      <c r="O228" s="2">
        <v>134.69999999999999</v>
      </c>
      <c r="P228" s="2">
        <v>131.19999999999999</v>
      </c>
      <c r="Q228" s="2">
        <v>125.8</v>
      </c>
      <c r="R228" s="2">
        <v>119.8</v>
      </c>
      <c r="S228" s="2">
        <v>124.9</v>
      </c>
      <c r="T228" s="2">
        <v>123.4</v>
      </c>
      <c r="U228" s="2">
        <v>121.6</v>
      </c>
      <c r="V228" s="2">
        <v>119.1</v>
      </c>
      <c r="W228" s="2">
        <v>114</v>
      </c>
      <c r="X228" s="2">
        <v>108.9</v>
      </c>
      <c r="Y228" s="2">
        <v>118.5</v>
      </c>
      <c r="Z228" s="2">
        <v>139.5</v>
      </c>
      <c r="AA228" s="2">
        <v>116.9</v>
      </c>
      <c r="AB228" s="2">
        <v>126.4</v>
      </c>
      <c r="AC228" s="2">
        <v>116.8</v>
      </c>
      <c r="AD228" s="2">
        <v>124.2</v>
      </c>
      <c r="AE228" s="2">
        <f>SUM(Table1_1[[#This Row],[Cereals and products]:[Food and beverages]])</f>
        <v>1701.4</v>
      </c>
      <c r="AF228" s="2">
        <f>SUM(Table1_1[[#This Row],[Clothing and footwear]:[Clothing]])</f>
        <v>370.5</v>
      </c>
      <c r="AG228" s="2">
        <f>SUM(Table1_1[[#This Row],[Clothing]:[Education]])</f>
        <v>1458.8000000000002</v>
      </c>
      <c r="AH228" s="2">
        <f>SUM(Table1_1[[#This Row],[Health]:[Personal care and effects]])</f>
        <v>233.1</v>
      </c>
      <c r="AI228" s="2">
        <f>SUM(Table1_1[[#This Row],[Recreation and amusement]:[Miscellaneous]])</f>
        <v>618.09999999999991</v>
      </c>
      <c r="AJ228" s="2">
        <f>SUM(Table1_1[[#This Row],[Fuel and light]])</f>
        <v>116.9</v>
      </c>
      <c r="AK228">
        <f>SUM(Table1_1[[#This Row],[Food]:[Luxury &amp;Other Thing]])</f>
        <v>4381.8999999999996</v>
      </c>
      <c r="AL228">
        <f>SUM(Table1_1[[#This Row],[Food]:[Luxury &amp;Other Thing]])</f>
        <v>4381.8999999999996</v>
      </c>
    </row>
    <row r="229" spans="1:38" x14ac:dyDescent="0.25">
      <c r="A229" t="s">
        <v>34</v>
      </c>
      <c r="B229" t="s">
        <v>31</v>
      </c>
      <c r="C229">
        <v>2016</v>
      </c>
      <c r="D229" s="2">
        <v>126.1</v>
      </c>
      <c r="E229" s="2">
        <v>134.1</v>
      </c>
      <c r="F229" s="2">
        <v>128.6</v>
      </c>
      <c r="G229" s="2">
        <v>129.9</v>
      </c>
      <c r="H229" s="2">
        <v>115.5</v>
      </c>
      <c r="I229" s="2">
        <v>125.7</v>
      </c>
      <c r="J229" s="2">
        <v>141.5</v>
      </c>
      <c r="K229" s="2">
        <v>170.7</v>
      </c>
      <c r="L229" s="2">
        <v>97.4</v>
      </c>
      <c r="M229" s="2">
        <v>132.9</v>
      </c>
      <c r="N229" s="2">
        <v>122.7</v>
      </c>
      <c r="O229" s="2">
        <v>135.30000000000001</v>
      </c>
      <c r="P229" s="2">
        <v>131.30000000000001</v>
      </c>
      <c r="Q229" s="2">
        <v>130.30000000000001</v>
      </c>
      <c r="R229" s="2">
        <v>125.1</v>
      </c>
      <c r="S229" s="2">
        <v>129.5</v>
      </c>
      <c r="T229" s="2">
        <v>123.4</v>
      </c>
      <c r="U229" s="2">
        <v>124.2</v>
      </c>
      <c r="V229" s="2">
        <v>122</v>
      </c>
      <c r="W229" s="2">
        <v>114.5</v>
      </c>
      <c r="X229" s="2">
        <v>111.1</v>
      </c>
      <c r="Y229" s="2">
        <v>119.8</v>
      </c>
      <c r="Z229" s="2">
        <v>135.19999999999999</v>
      </c>
      <c r="AA229" s="2">
        <v>122.7</v>
      </c>
      <c r="AB229" s="2">
        <v>126.3</v>
      </c>
      <c r="AC229" s="2">
        <v>118.5</v>
      </c>
      <c r="AD229" s="2">
        <v>126.3</v>
      </c>
      <c r="AE229" s="2">
        <f>SUM(Table1_1[[#This Row],[Cereals and products]:[Food and beverages]])</f>
        <v>1691.7</v>
      </c>
      <c r="AF229" s="2">
        <f>SUM(Table1_1[[#This Row],[Clothing and footwear]:[Clothing]])</f>
        <v>384.9</v>
      </c>
      <c r="AG229" s="2">
        <f>SUM(Table1_1[[#This Row],[Clothing]:[Education]])</f>
        <v>1484.1000000000001</v>
      </c>
      <c r="AH229" s="2">
        <f>SUM(Table1_1[[#This Row],[Health]:[Personal care and effects]])</f>
        <v>236.5</v>
      </c>
      <c r="AI229" s="2">
        <f>SUM(Table1_1[[#This Row],[Recreation and amusement]:[Miscellaneous]])</f>
        <v>622.5</v>
      </c>
      <c r="AJ229" s="2">
        <f>SUM(Table1_1[[#This Row],[Fuel and light]])</f>
        <v>122.7</v>
      </c>
      <c r="AK229">
        <f>SUM(Table1_1[[#This Row],[Food]:[Luxury &amp;Other Thing]])</f>
        <v>4419.7</v>
      </c>
      <c r="AL229">
        <f>SUM(Table1_1[[#This Row],[Food]:[Luxury &amp;Other Thing]])</f>
        <v>4419.7</v>
      </c>
    </row>
    <row r="230" spans="1:38" x14ac:dyDescent="0.25">
      <c r="A230" t="s">
        <v>30</v>
      </c>
      <c r="B230" t="s">
        <v>31</v>
      </c>
      <c r="C230">
        <v>2017</v>
      </c>
      <c r="D230">
        <v>133.1</v>
      </c>
      <c r="E230">
        <v>137.80000000000001</v>
      </c>
      <c r="F230">
        <v>131.9</v>
      </c>
      <c r="G230">
        <v>136.69999999999999</v>
      </c>
      <c r="H230">
        <v>122</v>
      </c>
      <c r="I230">
        <v>136</v>
      </c>
      <c r="J230">
        <v>119.8</v>
      </c>
      <c r="K230">
        <v>161.69999999999999</v>
      </c>
      <c r="L230">
        <v>114.8</v>
      </c>
      <c r="M230">
        <v>136.9</v>
      </c>
      <c r="N230">
        <v>129</v>
      </c>
      <c r="O230">
        <v>143.9</v>
      </c>
      <c r="P230">
        <v>133.69999999999999</v>
      </c>
      <c r="Q230">
        <v>140.69999999999999</v>
      </c>
      <c r="R230">
        <v>135.80000000000001</v>
      </c>
      <c r="S230">
        <v>140</v>
      </c>
      <c r="T230">
        <v>139.5</v>
      </c>
      <c r="U230">
        <v>133.19999999999999</v>
      </c>
      <c r="V230">
        <v>129.9</v>
      </c>
      <c r="W230">
        <v>122.3</v>
      </c>
      <c r="X230">
        <v>119.1</v>
      </c>
      <c r="Y230">
        <v>127</v>
      </c>
      <c r="Z230">
        <v>143.1</v>
      </c>
      <c r="AA230">
        <v>132.1</v>
      </c>
      <c r="AB230">
        <v>134.6</v>
      </c>
      <c r="AC230">
        <v>126.6</v>
      </c>
      <c r="AD230">
        <v>132.4</v>
      </c>
      <c r="AE230">
        <f>SUM(Table1_1[[#This Row],[Cereals and products]:[Food and beverages]])</f>
        <v>1737.3000000000002</v>
      </c>
      <c r="AF230">
        <f>SUM(Table1_1[[#This Row],[Clothing and footwear]:[Clothing]])</f>
        <v>416.5</v>
      </c>
      <c r="AG230">
        <f>SUM(Table1_1[[#This Row],[Clothing]:[Education]])</f>
        <v>1597.2999999999997</v>
      </c>
      <c r="AH230">
        <f>SUM(Table1_1[[#This Row],[Health]:[Personal care and effects]])</f>
        <v>252.2</v>
      </c>
      <c r="AI230">
        <f>SUM(Table1_1[[#This Row],[Recreation and amusement]:[Miscellaneous]])</f>
        <v>663.40000000000009</v>
      </c>
      <c r="AJ230">
        <f>SUM(Table1_1[[#This Row],[Fuel and light]])</f>
        <v>132.1</v>
      </c>
      <c r="AK230">
        <f>SUM(Table1_1[[#This Row],[Food]:[Luxury &amp;Other Thing]])</f>
        <v>4666.7</v>
      </c>
      <c r="AL230">
        <f>SUM(Table1_1[[#This Row],[Food]:[Luxury &amp;Other Thing]])</f>
        <v>4666.7</v>
      </c>
    </row>
    <row r="231" spans="1:38" x14ac:dyDescent="0.25">
      <c r="A231" t="s">
        <v>33</v>
      </c>
      <c r="B231" t="s">
        <v>31</v>
      </c>
      <c r="C231">
        <v>2017</v>
      </c>
      <c r="D231">
        <v>132.19999999999999</v>
      </c>
      <c r="E231">
        <v>138.9</v>
      </c>
      <c r="F231">
        <v>132.6</v>
      </c>
      <c r="G231">
        <v>133.1</v>
      </c>
      <c r="H231">
        <v>114</v>
      </c>
      <c r="I231">
        <v>129.6</v>
      </c>
      <c r="J231">
        <v>118.7</v>
      </c>
      <c r="K231">
        <v>155.1</v>
      </c>
      <c r="L231">
        <v>117.3</v>
      </c>
      <c r="M231">
        <v>144.9</v>
      </c>
      <c r="N231">
        <v>123.2</v>
      </c>
      <c r="O231">
        <v>141.6</v>
      </c>
      <c r="P231">
        <v>132</v>
      </c>
      <c r="Q231">
        <v>130.19999999999999</v>
      </c>
      <c r="R231">
        <v>122.3</v>
      </c>
      <c r="S231">
        <v>129</v>
      </c>
      <c r="T231">
        <v>129.6</v>
      </c>
      <c r="U231">
        <v>125.1</v>
      </c>
      <c r="V231">
        <v>122.6</v>
      </c>
      <c r="W231">
        <v>120.9</v>
      </c>
      <c r="X231">
        <v>115.2</v>
      </c>
      <c r="Y231">
        <v>122</v>
      </c>
      <c r="Z231">
        <v>145.6</v>
      </c>
      <c r="AA231">
        <v>118</v>
      </c>
      <c r="AB231">
        <v>132.4</v>
      </c>
      <c r="AC231">
        <v>122.1</v>
      </c>
      <c r="AD231">
        <v>127.8</v>
      </c>
      <c r="AE231">
        <f>SUM(Table1_1[[#This Row],[Cereals and products]:[Food and beverages]])</f>
        <v>1713.2</v>
      </c>
      <c r="AF231">
        <f>SUM(Table1_1[[#This Row],[Clothing and footwear]:[Clothing]])</f>
        <v>381.5</v>
      </c>
      <c r="AG231">
        <f>SUM(Table1_1[[#This Row],[Clothing]:[Education]])</f>
        <v>1512.9</v>
      </c>
      <c r="AH231">
        <f>SUM(Table1_1[[#This Row],[Health]:[Personal care and effects]])</f>
        <v>243.5</v>
      </c>
      <c r="AI231">
        <f>SUM(Table1_1[[#This Row],[Recreation and amusement]:[Miscellaneous]])</f>
        <v>640.1</v>
      </c>
      <c r="AJ231">
        <f>SUM(Table1_1[[#This Row],[Fuel and light]])</f>
        <v>118</v>
      </c>
      <c r="AK231">
        <f>SUM(Table1_1[[#This Row],[Food]:[Luxury &amp;Other Thing]])</f>
        <v>4491.2</v>
      </c>
      <c r="AL231">
        <f>SUM(Table1_1[[#This Row],[Food]:[Luxury &amp;Other Thing]])</f>
        <v>4491.2</v>
      </c>
    </row>
    <row r="232" spans="1:38" x14ac:dyDescent="0.25">
      <c r="A232" t="s">
        <v>34</v>
      </c>
      <c r="B232" t="s">
        <v>31</v>
      </c>
      <c r="C232">
        <v>2017</v>
      </c>
      <c r="D232">
        <v>132.80000000000001</v>
      </c>
      <c r="E232">
        <v>138.19999999999999</v>
      </c>
      <c r="F232">
        <v>132.19999999999999</v>
      </c>
      <c r="G232">
        <v>135.4</v>
      </c>
      <c r="H232">
        <v>119.1</v>
      </c>
      <c r="I232">
        <v>133</v>
      </c>
      <c r="J232">
        <v>119.4</v>
      </c>
      <c r="K232">
        <v>159.5</v>
      </c>
      <c r="L232">
        <v>115.6</v>
      </c>
      <c r="M232">
        <v>139.6</v>
      </c>
      <c r="N232">
        <v>126.6</v>
      </c>
      <c r="O232">
        <v>142.80000000000001</v>
      </c>
      <c r="P232">
        <v>133.1</v>
      </c>
      <c r="Q232">
        <v>136.6</v>
      </c>
      <c r="R232">
        <v>130.19999999999999</v>
      </c>
      <c r="S232">
        <v>135.6</v>
      </c>
      <c r="T232">
        <v>129.6</v>
      </c>
      <c r="U232">
        <v>129.4</v>
      </c>
      <c r="V232">
        <v>127.1</v>
      </c>
      <c r="W232">
        <v>121.7</v>
      </c>
      <c r="X232">
        <v>117</v>
      </c>
      <c r="Y232">
        <v>124.2</v>
      </c>
      <c r="Z232">
        <v>143.80000000000001</v>
      </c>
      <c r="AA232">
        <v>126.8</v>
      </c>
      <c r="AB232">
        <v>133.30000000000001</v>
      </c>
      <c r="AC232">
        <v>124.4</v>
      </c>
      <c r="AD232">
        <v>130.30000000000001</v>
      </c>
      <c r="AE232">
        <f>SUM(Table1_1[[#This Row],[Cereals and products]:[Food and beverages]])</f>
        <v>1727.2999999999995</v>
      </c>
      <c r="AF232">
        <f>SUM(Table1_1[[#This Row],[Clothing and footwear]:[Clothing]])</f>
        <v>402.4</v>
      </c>
      <c r="AG232">
        <f>SUM(Table1_1[[#This Row],[Clothing]:[Education]])</f>
        <v>1555.3</v>
      </c>
      <c r="AH232">
        <f>SUM(Table1_1[[#This Row],[Health]:[Personal care and effects]])</f>
        <v>248.8</v>
      </c>
      <c r="AI232">
        <f>SUM(Table1_1[[#This Row],[Recreation and amusement]:[Miscellaneous]])</f>
        <v>652.5</v>
      </c>
      <c r="AJ232">
        <f>SUM(Table1_1[[#This Row],[Fuel and light]])</f>
        <v>126.8</v>
      </c>
      <c r="AK232">
        <f>SUM(Table1_1[[#This Row],[Food]:[Luxury &amp;Other Thing]])</f>
        <v>4586.2999999999993</v>
      </c>
      <c r="AL232">
        <f>SUM(Table1_1[[#This Row],[Food]:[Luxury &amp;Other Thing]])</f>
        <v>4586.2999999999993</v>
      </c>
    </row>
    <row r="233" spans="1:38" x14ac:dyDescent="0.25">
      <c r="A233" t="s">
        <v>30</v>
      </c>
      <c r="B233" t="s">
        <v>31</v>
      </c>
      <c r="C233">
        <v>2018</v>
      </c>
      <c r="D233">
        <v>136.6</v>
      </c>
      <c r="E233">
        <v>144.4</v>
      </c>
      <c r="F233">
        <v>143.80000000000001</v>
      </c>
      <c r="G233">
        <v>142</v>
      </c>
      <c r="H233">
        <v>123.2</v>
      </c>
      <c r="I233">
        <v>147.9</v>
      </c>
      <c r="J233">
        <v>152.1</v>
      </c>
      <c r="K233">
        <v>131.80000000000001</v>
      </c>
      <c r="L233">
        <v>119.5</v>
      </c>
      <c r="M233">
        <v>136</v>
      </c>
      <c r="N233">
        <v>131.19999999999999</v>
      </c>
      <c r="O233">
        <v>151.80000000000001</v>
      </c>
      <c r="P233">
        <v>140.4</v>
      </c>
      <c r="Q233">
        <v>148.30000000000001</v>
      </c>
      <c r="R233">
        <v>142.30000000000001</v>
      </c>
      <c r="S233">
        <v>147.5</v>
      </c>
      <c r="T233">
        <v>139.5</v>
      </c>
      <c r="U233">
        <v>139.80000000000001</v>
      </c>
      <c r="V233">
        <v>136</v>
      </c>
      <c r="W233">
        <v>128.6</v>
      </c>
      <c r="X233">
        <v>122.7</v>
      </c>
      <c r="Y233">
        <v>134.30000000000001</v>
      </c>
      <c r="Z233">
        <v>153.6</v>
      </c>
      <c r="AA233">
        <v>142.30000000000001</v>
      </c>
      <c r="AB233">
        <v>141.6</v>
      </c>
      <c r="AC233">
        <v>132.30000000000001</v>
      </c>
      <c r="AD233">
        <v>139.30000000000001</v>
      </c>
      <c r="AE233">
        <f>SUM(Table1_1[[#This Row],[Cereals and products]:[Food and beverages]])</f>
        <v>1800.7</v>
      </c>
      <c r="AF233">
        <f>SUM(Table1_1[[#This Row],[Clothing and footwear]:[Clothing]])</f>
        <v>438.1</v>
      </c>
      <c r="AG233">
        <f>SUM(Table1_1[[#This Row],[Clothing]:[Education]])</f>
        <v>1676.4999999999998</v>
      </c>
      <c r="AH233">
        <f>SUM(Table1_1[[#This Row],[Health]:[Personal care and effects]])</f>
        <v>264.60000000000002</v>
      </c>
      <c r="AI233">
        <f>SUM(Table1_1[[#This Row],[Recreation and amusement]:[Miscellaneous]])</f>
        <v>704.09999999999991</v>
      </c>
      <c r="AJ233">
        <f>SUM(Table1_1[[#This Row],[Fuel and light]])</f>
        <v>142.30000000000001</v>
      </c>
      <c r="AK233">
        <f>SUM(Table1_1[[#This Row],[Food]:[Luxury &amp;Other Thing]])</f>
        <v>4884</v>
      </c>
      <c r="AL233">
        <f>SUM(Table1_1[[#This Row],[Food]:[Luxury &amp;Other Thing]])</f>
        <v>4884</v>
      </c>
    </row>
    <row r="234" spans="1:38" x14ac:dyDescent="0.25">
      <c r="A234" t="s">
        <v>33</v>
      </c>
      <c r="B234" t="s">
        <v>31</v>
      </c>
      <c r="C234">
        <v>2018</v>
      </c>
      <c r="D234">
        <v>134.6</v>
      </c>
      <c r="E234">
        <v>143.69999999999999</v>
      </c>
      <c r="F234">
        <v>143.6</v>
      </c>
      <c r="G234">
        <v>139.6</v>
      </c>
      <c r="H234">
        <v>116.4</v>
      </c>
      <c r="I234">
        <v>133.80000000000001</v>
      </c>
      <c r="J234">
        <v>150.5</v>
      </c>
      <c r="K234">
        <v>118.4</v>
      </c>
      <c r="L234">
        <v>117.3</v>
      </c>
      <c r="M234">
        <v>140.5</v>
      </c>
      <c r="N234">
        <v>125.9</v>
      </c>
      <c r="O234">
        <v>146.80000000000001</v>
      </c>
      <c r="P234">
        <v>137.19999999999999</v>
      </c>
      <c r="Q234">
        <v>136</v>
      </c>
      <c r="R234">
        <v>125.9</v>
      </c>
      <c r="S234">
        <v>134.4</v>
      </c>
      <c r="T234">
        <v>140.4</v>
      </c>
      <c r="U234">
        <v>129.5</v>
      </c>
      <c r="V234">
        <v>129</v>
      </c>
      <c r="W234">
        <v>125.5</v>
      </c>
      <c r="X234">
        <v>116.3</v>
      </c>
      <c r="Y234">
        <v>126.2</v>
      </c>
      <c r="Z234">
        <v>157.69999999999999</v>
      </c>
      <c r="AA234">
        <v>127.3</v>
      </c>
      <c r="AB234">
        <v>137.1</v>
      </c>
      <c r="AC234">
        <v>125.8</v>
      </c>
      <c r="AD234">
        <v>134.1</v>
      </c>
      <c r="AE234">
        <f>SUM(Table1_1[[#This Row],[Cereals and products]:[Food and beverages]])</f>
        <v>1748.3000000000002</v>
      </c>
      <c r="AF234">
        <f>SUM(Table1_1[[#This Row],[Clothing and footwear]:[Clothing]])</f>
        <v>396.29999999999995</v>
      </c>
      <c r="AG234">
        <f>SUM(Table1_1[[#This Row],[Clothing]:[Education]])</f>
        <v>1585.3</v>
      </c>
      <c r="AH234">
        <f>SUM(Table1_1[[#This Row],[Health]:[Personal care and effects]])</f>
        <v>254.5</v>
      </c>
      <c r="AI234">
        <f>SUM(Table1_1[[#This Row],[Recreation and amusement]:[Miscellaneous]])</f>
        <v>674.09999999999991</v>
      </c>
      <c r="AJ234">
        <f>SUM(Table1_1[[#This Row],[Fuel and light]])</f>
        <v>127.3</v>
      </c>
      <c r="AK234">
        <f>SUM(Table1_1[[#This Row],[Food]:[Luxury &amp;Other Thing]])</f>
        <v>4658.5</v>
      </c>
      <c r="AL234">
        <f>SUM(Table1_1[[#This Row],[Food]:[Luxury &amp;Other Thing]])</f>
        <v>4658.5</v>
      </c>
    </row>
    <row r="235" spans="1:38" x14ac:dyDescent="0.25">
      <c r="A235" t="s">
        <v>34</v>
      </c>
      <c r="B235" t="s">
        <v>31</v>
      </c>
      <c r="C235">
        <v>2018</v>
      </c>
      <c r="D235">
        <v>136</v>
      </c>
      <c r="E235">
        <v>144.19999999999999</v>
      </c>
      <c r="F235">
        <v>143.69999999999999</v>
      </c>
      <c r="G235">
        <v>141.1</v>
      </c>
      <c r="H235">
        <v>120.7</v>
      </c>
      <c r="I235">
        <v>141.30000000000001</v>
      </c>
      <c r="J235">
        <v>151.6</v>
      </c>
      <c r="K235">
        <v>127.3</v>
      </c>
      <c r="L235">
        <v>118.8</v>
      </c>
      <c r="M235">
        <v>137.5</v>
      </c>
      <c r="N235">
        <v>129</v>
      </c>
      <c r="O235">
        <v>149.5</v>
      </c>
      <c r="P235">
        <v>139.19999999999999</v>
      </c>
      <c r="Q235">
        <v>143.5</v>
      </c>
      <c r="R235">
        <v>135.5</v>
      </c>
      <c r="S235">
        <v>142.30000000000001</v>
      </c>
      <c r="T235">
        <v>140.4</v>
      </c>
      <c r="U235">
        <v>134.9</v>
      </c>
      <c r="V235">
        <v>133.30000000000001</v>
      </c>
      <c r="W235">
        <v>127.3</v>
      </c>
      <c r="X235">
        <v>119.3</v>
      </c>
      <c r="Y235">
        <v>129.69999999999999</v>
      </c>
      <c r="Z235">
        <v>154.69999999999999</v>
      </c>
      <c r="AA235">
        <v>136.6</v>
      </c>
      <c r="AB235">
        <v>139</v>
      </c>
      <c r="AC235">
        <v>129.1</v>
      </c>
      <c r="AD235">
        <v>136.9</v>
      </c>
      <c r="AE235">
        <f>SUM(Table1_1[[#This Row],[Cereals and products]:[Food and beverages]])</f>
        <v>1779.9</v>
      </c>
      <c r="AF235">
        <f>SUM(Table1_1[[#This Row],[Clothing and footwear]:[Clothing]])</f>
        <v>421.3</v>
      </c>
      <c r="AG235">
        <f>SUM(Table1_1[[#This Row],[Clothing]:[Education]])</f>
        <v>1636.5</v>
      </c>
      <c r="AH235">
        <f>SUM(Table1_1[[#This Row],[Health]:[Personal care and effects]])</f>
        <v>260.60000000000002</v>
      </c>
      <c r="AI235">
        <f>SUM(Table1_1[[#This Row],[Recreation and amusement]:[Miscellaneous]])</f>
        <v>689.1</v>
      </c>
      <c r="AJ235">
        <f>SUM(Table1_1[[#This Row],[Fuel and light]])</f>
        <v>136.6</v>
      </c>
      <c r="AK235">
        <f>SUM(Table1_1[[#This Row],[Food]:[Luxury &amp;Other Thing]])</f>
        <v>4787.4000000000005</v>
      </c>
      <c r="AL235">
        <f>SUM(Table1_1[[#This Row],[Food]:[Luxury &amp;Other Thing]])</f>
        <v>4787.4000000000005</v>
      </c>
    </row>
    <row r="236" spans="1:38" x14ac:dyDescent="0.25">
      <c r="A236" t="s">
        <v>30</v>
      </c>
      <c r="B236" t="s">
        <v>31</v>
      </c>
      <c r="C236">
        <v>2019</v>
      </c>
      <c r="D236">
        <v>136.6</v>
      </c>
      <c r="E236">
        <v>152.5</v>
      </c>
      <c r="F236">
        <v>138.19999999999999</v>
      </c>
      <c r="G236">
        <v>142.4</v>
      </c>
      <c r="H236">
        <v>123.9</v>
      </c>
      <c r="I236">
        <v>135.5</v>
      </c>
      <c r="J236">
        <v>131.69999999999999</v>
      </c>
      <c r="K236">
        <v>121.3</v>
      </c>
      <c r="L236">
        <v>108.4</v>
      </c>
      <c r="M236">
        <v>138.9</v>
      </c>
      <c r="N236">
        <v>137</v>
      </c>
      <c r="O236">
        <v>155.80000000000001</v>
      </c>
      <c r="P236">
        <v>137.4</v>
      </c>
      <c r="Q236">
        <v>150.6</v>
      </c>
      <c r="R236">
        <v>145.1</v>
      </c>
      <c r="S236">
        <v>149.9</v>
      </c>
      <c r="T236">
        <v>139.5</v>
      </c>
      <c r="U236">
        <v>150.1</v>
      </c>
      <c r="V236">
        <v>149.6</v>
      </c>
      <c r="W236">
        <v>133.5</v>
      </c>
      <c r="X236">
        <v>128.6</v>
      </c>
      <c r="Y236">
        <v>142.9</v>
      </c>
      <c r="Z236">
        <v>162.69999999999999</v>
      </c>
      <c r="AA236">
        <v>146.19999999999999</v>
      </c>
      <c r="AB236">
        <v>155.19999999999999</v>
      </c>
      <c r="AC236">
        <v>141.69999999999999</v>
      </c>
      <c r="AD236">
        <v>141</v>
      </c>
      <c r="AE236">
        <f>SUM(Table1_1[[#This Row],[Cereals and products]:[Food and beverages]])</f>
        <v>1759.6000000000001</v>
      </c>
      <c r="AF236">
        <f>SUM(Table1_1[[#This Row],[Clothing and footwear]:[Clothing]])</f>
        <v>445.6</v>
      </c>
      <c r="AG236">
        <f>SUM(Table1_1[[#This Row],[Clothing]:[Education]])</f>
        <v>1753.9000000000003</v>
      </c>
      <c r="AH236">
        <f>SUM(Table1_1[[#This Row],[Health]:[Personal care and effects]])</f>
        <v>283.10000000000002</v>
      </c>
      <c r="AI236">
        <f>SUM(Table1_1[[#This Row],[Recreation and amusement]:[Miscellaneous]])</f>
        <v>748.7</v>
      </c>
      <c r="AJ236">
        <f>SUM(Table1_1[[#This Row],[Fuel and light]])</f>
        <v>146.19999999999999</v>
      </c>
      <c r="AK236">
        <f>SUM(Table1_1[[#This Row],[Food]:[Luxury &amp;Other Thing]])</f>
        <v>4990.9000000000005</v>
      </c>
      <c r="AL236">
        <f>SUM(Table1_1[[#This Row],[Food]:[Luxury &amp;Other Thing]])</f>
        <v>4990.9000000000005</v>
      </c>
    </row>
    <row r="237" spans="1:38" x14ac:dyDescent="0.25">
      <c r="A237" t="s">
        <v>33</v>
      </c>
      <c r="B237" t="s">
        <v>31</v>
      </c>
      <c r="C237">
        <v>2019</v>
      </c>
      <c r="D237">
        <v>138.30000000000001</v>
      </c>
      <c r="E237">
        <v>149.4</v>
      </c>
      <c r="F237">
        <v>143.5</v>
      </c>
      <c r="G237">
        <v>141.69999999999999</v>
      </c>
      <c r="H237">
        <v>118.1</v>
      </c>
      <c r="I237">
        <v>135.19999999999999</v>
      </c>
      <c r="J237">
        <v>130.5</v>
      </c>
      <c r="K237">
        <v>118.2</v>
      </c>
      <c r="L237">
        <v>110.4</v>
      </c>
      <c r="M237">
        <v>140.4</v>
      </c>
      <c r="N237">
        <v>128.1</v>
      </c>
      <c r="O237">
        <v>153.19999999999999</v>
      </c>
      <c r="P237">
        <v>137.30000000000001</v>
      </c>
      <c r="Q237">
        <v>143</v>
      </c>
      <c r="R237">
        <v>130.4</v>
      </c>
      <c r="S237">
        <v>141.1</v>
      </c>
      <c r="T237">
        <v>147.69999999999999</v>
      </c>
      <c r="U237">
        <v>136.30000000000001</v>
      </c>
      <c r="V237">
        <v>137.80000000000001</v>
      </c>
      <c r="W237">
        <v>131.69999999999999</v>
      </c>
      <c r="X237">
        <v>118.6</v>
      </c>
      <c r="Y237">
        <v>131.9</v>
      </c>
      <c r="Z237">
        <v>164.7</v>
      </c>
      <c r="AA237">
        <v>128.6</v>
      </c>
      <c r="AB237">
        <v>146.6</v>
      </c>
      <c r="AC237">
        <v>131.80000000000001</v>
      </c>
      <c r="AD237">
        <v>138</v>
      </c>
      <c r="AE237">
        <f>SUM(Table1_1[[#This Row],[Cereals and products]:[Food and beverages]])</f>
        <v>1744.3000000000002</v>
      </c>
      <c r="AF237">
        <f>SUM(Table1_1[[#This Row],[Clothing and footwear]:[Clothing]])</f>
        <v>414.5</v>
      </c>
      <c r="AG237">
        <f>SUM(Table1_1[[#This Row],[Clothing]:[Education]])</f>
        <v>1658.3999999999999</v>
      </c>
      <c r="AH237">
        <f>SUM(Table1_1[[#This Row],[Health]:[Personal care and effects]])</f>
        <v>269.5</v>
      </c>
      <c r="AI237">
        <f>SUM(Table1_1[[#This Row],[Recreation and amusement]:[Miscellaneous]])</f>
        <v>703.60000000000014</v>
      </c>
      <c r="AJ237">
        <f>SUM(Table1_1[[#This Row],[Fuel and light]])</f>
        <v>128.6</v>
      </c>
      <c r="AK237">
        <f>SUM(Table1_1[[#This Row],[Food]:[Luxury &amp;Other Thing]])</f>
        <v>4790.3</v>
      </c>
      <c r="AL237">
        <f>SUM(Table1_1[[#This Row],[Food]:[Luxury &amp;Other Thing]])</f>
        <v>4790.3</v>
      </c>
    </row>
    <row r="238" spans="1:38" x14ac:dyDescent="0.25">
      <c r="A238" t="s">
        <v>34</v>
      </c>
      <c r="B238" t="s">
        <v>31</v>
      </c>
      <c r="C238">
        <v>2019</v>
      </c>
      <c r="D238">
        <v>137.1</v>
      </c>
      <c r="E238">
        <v>151.4</v>
      </c>
      <c r="F238">
        <v>140.19999999999999</v>
      </c>
      <c r="G238">
        <v>142.1</v>
      </c>
      <c r="H238">
        <v>121.8</v>
      </c>
      <c r="I238">
        <v>135.4</v>
      </c>
      <c r="J238">
        <v>131.30000000000001</v>
      </c>
      <c r="K238">
        <v>120.3</v>
      </c>
      <c r="L238">
        <v>109.1</v>
      </c>
      <c r="M238">
        <v>139.4</v>
      </c>
      <c r="N238">
        <v>133.30000000000001</v>
      </c>
      <c r="O238">
        <v>154.6</v>
      </c>
      <c r="P238">
        <v>137.4</v>
      </c>
      <c r="Q238">
        <v>147.6</v>
      </c>
      <c r="R238">
        <v>139</v>
      </c>
      <c r="S238">
        <v>146.4</v>
      </c>
      <c r="T238">
        <v>147.69999999999999</v>
      </c>
      <c r="U238">
        <v>143.6</v>
      </c>
      <c r="V238">
        <v>145.1</v>
      </c>
      <c r="W238">
        <v>132.80000000000001</v>
      </c>
      <c r="X238">
        <v>123.3</v>
      </c>
      <c r="Y238">
        <v>136.69999999999999</v>
      </c>
      <c r="Z238">
        <v>163.19999999999999</v>
      </c>
      <c r="AA238">
        <v>139.5</v>
      </c>
      <c r="AB238">
        <v>150.19999999999999</v>
      </c>
      <c r="AC238">
        <v>136.9</v>
      </c>
      <c r="AD238">
        <v>139.6</v>
      </c>
      <c r="AE238">
        <f>SUM(Table1_1[[#This Row],[Cereals and products]:[Food and beverages]])</f>
        <v>1753.3999999999999</v>
      </c>
      <c r="AF238">
        <f>SUM(Table1_1[[#This Row],[Clothing and footwear]:[Clothing]])</f>
        <v>433</v>
      </c>
      <c r="AG238">
        <f>SUM(Table1_1[[#This Row],[Clothing]:[Education]])</f>
        <v>1715.1000000000001</v>
      </c>
      <c r="AH238">
        <f>SUM(Table1_1[[#This Row],[Health]:[Personal care and effects]])</f>
        <v>277.89999999999998</v>
      </c>
      <c r="AI238">
        <f>SUM(Table1_1[[#This Row],[Recreation and amusement]:[Miscellaneous]])</f>
        <v>726.49999999999989</v>
      </c>
      <c r="AJ238">
        <f>SUM(Table1_1[[#This Row],[Fuel and light]])</f>
        <v>139.5</v>
      </c>
      <c r="AK238">
        <f>SUM(Table1_1[[#This Row],[Food]:[Luxury &amp;Other Thing]])</f>
        <v>4905.8999999999996</v>
      </c>
      <c r="AL238">
        <f>SUM(Table1_1[[#This Row],[Food]:[Luxury &amp;Other Thing]])</f>
        <v>4905.8999999999996</v>
      </c>
    </row>
    <row r="239" spans="1:38" x14ac:dyDescent="0.25">
      <c r="A239" t="s">
        <v>30</v>
      </c>
      <c r="B239" t="s">
        <v>31</v>
      </c>
      <c r="C239">
        <v>2020</v>
      </c>
      <c r="D239">
        <v>143.69999999999999</v>
      </c>
      <c r="E239">
        <v>167.3</v>
      </c>
      <c r="F239">
        <v>153.5</v>
      </c>
      <c r="G239">
        <v>150.5</v>
      </c>
      <c r="H239">
        <v>132</v>
      </c>
      <c r="I239">
        <v>142.19999999999999</v>
      </c>
      <c r="J239">
        <v>191.5</v>
      </c>
      <c r="K239">
        <v>141.1</v>
      </c>
      <c r="L239">
        <v>113.8</v>
      </c>
      <c r="M239">
        <v>151.6</v>
      </c>
      <c r="N239">
        <v>139.69999999999999</v>
      </c>
      <c r="O239">
        <v>158.69999999999999</v>
      </c>
      <c r="P239">
        <v>153</v>
      </c>
      <c r="Q239">
        <v>152.80000000000001</v>
      </c>
      <c r="R239">
        <v>147.4</v>
      </c>
      <c r="S239">
        <v>152.1</v>
      </c>
      <c r="T239">
        <v>139.5</v>
      </c>
      <c r="U239">
        <v>151.69999999999999</v>
      </c>
      <c r="V239">
        <v>155.69999999999999</v>
      </c>
      <c r="W239">
        <v>142.5</v>
      </c>
      <c r="X239">
        <v>136.30000000000001</v>
      </c>
      <c r="Y239">
        <v>150.1</v>
      </c>
      <c r="Z239">
        <v>168.6</v>
      </c>
      <c r="AA239">
        <v>150.4</v>
      </c>
      <c r="AB239">
        <v>161.69999999999999</v>
      </c>
      <c r="AC239">
        <v>148.1</v>
      </c>
      <c r="AD239">
        <v>151.9</v>
      </c>
      <c r="AE239">
        <f>SUM(Table1_1[[#This Row],[Cereals and products]:[Food and beverages]])</f>
        <v>1938.6</v>
      </c>
      <c r="AF239">
        <f>SUM(Table1_1[[#This Row],[Clothing and footwear]:[Clothing]])</f>
        <v>452.30000000000007</v>
      </c>
      <c r="AG239">
        <f>SUM(Table1_1[[#This Row],[Clothing]:[Education]])</f>
        <v>1808.8</v>
      </c>
      <c r="AH239">
        <f>SUM(Table1_1[[#This Row],[Health]:[Personal care and effects]])</f>
        <v>298.2</v>
      </c>
      <c r="AI239">
        <f>SUM(Table1_1[[#This Row],[Recreation and amusement]:[Miscellaneous]])</f>
        <v>778.9</v>
      </c>
      <c r="AJ239">
        <f>SUM(Table1_1[[#This Row],[Fuel and light]])</f>
        <v>150.4</v>
      </c>
      <c r="AK239">
        <f>SUM(Table1_1[[#This Row],[Food]:[Luxury &amp;Other Thing]])</f>
        <v>5276.7999999999993</v>
      </c>
      <c r="AL239">
        <f>SUM(Table1_1[[#This Row],[Food]:[Luxury &amp;Other Thing]])</f>
        <v>5276.7999999999993</v>
      </c>
    </row>
    <row r="240" spans="1:38" x14ac:dyDescent="0.25">
      <c r="A240" t="s">
        <v>33</v>
      </c>
      <c r="B240" t="s">
        <v>31</v>
      </c>
      <c r="C240">
        <v>2020</v>
      </c>
      <c r="D240">
        <v>145.6</v>
      </c>
      <c r="E240">
        <v>167.6</v>
      </c>
      <c r="F240">
        <v>157</v>
      </c>
      <c r="G240">
        <v>149.30000000000001</v>
      </c>
      <c r="H240">
        <v>126.3</v>
      </c>
      <c r="I240">
        <v>144.4</v>
      </c>
      <c r="J240">
        <v>207.8</v>
      </c>
      <c r="K240">
        <v>139.1</v>
      </c>
      <c r="L240">
        <v>114.8</v>
      </c>
      <c r="M240">
        <v>149.5</v>
      </c>
      <c r="N240">
        <v>131.1</v>
      </c>
      <c r="O240">
        <v>158.5</v>
      </c>
      <c r="P240">
        <v>154.4</v>
      </c>
      <c r="Q240">
        <v>147</v>
      </c>
      <c r="R240">
        <v>133.19999999999999</v>
      </c>
      <c r="S240">
        <v>144.9</v>
      </c>
      <c r="T240">
        <v>153.9</v>
      </c>
      <c r="U240">
        <v>140.1</v>
      </c>
      <c r="V240">
        <v>143.80000000000001</v>
      </c>
      <c r="W240">
        <v>142.1</v>
      </c>
      <c r="X240">
        <v>126.1</v>
      </c>
      <c r="Y240">
        <v>137.19999999999999</v>
      </c>
      <c r="Z240">
        <v>170.8</v>
      </c>
      <c r="AA240">
        <v>135.1</v>
      </c>
      <c r="AB240">
        <v>152.1</v>
      </c>
      <c r="AC240">
        <v>138.4</v>
      </c>
      <c r="AD240">
        <v>148.19999999999999</v>
      </c>
      <c r="AE240">
        <f>SUM(Table1_1[[#This Row],[Cereals and products]:[Food and beverages]])</f>
        <v>1945.3999999999999</v>
      </c>
      <c r="AF240">
        <f>SUM(Table1_1[[#This Row],[Clothing and footwear]:[Clothing]])</f>
        <v>425.1</v>
      </c>
      <c r="AG240">
        <f>SUM(Table1_1[[#This Row],[Clothing]:[Education]])</f>
        <v>1726.3</v>
      </c>
      <c r="AH240">
        <f>SUM(Table1_1[[#This Row],[Health]:[Personal care and effects]])</f>
        <v>285.89999999999998</v>
      </c>
      <c r="AI240">
        <f>SUM(Table1_1[[#This Row],[Recreation and amusement]:[Miscellaneous]])</f>
        <v>733.6</v>
      </c>
      <c r="AJ240">
        <f>SUM(Table1_1[[#This Row],[Fuel and light]])</f>
        <v>135.1</v>
      </c>
      <c r="AK240">
        <f>SUM(Table1_1[[#This Row],[Food]:[Luxury &amp;Other Thing]])</f>
        <v>5116.3</v>
      </c>
      <c r="AL240">
        <f>SUM(Table1_1[[#This Row],[Food]:[Luxury &amp;Other Thing]])</f>
        <v>5116.3</v>
      </c>
    </row>
    <row r="241" spans="1:38" x14ac:dyDescent="0.25">
      <c r="A241" t="s">
        <v>34</v>
      </c>
      <c r="B241" t="s">
        <v>31</v>
      </c>
      <c r="C241">
        <v>2020</v>
      </c>
      <c r="D241">
        <v>144.30000000000001</v>
      </c>
      <c r="E241">
        <v>167.4</v>
      </c>
      <c r="F241">
        <v>154.9</v>
      </c>
      <c r="G241">
        <v>150.1</v>
      </c>
      <c r="H241">
        <v>129.9</v>
      </c>
      <c r="I241">
        <v>143.19999999999999</v>
      </c>
      <c r="J241">
        <v>197</v>
      </c>
      <c r="K241">
        <v>140.4</v>
      </c>
      <c r="L241">
        <v>114.1</v>
      </c>
      <c r="M241">
        <v>150.9</v>
      </c>
      <c r="N241">
        <v>136.1</v>
      </c>
      <c r="O241">
        <v>158.6</v>
      </c>
      <c r="P241">
        <v>153.5</v>
      </c>
      <c r="Q241">
        <v>150.5</v>
      </c>
      <c r="R241">
        <v>141.5</v>
      </c>
      <c r="S241">
        <v>149.19999999999999</v>
      </c>
      <c r="T241">
        <v>153.9</v>
      </c>
      <c r="U241">
        <v>146.19999999999999</v>
      </c>
      <c r="V241">
        <v>151.19999999999999</v>
      </c>
      <c r="W241">
        <v>142.30000000000001</v>
      </c>
      <c r="X241">
        <v>130.9</v>
      </c>
      <c r="Y241">
        <v>142.80000000000001</v>
      </c>
      <c r="Z241">
        <v>169.2</v>
      </c>
      <c r="AA241">
        <v>144.6</v>
      </c>
      <c r="AB241">
        <v>156.1</v>
      </c>
      <c r="AC241">
        <v>143.4</v>
      </c>
      <c r="AD241">
        <v>150.19999999999999</v>
      </c>
      <c r="AE241">
        <f>SUM(Table1_1[[#This Row],[Cereals and products]:[Food and beverages]])</f>
        <v>1940.3999999999999</v>
      </c>
      <c r="AF241">
        <f>SUM(Table1_1[[#This Row],[Clothing and footwear]:[Clothing]])</f>
        <v>441.2</v>
      </c>
      <c r="AG241">
        <f>SUM(Table1_1[[#This Row],[Clothing]:[Education]])</f>
        <v>1778.3999999999999</v>
      </c>
      <c r="AH241">
        <f>SUM(Table1_1[[#This Row],[Health]:[Personal care and effects]])</f>
        <v>293.5</v>
      </c>
      <c r="AI241">
        <f>SUM(Table1_1[[#This Row],[Recreation and amusement]:[Miscellaneous]])</f>
        <v>756.1</v>
      </c>
      <c r="AJ241">
        <f>SUM(Table1_1[[#This Row],[Fuel and light]])</f>
        <v>144.6</v>
      </c>
      <c r="AK241">
        <f>SUM(Table1_1[[#This Row],[Food]:[Luxury &amp;Other Thing]])</f>
        <v>5209.6000000000004</v>
      </c>
      <c r="AL241">
        <f>SUM(Table1_1[[#This Row],[Food]:[Luxury &amp;Other Thing]])</f>
        <v>5209.6000000000004</v>
      </c>
    </row>
    <row r="242" spans="1:38" x14ac:dyDescent="0.25">
      <c r="A242" t="s">
        <v>30</v>
      </c>
      <c r="B242" t="s">
        <v>31</v>
      </c>
      <c r="C242">
        <v>2021</v>
      </c>
      <c r="D242">
        <v>143.4</v>
      </c>
      <c r="E242">
        <v>187.5</v>
      </c>
      <c r="F242">
        <v>173.4</v>
      </c>
      <c r="G242">
        <v>154</v>
      </c>
      <c r="H242">
        <v>154.80000000000001</v>
      </c>
      <c r="I242">
        <v>147</v>
      </c>
      <c r="J242">
        <v>187.8</v>
      </c>
      <c r="K242">
        <v>159.5</v>
      </c>
      <c r="L242">
        <v>113.8</v>
      </c>
      <c r="M242">
        <v>164.5</v>
      </c>
      <c r="N242">
        <v>156.1</v>
      </c>
      <c r="O242">
        <v>164.3</v>
      </c>
      <c r="P242">
        <v>159.6</v>
      </c>
      <c r="Q242">
        <v>157.5</v>
      </c>
      <c r="R242">
        <v>152.4</v>
      </c>
      <c r="S242">
        <v>156.80000000000001</v>
      </c>
      <c r="T242">
        <v>139.5</v>
      </c>
      <c r="U242">
        <v>153.9</v>
      </c>
      <c r="V242">
        <v>162.5</v>
      </c>
      <c r="W242">
        <v>156.19999999999999</v>
      </c>
      <c r="X242">
        <v>147.5</v>
      </c>
      <c r="Y242">
        <v>155.1</v>
      </c>
      <c r="Z242">
        <v>184.6</v>
      </c>
      <c r="AA242">
        <v>150.9</v>
      </c>
      <c r="AB242">
        <v>163.5</v>
      </c>
      <c r="AC242">
        <v>155.9</v>
      </c>
      <c r="AD242">
        <v>158.5</v>
      </c>
      <c r="AE242">
        <f>SUM(Table1_1[[#This Row],[Cereals and products]:[Food and beverages]])</f>
        <v>2065.6999999999998</v>
      </c>
      <c r="AF242">
        <f>SUM(Table1_1[[#This Row],[Clothing and footwear]:[Clothing]])</f>
        <v>466.7</v>
      </c>
      <c r="AG242">
        <f>SUM(Table1_1[[#This Row],[Clothing]:[Education]])</f>
        <v>1880.3999999999999</v>
      </c>
      <c r="AH242">
        <f>SUM(Table1_1[[#This Row],[Health]:[Personal care and effects]])</f>
        <v>318.7</v>
      </c>
      <c r="AI242">
        <f>SUM(Table1_1[[#This Row],[Recreation and amusement]:[Miscellaneous]])</f>
        <v>810</v>
      </c>
      <c r="AJ242">
        <f>SUM(Table1_1[[#This Row],[Fuel and light]])</f>
        <v>150.9</v>
      </c>
      <c r="AK242">
        <f>SUM(Table1_1[[#This Row],[Food]:[Luxury &amp;Other Thing]])</f>
        <v>5541.4999999999991</v>
      </c>
      <c r="AL242">
        <f>SUM(Table1_1[[#This Row],[Food]:[Luxury &amp;Other Thing]])</f>
        <v>5541.4999999999991</v>
      </c>
    </row>
    <row r="243" spans="1:38" x14ac:dyDescent="0.25">
      <c r="A243" t="s">
        <v>33</v>
      </c>
      <c r="B243" t="s">
        <v>31</v>
      </c>
      <c r="C243">
        <v>2021</v>
      </c>
      <c r="D243">
        <v>148</v>
      </c>
      <c r="E243">
        <v>194.8</v>
      </c>
      <c r="F243">
        <v>178.4</v>
      </c>
      <c r="G243">
        <v>154.4</v>
      </c>
      <c r="H243">
        <v>144.1</v>
      </c>
      <c r="I243">
        <v>152.6</v>
      </c>
      <c r="J243">
        <v>206.8</v>
      </c>
      <c r="K243">
        <v>162.1</v>
      </c>
      <c r="L243">
        <v>116.3</v>
      </c>
      <c r="M243">
        <v>163</v>
      </c>
      <c r="N243">
        <v>145.9</v>
      </c>
      <c r="O243">
        <v>167.2</v>
      </c>
      <c r="P243">
        <v>163.4</v>
      </c>
      <c r="Q243">
        <v>152.5</v>
      </c>
      <c r="R243">
        <v>137.30000000000001</v>
      </c>
      <c r="S243">
        <v>150.19999999999999</v>
      </c>
      <c r="T243">
        <v>157.69999999999999</v>
      </c>
      <c r="U243">
        <v>145.69999999999999</v>
      </c>
      <c r="V243">
        <v>154.1</v>
      </c>
      <c r="W243">
        <v>157.69999999999999</v>
      </c>
      <c r="X243">
        <v>136.9</v>
      </c>
      <c r="Y243">
        <v>145.4</v>
      </c>
      <c r="Z243">
        <v>191.8</v>
      </c>
      <c r="AA243">
        <v>142.9</v>
      </c>
      <c r="AB243">
        <v>156.1</v>
      </c>
      <c r="AC243">
        <v>147.6</v>
      </c>
      <c r="AD243">
        <v>156</v>
      </c>
      <c r="AE243">
        <f>SUM(Table1_1[[#This Row],[Cereals and products]:[Food and beverages]])</f>
        <v>2097</v>
      </c>
      <c r="AF243">
        <f>SUM(Table1_1[[#This Row],[Clothing and footwear]:[Clothing]])</f>
        <v>440</v>
      </c>
      <c r="AG243">
        <f>SUM(Table1_1[[#This Row],[Clothing]:[Education]])</f>
        <v>1828.3000000000002</v>
      </c>
      <c r="AH243">
        <f>SUM(Table1_1[[#This Row],[Health]:[Personal care and effects]])</f>
        <v>311.79999999999995</v>
      </c>
      <c r="AI243">
        <f>SUM(Table1_1[[#This Row],[Recreation and amusement]:[Miscellaneous]])</f>
        <v>783.80000000000007</v>
      </c>
      <c r="AJ243">
        <f>SUM(Table1_1[[#This Row],[Fuel and light]])</f>
        <v>142.9</v>
      </c>
      <c r="AK243">
        <f>SUM(Table1_1[[#This Row],[Food]:[Luxury &amp;Other Thing]])</f>
        <v>5460.9000000000005</v>
      </c>
      <c r="AL243">
        <f>SUM(Table1_1[[#This Row],[Food]:[Luxury &amp;Other Thing]])</f>
        <v>5460.9000000000005</v>
      </c>
    </row>
    <row r="244" spans="1:38" x14ac:dyDescent="0.25">
      <c r="A244" t="s">
        <v>34</v>
      </c>
      <c r="B244" t="s">
        <v>31</v>
      </c>
      <c r="C244">
        <v>2021</v>
      </c>
      <c r="D244">
        <v>144.9</v>
      </c>
      <c r="E244">
        <v>190.1</v>
      </c>
      <c r="F244">
        <v>175.3</v>
      </c>
      <c r="G244">
        <v>154.1</v>
      </c>
      <c r="H244">
        <v>150.9</v>
      </c>
      <c r="I244">
        <v>149.6</v>
      </c>
      <c r="J244">
        <v>194.2</v>
      </c>
      <c r="K244">
        <v>160.4</v>
      </c>
      <c r="L244">
        <v>114.6</v>
      </c>
      <c r="M244">
        <v>164</v>
      </c>
      <c r="N244">
        <v>151.80000000000001</v>
      </c>
      <c r="O244">
        <v>165.6</v>
      </c>
      <c r="P244">
        <v>161</v>
      </c>
      <c r="Q244">
        <v>155.5</v>
      </c>
      <c r="R244">
        <v>146.1</v>
      </c>
      <c r="S244">
        <v>154.19999999999999</v>
      </c>
      <c r="T244">
        <v>157.69999999999999</v>
      </c>
      <c r="U244">
        <v>150</v>
      </c>
      <c r="V244">
        <v>159.30000000000001</v>
      </c>
      <c r="W244">
        <v>156.80000000000001</v>
      </c>
      <c r="X244">
        <v>141.9</v>
      </c>
      <c r="Y244">
        <v>149.6</v>
      </c>
      <c r="Z244">
        <v>186.5</v>
      </c>
      <c r="AA244">
        <v>147.9</v>
      </c>
      <c r="AB244">
        <v>159.19999999999999</v>
      </c>
      <c r="AC244">
        <v>151.9</v>
      </c>
      <c r="AD244">
        <v>157.30000000000001</v>
      </c>
      <c r="AE244">
        <f>SUM(Table1_1[[#This Row],[Cereals and products]:[Food and beverages]])</f>
        <v>2076.5</v>
      </c>
      <c r="AF244">
        <f>SUM(Table1_1[[#This Row],[Clothing and footwear]:[Clothing]])</f>
        <v>455.8</v>
      </c>
      <c r="AG244">
        <f>SUM(Table1_1[[#This Row],[Clothing]:[Education]])</f>
        <v>1864.7</v>
      </c>
      <c r="AH244">
        <f>SUM(Table1_1[[#This Row],[Health]:[Personal care and effects]])</f>
        <v>316.10000000000002</v>
      </c>
      <c r="AI244">
        <f>SUM(Table1_1[[#This Row],[Recreation and amusement]:[Miscellaneous]])</f>
        <v>795.1</v>
      </c>
      <c r="AJ244">
        <f>SUM(Table1_1[[#This Row],[Fuel and light]])</f>
        <v>147.9</v>
      </c>
      <c r="AK244">
        <f>SUM(Table1_1[[#This Row],[Food]:[Luxury &amp;Other Thing]])</f>
        <v>5508.2000000000007</v>
      </c>
      <c r="AL244">
        <f>SUM(Table1_1[[#This Row],[Food]:[Luxury &amp;Other Thing]])</f>
        <v>5508.2000000000007</v>
      </c>
    </row>
    <row r="245" spans="1:38" x14ac:dyDescent="0.25">
      <c r="A245" t="s">
        <v>30</v>
      </c>
      <c r="B245" t="s">
        <v>31</v>
      </c>
      <c r="C245">
        <v>2022</v>
      </c>
      <c r="D245">
        <v>148.30000000000001</v>
      </c>
      <c r="E245">
        <v>196.9</v>
      </c>
      <c r="F245">
        <v>178</v>
      </c>
      <c r="G245">
        <v>160.5</v>
      </c>
      <c r="H245">
        <v>192.6</v>
      </c>
      <c r="I245">
        <v>151.19999999999999</v>
      </c>
      <c r="J245">
        <v>159.19999999999999</v>
      </c>
      <c r="K245">
        <v>164</v>
      </c>
      <c r="L245">
        <v>119.3</v>
      </c>
      <c r="M245">
        <v>173.3</v>
      </c>
      <c r="N245">
        <v>169.8</v>
      </c>
      <c r="O245">
        <v>175.8</v>
      </c>
      <c r="P245">
        <v>164.1</v>
      </c>
      <c r="Q245">
        <v>173.2</v>
      </c>
      <c r="R245">
        <v>169.3</v>
      </c>
      <c r="S245">
        <v>172.7</v>
      </c>
      <c r="T245">
        <v>139.5</v>
      </c>
      <c r="U245">
        <v>164.9</v>
      </c>
      <c r="V245">
        <v>174.7</v>
      </c>
      <c r="W245">
        <v>163.19999999999999</v>
      </c>
      <c r="X245">
        <v>160.80000000000001</v>
      </c>
      <c r="Y245">
        <v>164.9</v>
      </c>
      <c r="Z245">
        <v>190.7</v>
      </c>
      <c r="AA245">
        <v>165.8</v>
      </c>
      <c r="AB245">
        <v>169.9</v>
      </c>
      <c r="AC245">
        <v>166.6</v>
      </c>
      <c r="AD245">
        <v>166.4</v>
      </c>
      <c r="AE245">
        <f>SUM(Table1_1[[#This Row],[Cereals and products]:[Food and beverages]])</f>
        <v>2153</v>
      </c>
      <c r="AF245">
        <f>SUM(Table1_1[[#This Row],[Clothing and footwear]:[Clothing]])</f>
        <v>515.20000000000005</v>
      </c>
      <c r="AG245">
        <f>SUM(Table1_1[[#This Row],[Clothing]:[Education]])</f>
        <v>2009.6000000000001</v>
      </c>
      <c r="AH245">
        <f>SUM(Table1_1[[#This Row],[Health]:[Personal care and effects]])</f>
        <v>337.9</v>
      </c>
      <c r="AI245">
        <f>SUM(Table1_1[[#This Row],[Recreation and amusement]:[Miscellaneous]])</f>
        <v>857.90000000000009</v>
      </c>
      <c r="AJ245">
        <f>SUM(Table1_1[[#This Row],[Fuel and light]])</f>
        <v>165.8</v>
      </c>
      <c r="AK245">
        <f>SUM(Table1_1[[#This Row],[Food]:[Luxury &amp;Other Thing]])</f>
        <v>5873.6</v>
      </c>
      <c r="AL245">
        <f>SUM(Table1_1[[#This Row],[Food]:[Luxury &amp;Other Thing]])</f>
        <v>5873.6</v>
      </c>
    </row>
    <row r="246" spans="1:38" x14ac:dyDescent="0.25">
      <c r="A246" t="s">
        <v>33</v>
      </c>
      <c r="B246" t="s">
        <v>31</v>
      </c>
      <c r="C246">
        <v>2022</v>
      </c>
      <c r="D246">
        <v>152.19999999999999</v>
      </c>
      <c r="E246">
        <v>202.1</v>
      </c>
      <c r="F246">
        <v>180.1</v>
      </c>
      <c r="G246">
        <v>160.4</v>
      </c>
      <c r="H246">
        <v>171</v>
      </c>
      <c r="I246">
        <v>156.5</v>
      </c>
      <c r="J246">
        <v>203.6</v>
      </c>
      <c r="K246">
        <v>163.80000000000001</v>
      </c>
      <c r="L246">
        <v>121.3</v>
      </c>
      <c r="M246">
        <v>169.8</v>
      </c>
      <c r="N246">
        <v>156.6</v>
      </c>
      <c r="O246">
        <v>179</v>
      </c>
      <c r="P246">
        <v>170.3</v>
      </c>
      <c r="Q246">
        <v>164.7</v>
      </c>
      <c r="R246">
        <v>148.5</v>
      </c>
      <c r="S246">
        <v>162.19999999999999</v>
      </c>
      <c r="T246">
        <v>164.5</v>
      </c>
      <c r="U246">
        <v>156.80000000000001</v>
      </c>
      <c r="V246">
        <v>166.1</v>
      </c>
      <c r="W246">
        <v>162.80000000000001</v>
      </c>
      <c r="X246">
        <v>152.69999999999999</v>
      </c>
      <c r="Y246">
        <v>158.4</v>
      </c>
      <c r="Z246">
        <v>196.4</v>
      </c>
      <c r="AA246">
        <v>161.6</v>
      </c>
      <c r="AB246">
        <v>161</v>
      </c>
      <c r="AC246">
        <v>158.6</v>
      </c>
      <c r="AD246">
        <v>165</v>
      </c>
      <c r="AE246">
        <f>SUM(Table1_1[[#This Row],[Cereals and products]:[Food and beverages]])</f>
        <v>2186.6999999999998</v>
      </c>
      <c r="AF246">
        <f>SUM(Table1_1[[#This Row],[Clothing and footwear]:[Clothing]])</f>
        <v>475.4</v>
      </c>
      <c r="AG246">
        <f>SUM(Table1_1[[#This Row],[Clothing]:[Education]])</f>
        <v>1955.7000000000003</v>
      </c>
      <c r="AH246">
        <f>SUM(Table1_1[[#This Row],[Health]:[Personal care and effects]])</f>
        <v>328.9</v>
      </c>
      <c r="AI246">
        <f>SUM(Table1_1[[#This Row],[Recreation and amusement]:[Miscellaneous]])</f>
        <v>836</v>
      </c>
      <c r="AJ246">
        <f>SUM(Table1_1[[#This Row],[Fuel and light]])</f>
        <v>161.6</v>
      </c>
      <c r="AK246">
        <f>SUM(Table1_1[[#This Row],[Food]:[Luxury &amp;Other Thing]])</f>
        <v>5782.7</v>
      </c>
      <c r="AL246">
        <f>SUM(Table1_1[[#This Row],[Food]:[Luxury &amp;Other Thing]])</f>
        <v>5782.7</v>
      </c>
    </row>
    <row r="247" spans="1:38" x14ac:dyDescent="0.25">
      <c r="A247" t="s">
        <v>34</v>
      </c>
      <c r="B247" t="s">
        <v>31</v>
      </c>
      <c r="C247">
        <v>2022</v>
      </c>
      <c r="D247">
        <v>149.5</v>
      </c>
      <c r="E247">
        <v>198.7</v>
      </c>
      <c r="F247">
        <v>178.8</v>
      </c>
      <c r="G247">
        <v>160.5</v>
      </c>
      <c r="H247">
        <v>184.7</v>
      </c>
      <c r="I247">
        <v>153.69999999999999</v>
      </c>
      <c r="J247">
        <v>174.3</v>
      </c>
      <c r="K247">
        <v>163.9</v>
      </c>
      <c r="L247">
        <v>120</v>
      </c>
      <c r="M247">
        <v>172.1</v>
      </c>
      <c r="N247">
        <v>164.3</v>
      </c>
      <c r="O247">
        <v>177.3</v>
      </c>
      <c r="P247">
        <v>166.4</v>
      </c>
      <c r="Q247">
        <v>169.9</v>
      </c>
      <c r="R247">
        <v>160.69999999999999</v>
      </c>
      <c r="S247">
        <v>168.5</v>
      </c>
      <c r="T247">
        <v>164.5</v>
      </c>
      <c r="U247">
        <v>161.1</v>
      </c>
      <c r="V247">
        <v>171.4</v>
      </c>
      <c r="W247">
        <v>163</v>
      </c>
      <c r="X247">
        <v>156.5</v>
      </c>
      <c r="Y247">
        <v>161.19999999999999</v>
      </c>
      <c r="Z247">
        <v>192.2</v>
      </c>
      <c r="AA247">
        <v>164.2</v>
      </c>
      <c r="AB247">
        <v>164.7</v>
      </c>
      <c r="AC247">
        <v>162.69999999999999</v>
      </c>
      <c r="AD247">
        <v>165.7</v>
      </c>
      <c r="AE247">
        <f>SUM(Table1_1[[#This Row],[Cereals and products]:[Food and beverages]])</f>
        <v>2164.1999999999998</v>
      </c>
      <c r="AF247">
        <f>SUM(Table1_1[[#This Row],[Clothing and footwear]:[Clothing]])</f>
        <v>499.1</v>
      </c>
      <c r="AG247">
        <f>SUM(Table1_1[[#This Row],[Clothing]:[Education]])</f>
        <v>1997.9</v>
      </c>
      <c r="AH247">
        <f>SUM(Table1_1[[#This Row],[Health]:[Personal care and effects]])</f>
        <v>334.4</v>
      </c>
      <c r="AI247">
        <f>SUM(Table1_1[[#This Row],[Recreation and amusement]:[Miscellaneous]])</f>
        <v>845</v>
      </c>
      <c r="AJ247">
        <f>SUM(Table1_1[[#This Row],[Fuel and light]])</f>
        <v>164.2</v>
      </c>
      <c r="AK247">
        <f>SUM(Table1_1[[#This Row],[Food]:[Luxury &amp;Other Thing]])</f>
        <v>5840.5999999999995</v>
      </c>
      <c r="AL247">
        <f>SUM(Table1_1[[#This Row],[Food]:[Luxury &amp;Other Thing]])</f>
        <v>5840.5999999999995</v>
      </c>
    </row>
    <row r="248" spans="1:38" x14ac:dyDescent="0.25">
      <c r="A248" t="s">
        <v>30</v>
      </c>
      <c r="B248" t="s">
        <v>31</v>
      </c>
      <c r="C248">
        <v>2023</v>
      </c>
      <c r="D248">
        <v>174</v>
      </c>
      <c r="E248">
        <v>208.3</v>
      </c>
      <c r="F248">
        <v>192.9</v>
      </c>
      <c r="G248">
        <v>174.3</v>
      </c>
      <c r="H248">
        <v>192.6</v>
      </c>
      <c r="I248">
        <v>156.30000000000001</v>
      </c>
      <c r="J248">
        <v>142.9</v>
      </c>
      <c r="K248">
        <v>170.7</v>
      </c>
      <c r="L248">
        <v>120.3</v>
      </c>
      <c r="M248">
        <v>210.5</v>
      </c>
      <c r="N248">
        <v>176.9</v>
      </c>
      <c r="O248">
        <v>188.5</v>
      </c>
      <c r="P248">
        <v>175</v>
      </c>
      <c r="Q248">
        <v>189</v>
      </c>
      <c r="R248">
        <v>186.3</v>
      </c>
      <c r="S248">
        <v>188.6</v>
      </c>
      <c r="T248">
        <v>139.5</v>
      </c>
      <c r="U248">
        <v>177.2</v>
      </c>
      <c r="V248">
        <v>184.7</v>
      </c>
      <c r="W248">
        <v>178.4</v>
      </c>
      <c r="X248">
        <v>168.2</v>
      </c>
      <c r="Y248">
        <v>171.8</v>
      </c>
      <c r="Z248">
        <v>196.9</v>
      </c>
      <c r="AA248">
        <v>183.2</v>
      </c>
      <c r="AB248">
        <v>177.8</v>
      </c>
      <c r="AC248">
        <v>176.5</v>
      </c>
      <c r="AD248">
        <v>177.8</v>
      </c>
      <c r="AE248">
        <f>SUM(Table1_1[[#This Row],[Cereals and products]:[Food and beverages]])</f>
        <v>2283.2000000000003</v>
      </c>
      <c r="AF248">
        <f>SUM(Table1_1[[#This Row],[Clothing and footwear]:[Clothing]])</f>
        <v>563.9</v>
      </c>
      <c r="AG248">
        <f>SUM(Table1_1[[#This Row],[Clothing]:[Education]])</f>
        <v>2141.6000000000004</v>
      </c>
      <c r="AH248">
        <f>SUM(Table1_1[[#This Row],[Health]:[Personal care and effects]])</f>
        <v>363.1</v>
      </c>
      <c r="AI248">
        <f>SUM(Table1_1[[#This Row],[Recreation and amusement]:[Miscellaneous]])</f>
        <v>906.2</v>
      </c>
      <c r="AJ248">
        <f>SUM(Table1_1[[#This Row],[Fuel and light]])</f>
        <v>183.2</v>
      </c>
      <c r="AK248">
        <f>SUM(Table1_1[[#This Row],[Food]:[Luxury &amp;Other Thing]])</f>
        <v>6258.0000000000009</v>
      </c>
      <c r="AL248">
        <f>SUM(Table1_1[[#This Row],[Food]:[Luxury &amp;Other Thing]])</f>
        <v>6258.0000000000009</v>
      </c>
    </row>
    <row r="249" spans="1:38" x14ac:dyDescent="0.25">
      <c r="A249" t="s">
        <v>33</v>
      </c>
      <c r="B249" t="s">
        <v>31</v>
      </c>
      <c r="C249">
        <v>2023</v>
      </c>
      <c r="D249">
        <v>173.3</v>
      </c>
      <c r="E249">
        <v>215.2</v>
      </c>
      <c r="F249">
        <v>197</v>
      </c>
      <c r="G249">
        <v>175.2</v>
      </c>
      <c r="H249">
        <v>178</v>
      </c>
      <c r="I249">
        <v>160.5</v>
      </c>
      <c r="J249">
        <v>175.3</v>
      </c>
      <c r="K249">
        <v>171.2</v>
      </c>
      <c r="L249">
        <v>122.7</v>
      </c>
      <c r="M249">
        <v>204.3</v>
      </c>
      <c r="N249">
        <v>163.69999999999999</v>
      </c>
      <c r="O249">
        <v>194.3</v>
      </c>
      <c r="P249">
        <v>179.5</v>
      </c>
      <c r="Q249">
        <v>178.7</v>
      </c>
      <c r="R249">
        <v>165.3</v>
      </c>
      <c r="S249">
        <v>176.6</v>
      </c>
      <c r="T249">
        <v>172.1</v>
      </c>
      <c r="U249">
        <v>168</v>
      </c>
      <c r="V249">
        <v>178.5</v>
      </c>
      <c r="W249">
        <v>178.8</v>
      </c>
      <c r="X249">
        <v>159.5</v>
      </c>
      <c r="Y249">
        <v>167.8</v>
      </c>
      <c r="Z249">
        <v>201.6</v>
      </c>
      <c r="AA249">
        <v>180.1</v>
      </c>
      <c r="AB249">
        <v>171.8</v>
      </c>
      <c r="AC249">
        <v>168.9</v>
      </c>
      <c r="AD249">
        <v>174.9</v>
      </c>
      <c r="AE249">
        <f>SUM(Table1_1[[#This Row],[Cereals and products]:[Food and beverages]])</f>
        <v>2310.2000000000003</v>
      </c>
      <c r="AF249">
        <f>SUM(Table1_1[[#This Row],[Clothing and footwear]:[Clothing]])</f>
        <v>520.6</v>
      </c>
      <c r="AG249">
        <f>SUM(Table1_1[[#This Row],[Clothing]:[Education]])</f>
        <v>2098.7999999999997</v>
      </c>
      <c r="AH249">
        <f>SUM(Table1_1[[#This Row],[Health]:[Personal care and effects]])</f>
        <v>357.3</v>
      </c>
      <c r="AI249">
        <f>SUM(Table1_1[[#This Row],[Recreation and amusement]:[Miscellaneous]])</f>
        <v>890.19999999999993</v>
      </c>
      <c r="AJ249">
        <f>SUM(Table1_1[[#This Row],[Fuel and light]])</f>
        <v>180.1</v>
      </c>
      <c r="AK249">
        <f>SUM(Table1_1[[#This Row],[Food]:[Luxury &amp;Other Thing]])</f>
        <v>6177.1</v>
      </c>
      <c r="AL249">
        <f>SUM(Table1_1[[#This Row],[Food]:[Luxury &amp;Other Thing]])</f>
        <v>6177.1</v>
      </c>
    </row>
    <row r="250" spans="1:38" x14ac:dyDescent="0.25">
      <c r="A250" t="s">
        <v>34</v>
      </c>
      <c r="B250" t="s">
        <v>31</v>
      </c>
      <c r="C250">
        <v>2023</v>
      </c>
      <c r="D250">
        <v>173.8</v>
      </c>
      <c r="E250">
        <v>210.7</v>
      </c>
      <c r="F250">
        <v>194.5</v>
      </c>
      <c r="G250">
        <v>174.6</v>
      </c>
      <c r="H250">
        <v>187.2</v>
      </c>
      <c r="I250">
        <v>158.30000000000001</v>
      </c>
      <c r="J250">
        <v>153.9</v>
      </c>
      <c r="K250">
        <v>170.9</v>
      </c>
      <c r="L250">
        <v>121.1</v>
      </c>
      <c r="M250">
        <v>208.4</v>
      </c>
      <c r="N250">
        <v>171.4</v>
      </c>
      <c r="O250">
        <v>191.2</v>
      </c>
      <c r="P250">
        <v>176.7</v>
      </c>
      <c r="Q250">
        <v>184.9</v>
      </c>
      <c r="R250">
        <v>177.6</v>
      </c>
      <c r="S250">
        <v>183.8</v>
      </c>
      <c r="T250">
        <v>172.1</v>
      </c>
      <c r="U250">
        <v>172.9</v>
      </c>
      <c r="V250">
        <v>182.3</v>
      </c>
      <c r="W250">
        <v>178.6</v>
      </c>
      <c r="X250">
        <v>163.6</v>
      </c>
      <c r="Y250">
        <v>169.5</v>
      </c>
      <c r="Z250">
        <v>198.2</v>
      </c>
      <c r="AA250">
        <v>182</v>
      </c>
      <c r="AB250">
        <v>174.3</v>
      </c>
      <c r="AC250">
        <v>172.8</v>
      </c>
      <c r="AD250">
        <v>176.5</v>
      </c>
      <c r="AE250">
        <f>SUM(Table1_1[[#This Row],[Cereals and products]:[Food and beverages]])</f>
        <v>2292.6999999999998</v>
      </c>
      <c r="AF250">
        <f>SUM(Table1_1[[#This Row],[Clothing and footwear]:[Clothing]])</f>
        <v>546.29999999999995</v>
      </c>
      <c r="AG250">
        <f>SUM(Table1_1[[#This Row],[Clothing]:[Education]])</f>
        <v>2139.7999999999997</v>
      </c>
      <c r="AH250">
        <f>SUM(Table1_1[[#This Row],[Health]:[Personal care and effects]])</f>
        <v>360.9</v>
      </c>
      <c r="AI250">
        <f>SUM(Table1_1[[#This Row],[Recreation and amusement]:[Miscellaneous]])</f>
        <v>896.8</v>
      </c>
      <c r="AJ250">
        <f>SUM(Table1_1[[#This Row],[Fuel and light]])</f>
        <v>182</v>
      </c>
      <c r="AK250">
        <f>SUM(Table1_1[[#This Row],[Food]:[Luxury &amp;Other Thing]])</f>
        <v>6236.4999999999991</v>
      </c>
      <c r="AL250">
        <f>SUM(Table1_1[[#This Row],[Food]:[Luxury &amp;Other Thing]])</f>
        <v>6236.4999999999991</v>
      </c>
    </row>
    <row r="251" spans="1:38" x14ac:dyDescent="0.25">
      <c r="A251" t="s">
        <v>30</v>
      </c>
      <c r="B251" t="s">
        <v>35</v>
      </c>
      <c r="C251">
        <v>2013</v>
      </c>
      <c r="D251">
        <v>109.2</v>
      </c>
      <c r="E251">
        <v>108.7</v>
      </c>
      <c r="F251">
        <v>110.2</v>
      </c>
      <c r="G251">
        <v>105.4</v>
      </c>
      <c r="H251">
        <v>106.7</v>
      </c>
      <c r="I251">
        <v>104</v>
      </c>
      <c r="J251">
        <v>102.4</v>
      </c>
      <c r="K251">
        <v>105.9</v>
      </c>
      <c r="L251">
        <v>105.7</v>
      </c>
      <c r="M251">
        <v>103.1</v>
      </c>
      <c r="N251">
        <v>105.1</v>
      </c>
      <c r="O251">
        <v>107.7</v>
      </c>
      <c r="P251">
        <v>106.3</v>
      </c>
      <c r="Q251">
        <v>107.1</v>
      </c>
      <c r="R251">
        <v>106.3</v>
      </c>
      <c r="S251">
        <v>107</v>
      </c>
      <c r="T251">
        <v>139.5</v>
      </c>
      <c r="U251">
        <v>105.2</v>
      </c>
      <c r="V251">
        <v>104.4</v>
      </c>
      <c r="W251">
        <v>104.6</v>
      </c>
      <c r="X251">
        <v>103.9</v>
      </c>
      <c r="Y251">
        <v>104</v>
      </c>
      <c r="Z251">
        <v>105.6</v>
      </c>
      <c r="AA251">
        <v>106.2</v>
      </c>
      <c r="AB251">
        <v>104.1</v>
      </c>
      <c r="AC251">
        <v>104.4</v>
      </c>
      <c r="AD251">
        <v>105.8</v>
      </c>
      <c r="AE251">
        <f>SUM(Table1_1[[#This Row],[Cereals and products]:[Food and beverages]])</f>
        <v>1380.3999999999999</v>
      </c>
      <c r="AF251">
        <f>SUM(Table1_1[[#This Row],[Clothing and footwear]:[Clothing]])</f>
        <v>320.39999999999998</v>
      </c>
      <c r="AG251">
        <f>SUM(Table1_1[[#This Row],[Clothing]:[Education]])</f>
        <v>1297.8999999999999</v>
      </c>
      <c r="AH251">
        <f>SUM(Table1_1[[#This Row],[Health]:[Personal care and effects]])</f>
        <v>209</v>
      </c>
      <c r="AI251">
        <f>SUM(Table1_1[[#This Row],[Recreation and amusement]:[Miscellaneous]])</f>
        <v>524.29999999999995</v>
      </c>
      <c r="AJ251">
        <f>SUM(Table1_1[[#This Row],[Fuel and light]])</f>
        <v>106.2</v>
      </c>
      <c r="AK251">
        <f>SUM(Table1_1[[#This Row],[Food]:[Luxury &amp;Other Thing]])</f>
        <v>3732</v>
      </c>
      <c r="AL251">
        <f>SUM(Table1_1[[#This Row],[Food]:[Luxury &amp;Other Thing]])</f>
        <v>3732</v>
      </c>
    </row>
    <row r="252" spans="1:38" x14ac:dyDescent="0.25">
      <c r="A252" t="s">
        <v>33</v>
      </c>
      <c r="B252" t="s">
        <v>35</v>
      </c>
      <c r="C252">
        <v>2013</v>
      </c>
      <c r="D252">
        <v>112.9</v>
      </c>
      <c r="E252">
        <v>112.9</v>
      </c>
      <c r="F252">
        <v>116.9</v>
      </c>
      <c r="G252">
        <v>104</v>
      </c>
      <c r="H252">
        <v>103.5</v>
      </c>
      <c r="I252">
        <v>103.1</v>
      </c>
      <c r="J252">
        <v>104.9</v>
      </c>
      <c r="K252">
        <v>104.1</v>
      </c>
      <c r="L252">
        <v>103.8</v>
      </c>
      <c r="M252">
        <v>102.3</v>
      </c>
      <c r="N252">
        <v>106</v>
      </c>
      <c r="O252">
        <v>109</v>
      </c>
      <c r="P252">
        <v>107.2</v>
      </c>
      <c r="Q252">
        <v>106.6</v>
      </c>
      <c r="R252">
        <v>105.5</v>
      </c>
      <c r="S252">
        <v>106.4</v>
      </c>
      <c r="T252">
        <v>100.4</v>
      </c>
      <c r="U252">
        <v>105.2</v>
      </c>
      <c r="V252">
        <v>104.7</v>
      </c>
      <c r="W252">
        <v>104.3</v>
      </c>
      <c r="X252">
        <v>104.4</v>
      </c>
      <c r="Y252">
        <v>103.3</v>
      </c>
      <c r="Z252">
        <v>106</v>
      </c>
      <c r="AA252">
        <v>105.7</v>
      </c>
      <c r="AB252">
        <v>103.7</v>
      </c>
      <c r="AC252">
        <v>104.3</v>
      </c>
      <c r="AD252">
        <v>104.7</v>
      </c>
      <c r="AE252">
        <f>SUM(Table1_1[[#This Row],[Cereals and products]:[Food and beverages]])</f>
        <v>1390.6000000000001</v>
      </c>
      <c r="AF252">
        <f>SUM(Table1_1[[#This Row],[Clothing and footwear]:[Clothing]])</f>
        <v>318.5</v>
      </c>
      <c r="AG252">
        <f>SUM(Table1_1[[#This Row],[Clothing]:[Education]])</f>
        <v>1256.2</v>
      </c>
      <c r="AH252">
        <f>SUM(Table1_1[[#This Row],[Health]:[Personal care and effects]])</f>
        <v>209</v>
      </c>
      <c r="AI252">
        <f>SUM(Table1_1[[#This Row],[Recreation and amusement]:[Miscellaneous]])</f>
        <v>523</v>
      </c>
      <c r="AJ252">
        <f>SUM(Table1_1[[#This Row],[Fuel and light]])</f>
        <v>105.7</v>
      </c>
      <c r="AK252">
        <f>SUM(Table1_1[[#This Row],[Food]:[Luxury &amp;Other Thing]])</f>
        <v>3697.3</v>
      </c>
      <c r="AL252">
        <f>SUM(Table1_1[[#This Row],[Food]:[Luxury &amp;Other Thing]])</f>
        <v>3697.3</v>
      </c>
    </row>
    <row r="253" spans="1:38" x14ac:dyDescent="0.25">
      <c r="A253" t="s">
        <v>34</v>
      </c>
      <c r="B253" t="s">
        <v>35</v>
      </c>
      <c r="C253">
        <v>2013</v>
      </c>
      <c r="D253">
        <v>110.4</v>
      </c>
      <c r="E253">
        <v>110.2</v>
      </c>
      <c r="F253">
        <v>112.8</v>
      </c>
      <c r="G253">
        <v>104.9</v>
      </c>
      <c r="H253">
        <v>105.5</v>
      </c>
      <c r="I253">
        <v>103.6</v>
      </c>
      <c r="J253">
        <v>103.2</v>
      </c>
      <c r="K253">
        <v>105.3</v>
      </c>
      <c r="L253">
        <v>105.1</v>
      </c>
      <c r="M253">
        <v>102.8</v>
      </c>
      <c r="N253">
        <v>105.5</v>
      </c>
      <c r="O253">
        <v>108.3</v>
      </c>
      <c r="P253">
        <v>106.6</v>
      </c>
      <c r="Q253">
        <v>106.9</v>
      </c>
      <c r="R253">
        <v>106</v>
      </c>
      <c r="S253">
        <v>106.8</v>
      </c>
      <c r="T253">
        <v>100.4</v>
      </c>
      <c r="U253">
        <v>105.2</v>
      </c>
      <c r="V253">
        <v>104.5</v>
      </c>
      <c r="W253">
        <v>104.5</v>
      </c>
      <c r="X253">
        <v>104.2</v>
      </c>
      <c r="Y253">
        <v>103.6</v>
      </c>
      <c r="Z253">
        <v>105.7</v>
      </c>
      <c r="AA253">
        <v>106</v>
      </c>
      <c r="AB253">
        <v>103.9</v>
      </c>
      <c r="AC253">
        <v>104.4</v>
      </c>
      <c r="AD253">
        <v>105.3</v>
      </c>
      <c r="AE253">
        <f>SUM(Table1_1[[#This Row],[Cereals and products]:[Food and beverages]])</f>
        <v>1384.2</v>
      </c>
      <c r="AF253">
        <f>SUM(Table1_1[[#This Row],[Clothing and footwear]:[Clothing]])</f>
        <v>319.7</v>
      </c>
      <c r="AG253">
        <f>SUM(Table1_1[[#This Row],[Clothing]:[Education]])</f>
        <v>1257.7000000000003</v>
      </c>
      <c r="AH253">
        <f>SUM(Table1_1[[#This Row],[Health]:[Personal care and effects]])</f>
        <v>209</v>
      </c>
      <c r="AI253">
        <f>SUM(Table1_1[[#This Row],[Recreation and amusement]:[Miscellaneous]])</f>
        <v>523.6</v>
      </c>
      <c r="AJ253">
        <f>SUM(Table1_1[[#This Row],[Fuel and light]])</f>
        <v>106</v>
      </c>
      <c r="AK253">
        <f>SUM(Table1_1[[#This Row],[Food]:[Luxury &amp;Other Thing]])</f>
        <v>3694.2000000000003</v>
      </c>
      <c r="AL253">
        <f>SUM(Table1_1[[#This Row],[Food]:[Luxury &amp;Other Thing]])</f>
        <v>3694.2000000000003</v>
      </c>
    </row>
    <row r="254" spans="1:38" x14ac:dyDescent="0.25">
      <c r="A254" t="s">
        <v>30</v>
      </c>
      <c r="B254" t="s">
        <v>35</v>
      </c>
      <c r="C254">
        <v>2014</v>
      </c>
      <c r="D254">
        <v>119.4</v>
      </c>
      <c r="E254">
        <v>117.7</v>
      </c>
      <c r="F254">
        <v>121.2</v>
      </c>
      <c r="G254">
        <v>115</v>
      </c>
      <c r="H254">
        <v>109</v>
      </c>
      <c r="I254">
        <v>116.6</v>
      </c>
      <c r="J254">
        <v>116</v>
      </c>
      <c r="K254">
        <v>109.8</v>
      </c>
      <c r="L254">
        <v>101.1</v>
      </c>
      <c r="M254">
        <v>110.4</v>
      </c>
      <c r="N254">
        <v>112.9</v>
      </c>
      <c r="O254">
        <v>117.8</v>
      </c>
      <c r="P254">
        <v>115.3</v>
      </c>
      <c r="Q254">
        <v>117.1</v>
      </c>
      <c r="R254">
        <v>114.5</v>
      </c>
      <c r="S254">
        <v>116.7</v>
      </c>
      <c r="T254">
        <v>139.5</v>
      </c>
      <c r="U254">
        <v>112.9</v>
      </c>
      <c r="V254">
        <v>110.9</v>
      </c>
      <c r="W254">
        <v>108.7</v>
      </c>
      <c r="X254">
        <v>110.8</v>
      </c>
      <c r="Y254">
        <v>109.9</v>
      </c>
      <c r="Z254">
        <v>114.2</v>
      </c>
      <c r="AA254">
        <v>113.2</v>
      </c>
      <c r="AB254">
        <v>112</v>
      </c>
      <c r="AC254">
        <v>110.9</v>
      </c>
      <c r="AD254">
        <v>114</v>
      </c>
      <c r="AE254">
        <f>SUM(Table1_1[[#This Row],[Cereals and products]:[Food and beverages]])</f>
        <v>1482.2</v>
      </c>
      <c r="AF254">
        <f>SUM(Table1_1[[#This Row],[Clothing and footwear]:[Clothing]])</f>
        <v>348.3</v>
      </c>
      <c r="AG254">
        <f>SUM(Table1_1[[#This Row],[Clothing]:[Education]])</f>
        <v>1380.4</v>
      </c>
      <c r="AH254">
        <f>SUM(Table1_1[[#This Row],[Health]:[Personal care and effects]])</f>
        <v>219.60000000000002</v>
      </c>
      <c r="AI254">
        <f>SUM(Table1_1[[#This Row],[Recreation and amusement]:[Miscellaneous]])</f>
        <v>560.20000000000005</v>
      </c>
      <c r="AJ254">
        <f>SUM(Table1_1[[#This Row],[Fuel and light]])</f>
        <v>113.2</v>
      </c>
      <c r="AK254">
        <f>SUM(Table1_1[[#This Row],[Food]:[Luxury &amp;Other Thing]])</f>
        <v>3990.7</v>
      </c>
      <c r="AL254">
        <f>SUM(Table1_1[[#This Row],[Food]:[Luxury &amp;Other Thing]])</f>
        <v>3990.7</v>
      </c>
    </row>
    <row r="255" spans="1:38" x14ac:dyDescent="0.25">
      <c r="A255" t="s">
        <v>33</v>
      </c>
      <c r="B255" t="s">
        <v>35</v>
      </c>
      <c r="C255">
        <v>2014</v>
      </c>
      <c r="D255">
        <v>121.9</v>
      </c>
      <c r="E255">
        <v>122</v>
      </c>
      <c r="F255">
        <v>124.5</v>
      </c>
      <c r="G255">
        <v>115.2</v>
      </c>
      <c r="H255">
        <v>102.5</v>
      </c>
      <c r="I255">
        <v>114.1</v>
      </c>
      <c r="J255">
        <v>111.5</v>
      </c>
      <c r="K255">
        <v>108.2</v>
      </c>
      <c r="L255">
        <v>95.4</v>
      </c>
      <c r="M255">
        <v>113.5</v>
      </c>
      <c r="N255">
        <v>112.1</v>
      </c>
      <c r="O255">
        <v>119.9</v>
      </c>
      <c r="P255">
        <v>115.2</v>
      </c>
      <c r="Q255">
        <v>115.3</v>
      </c>
      <c r="R255">
        <v>111.7</v>
      </c>
      <c r="S255">
        <v>114.7</v>
      </c>
      <c r="T255">
        <v>112.5</v>
      </c>
      <c r="U255">
        <v>112.6</v>
      </c>
      <c r="V255">
        <v>110.4</v>
      </c>
      <c r="W255">
        <v>108.7</v>
      </c>
      <c r="X255">
        <v>111.3</v>
      </c>
      <c r="Y255">
        <v>110.3</v>
      </c>
      <c r="Z255">
        <v>116.2</v>
      </c>
      <c r="AA255">
        <v>111.1</v>
      </c>
      <c r="AB255">
        <v>111.6</v>
      </c>
      <c r="AC255">
        <v>111</v>
      </c>
      <c r="AD255">
        <v>113.1</v>
      </c>
      <c r="AE255">
        <f>SUM(Table1_1[[#This Row],[Cereals and products]:[Food and beverages]])</f>
        <v>1476</v>
      </c>
      <c r="AF255">
        <f>SUM(Table1_1[[#This Row],[Clothing and footwear]:[Clothing]])</f>
        <v>341.7</v>
      </c>
      <c r="AG255">
        <f>SUM(Table1_1[[#This Row],[Clothing]:[Education]])</f>
        <v>1346.3999999999996</v>
      </c>
      <c r="AH255">
        <f>SUM(Table1_1[[#This Row],[Health]:[Personal care and effects]])</f>
        <v>219.10000000000002</v>
      </c>
      <c r="AI255">
        <f>SUM(Table1_1[[#This Row],[Recreation and amusement]:[Miscellaneous]])</f>
        <v>560.20000000000005</v>
      </c>
      <c r="AJ255">
        <f>SUM(Table1_1[[#This Row],[Fuel and light]])</f>
        <v>111.1</v>
      </c>
      <c r="AK255">
        <f>SUM(Table1_1[[#This Row],[Food]:[Luxury &amp;Other Thing]])</f>
        <v>3943.3999999999996</v>
      </c>
      <c r="AL255">
        <f>SUM(Table1_1[[#This Row],[Food]:[Luxury &amp;Other Thing]])</f>
        <v>3943.3999999999996</v>
      </c>
    </row>
    <row r="256" spans="1:38" x14ac:dyDescent="0.25">
      <c r="A256" t="s">
        <v>34</v>
      </c>
      <c r="B256" t="s">
        <v>35</v>
      </c>
      <c r="C256">
        <v>2014</v>
      </c>
      <c r="D256">
        <v>120.2</v>
      </c>
      <c r="E256">
        <v>119.2</v>
      </c>
      <c r="F256">
        <v>122.5</v>
      </c>
      <c r="G256">
        <v>115.1</v>
      </c>
      <c r="H256">
        <v>106.6</v>
      </c>
      <c r="I256">
        <v>115.4</v>
      </c>
      <c r="J256">
        <v>114.5</v>
      </c>
      <c r="K256">
        <v>109.3</v>
      </c>
      <c r="L256">
        <v>99.2</v>
      </c>
      <c r="M256">
        <v>111.4</v>
      </c>
      <c r="N256">
        <v>112.6</v>
      </c>
      <c r="O256">
        <v>118.8</v>
      </c>
      <c r="P256">
        <v>115.3</v>
      </c>
      <c r="Q256">
        <v>116.4</v>
      </c>
      <c r="R256">
        <v>113.3</v>
      </c>
      <c r="S256">
        <v>115.9</v>
      </c>
      <c r="T256">
        <v>112.5</v>
      </c>
      <c r="U256">
        <v>112.8</v>
      </c>
      <c r="V256">
        <v>110.7</v>
      </c>
      <c r="W256">
        <v>108.7</v>
      </c>
      <c r="X256">
        <v>111.1</v>
      </c>
      <c r="Y256">
        <v>110.1</v>
      </c>
      <c r="Z256">
        <v>114.7</v>
      </c>
      <c r="AA256">
        <v>112.4</v>
      </c>
      <c r="AB256">
        <v>111.8</v>
      </c>
      <c r="AC256">
        <v>110.9</v>
      </c>
      <c r="AD256">
        <v>113.6</v>
      </c>
      <c r="AE256">
        <f>SUM(Table1_1[[#This Row],[Cereals and products]:[Food and beverages]])</f>
        <v>1480.1</v>
      </c>
      <c r="AF256">
        <f>SUM(Table1_1[[#This Row],[Clothing and footwear]:[Clothing]])</f>
        <v>345.6</v>
      </c>
      <c r="AG256">
        <f>SUM(Table1_1[[#This Row],[Clothing]:[Education]])</f>
        <v>1350.4</v>
      </c>
      <c r="AH256">
        <f>SUM(Table1_1[[#This Row],[Health]:[Personal care and effects]])</f>
        <v>219.4</v>
      </c>
      <c r="AI256">
        <f>SUM(Table1_1[[#This Row],[Recreation and amusement]:[Miscellaneous]])</f>
        <v>559.90000000000009</v>
      </c>
      <c r="AJ256">
        <f>SUM(Table1_1[[#This Row],[Fuel and light]])</f>
        <v>112.4</v>
      </c>
      <c r="AK256">
        <f>SUM(Table1_1[[#This Row],[Food]:[Luxury &amp;Other Thing]])</f>
        <v>3955.4</v>
      </c>
      <c r="AL256">
        <f>SUM(Table1_1[[#This Row],[Food]:[Luxury &amp;Other Thing]])</f>
        <v>3955.4</v>
      </c>
    </row>
    <row r="257" spans="1:38" x14ac:dyDescent="0.25">
      <c r="A257" t="s">
        <v>30</v>
      </c>
      <c r="B257" t="s">
        <v>35</v>
      </c>
      <c r="C257">
        <v>2015</v>
      </c>
      <c r="D257">
        <v>123.4</v>
      </c>
      <c r="E257">
        <v>124.4</v>
      </c>
      <c r="F257">
        <v>122.1</v>
      </c>
      <c r="G257">
        <v>125.8</v>
      </c>
      <c r="H257">
        <v>111.5</v>
      </c>
      <c r="I257">
        <v>129.4</v>
      </c>
      <c r="J257">
        <v>128.19999999999999</v>
      </c>
      <c r="K257">
        <v>118.8</v>
      </c>
      <c r="L257">
        <v>100</v>
      </c>
      <c r="M257">
        <v>118.6</v>
      </c>
      <c r="N257">
        <v>118.8</v>
      </c>
      <c r="O257">
        <v>126.8</v>
      </c>
      <c r="P257">
        <v>122.8</v>
      </c>
      <c r="Q257">
        <v>125.4</v>
      </c>
      <c r="R257">
        <v>122.7</v>
      </c>
      <c r="S257">
        <v>125</v>
      </c>
      <c r="T257">
        <v>139.5</v>
      </c>
      <c r="U257">
        <v>119.6</v>
      </c>
      <c r="V257">
        <v>117.7</v>
      </c>
      <c r="W257">
        <v>110.8</v>
      </c>
      <c r="X257">
        <v>110.9</v>
      </c>
      <c r="Y257">
        <v>114.8</v>
      </c>
      <c r="Z257">
        <v>124.2</v>
      </c>
      <c r="AA257">
        <v>120</v>
      </c>
      <c r="AB257">
        <v>118.7</v>
      </c>
      <c r="AC257">
        <v>115</v>
      </c>
      <c r="AD257">
        <v>120.6</v>
      </c>
      <c r="AE257">
        <f>SUM(Table1_1[[#This Row],[Cereals and products]:[Food and beverages]])</f>
        <v>1570.5999999999997</v>
      </c>
      <c r="AF257">
        <f>SUM(Table1_1[[#This Row],[Clothing and footwear]:[Clothing]])</f>
        <v>373.1</v>
      </c>
      <c r="AG257">
        <f>SUM(Table1_1[[#This Row],[Clothing]:[Education]])</f>
        <v>1449.3000000000002</v>
      </c>
      <c r="AH257">
        <f>SUM(Table1_1[[#This Row],[Health]:[Personal care and effects]])</f>
        <v>228.5</v>
      </c>
      <c r="AI257">
        <f>SUM(Table1_1[[#This Row],[Recreation and amusement]:[Miscellaneous]])</f>
        <v>592.70000000000005</v>
      </c>
      <c r="AJ257">
        <f>SUM(Table1_1[[#This Row],[Fuel and light]])</f>
        <v>120</v>
      </c>
      <c r="AK257">
        <f>SUM(Table1_1[[#This Row],[Food]:[Luxury &amp;Other Thing]])</f>
        <v>4214.2</v>
      </c>
      <c r="AL257">
        <f>SUM(Table1_1[[#This Row],[Food]:[Luxury &amp;Other Thing]])</f>
        <v>4214.2</v>
      </c>
    </row>
    <row r="258" spans="1:38" x14ac:dyDescent="0.25">
      <c r="A258" t="s">
        <v>33</v>
      </c>
      <c r="B258" t="s">
        <v>35</v>
      </c>
      <c r="C258">
        <v>2015</v>
      </c>
      <c r="D258">
        <v>124.3</v>
      </c>
      <c r="E258">
        <v>126.5</v>
      </c>
      <c r="F258">
        <v>119.5</v>
      </c>
      <c r="G258">
        <v>125.6</v>
      </c>
      <c r="H258">
        <v>104.9</v>
      </c>
      <c r="I258">
        <v>121.6</v>
      </c>
      <c r="J258">
        <v>131.80000000000001</v>
      </c>
      <c r="K258">
        <v>125.1</v>
      </c>
      <c r="L258">
        <v>95</v>
      </c>
      <c r="M258">
        <v>127.7</v>
      </c>
      <c r="N258">
        <v>116.8</v>
      </c>
      <c r="O258">
        <v>128.6</v>
      </c>
      <c r="P258">
        <v>123.7</v>
      </c>
      <c r="Q258">
        <v>121.3</v>
      </c>
      <c r="R258">
        <v>116.5</v>
      </c>
      <c r="S258">
        <v>120.6</v>
      </c>
      <c r="T258">
        <v>118.1</v>
      </c>
      <c r="U258">
        <v>117.7</v>
      </c>
      <c r="V258">
        <v>114.1</v>
      </c>
      <c r="W258">
        <v>111.7</v>
      </c>
      <c r="X258">
        <v>106.8</v>
      </c>
      <c r="Y258">
        <v>114.9</v>
      </c>
      <c r="Z258">
        <v>128.1</v>
      </c>
      <c r="AA258">
        <v>114</v>
      </c>
      <c r="AB258">
        <v>120.4</v>
      </c>
      <c r="AC258">
        <v>113.2</v>
      </c>
      <c r="AD258">
        <v>118.7</v>
      </c>
      <c r="AE258">
        <f>SUM(Table1_1[[#This Row],[Cereals and products]:[Food and beverages]])</f>
        <v>1571.1000000000001</v>
      </c>
      <c r="AF258">
        <f>SUM(Table1_1[[#This Row],[Clothing and footwear]:[Clothing]])</f>
        <v>358.4</v>
      </c>
      <c r="AG258">
        <f>SUM(Table1_1[[#This Row],[Clothing]:[Education]])</f>
        <v>1404.2</v>
      </c>
      <c r="AH258">
        <f>SUM(Table1_1[[#This Row],[Health]:[Personal care and effects]])</f>
        <v>225.8</v>
      </c>
      <c r="AI258">
        <f>SUM(Table1_1[[#This Row],[Recreation and amusement]:[Miscellaneous]])</f>
        <v>590.6</v>
      </c>
      <c r="AJ258">
        <f>SUM(Table1_1[[#This Row],[Fuel and light]])</f>
        <v>114</v>
      </c>
      <c r="AK258">
        <f>SUM(Table1_1[[#This Row],[Food]:[Luxury &amp;Other Thing]])</f>
        <v>4150.1000000000004</v>
      </c>
      <c r="AL258">
        <f>SUM(Table1_1[[#This Row],[Food]:[Luxury &amp;Other Thing]])</f>
        <v>4150.1000000000004</v>
      </c>
    </row>
    <row r="259" spans="1:38" x14ac:dyDescent="0.25">
      <c r="A259" t="s">
        <v>34</v>
      </c>
      <c r="B259" t="s">
        <v>35</v>
      </c>
      <c r="C259">
        <v>2015</v>
      </c>
      <c r="D259">
        <v>123.7</v>
      </c>
      <c r="E259">
        <v>125.1</v>
      </c>
      <c r="F259">
        <v>121.1</v>
      </c>
      <c r="G259">
        <v>125.7</v>
      </c>
      <c r="H259">
        <v>109.1</v>
      </c>
      <c r="I259">
        <v>125.8</v>
      </c>
      <c r="J259">
        <v>129.4</v>
      </c>
      <c r="K259">
        <v>120.9</v>
      </c>
      <c r="L259">
        <v>98.3</v>
      </c>
      <c r="M259">
        <v>121.6</v>
      </c>
      <c r="N259">
        <v>118</v>
      </c>
      <c r="O259">
        <v>127.6</v>
      </c>
      <c r="P259">
        <v>123.1</v>
      </c>
      <c r="Q259">
        <v>123.8</v>
      </c>
      <c r="R259">
        <v>120.1</v>
      </c>
      <c r="S259">
        <v>123.3</v>
      </c>
      <c r="T259">
        <v>118.1</v>
      </c>
      <c r="U259">
        <v>118.7</v>
      </c>
      <c r="V259">
        <v>116.3</v>
      </c>
      <c r="W259">
        <v>111.2</v>
      </c>
      <c r="X259">
        <v>108.7</v>
      </c>
      <c r="Y259">
        <v>114.9</v>
      </c>
      <c r="Z259">
        <v>125.2</v>
      </c>
      <c r="AA259">
        <v>117.7</v>
      </c>
      <c r="AB259">
        <v>119.7</v>
      </c>
      <c r="AC259">
        <v>114.1</v>
      </c>
      <c r="AD259">
        <v>119.7</v>
      </c>
      <c r="AE259">
        <f>SUM(Table1_1[[#This Row],[Cereals and products]:[Food and beverages]])</f>
        <v>1569.3999999999996</v>
      </c>
      <c r="AF259">
        <f>SUM(Table1_1[[#This Row],[Clothing and footwear]:[Clothing]])</f>
        <v>367.2</v>
      </c>
      <c r="AG259">
        <f>SUM(Table1_1[[#This Row],[Clothing]:[Education]])</f>
        <v>1417.7000000000003</v>
      </c>
      <c r="AH259">
        <f>SUM(Table1_1[[#This Row],[Health]:[Personal care and effects]])</f>
        <v>227.5</v>
      </c>
      <c r="AI259">
        <f>SUM(Table1_1[[#This Row],[Recreation and amusement]:[Miscellaneous]])</f>
        <v>591.6</v>
      </c>
      <c r="AJ259">
        <f>SUM(Table1_1[[#This Row],[Fuel and light]])</f>
        <v>117.7</v>
      </c>
      <c r="AK259">
        <f>SUM(Table1_1[[#This Row],[Food]:[Luxury &amp;Other Thing]])</f>
        <v>4173.4000000000005</v>
      </c>
      <c r="AL259">
        <f>SUM(Table1_1[[#This Row],[Food]:[Luxury &amp;Other Thing]])</f>
        <v>4173.4000000000005</v>
      </c>
    </row>
    <row r="260" spans="1:38" x14ac:dyDescent="0.25">
      <c r="A260" t="s">
        <v>30</v>
      </c>
      <c r="B260" t="s">
        <v>35</v>
      </c>
      <c r="C260">
        <v>2016</v>
      </c>
      <c r="D260" s="2">
        <v>127.1</v>
      </c>
      <c r="E260" s="2">
        <v>133.69999999999999</v>
      </c>
      <c r="F260" s="2">
        <v>127.7</v>
      </c>
      <c r="G260" s="2">
        <v>130.69999999999999</v>
      </c>
      <c r="H260" s="2">
        <v>118.5</v>
      </c>
      <c r="I260" s="2">
        <v>130.4</v>
      </c>
      <c r="J260" s="2">
        <v>130.9</v>
      </c>
      <c r="K260" s="2">
        <v>162.80000000000001</v>
      </c>
      <c r="L260" s="2">
        <v>98.7</v>
      </c>
      <c r="M260" s="2">
        <v>130.6</v>
      </c>
      <c r="N260" s="2">
        <v>124.8</v>
      </c>
      <c r="O260" s="2">
        <v>136.4</v>
      </c>
      <c r="P260" s="2">
        <v>130.30000000000001</v>
      </c>
      <c r="Q260" s="2">
        <v>133.9</v>
      </c>
      <c r="R260" s="2">
        <v>129.80000000000001</v>
      </c>
      <c r="S260" s="2">
        <v>133.4</v>
      </c>
      <c r="T260" s="2">
        <v>139.5</v>
      </c>
      <c r="U260" s="2">
        <v>127.1</v>
      </c>
      <c r="V260" s="2">
        <v>124.3</v>
      </c>
      <c r="W260" s="2">
        <v>116.8</v>
      </c>
      <c r="X260" s="2">
        <v>113.9</v>
      </c>
      <c r="Y260" s="2">
        <v>122.3</v>
      </c>
      <c r="Z260" s="2">
        <v>134.4</v>
      </c>
      <c r="AA260" s="2">
        <v>127.5</v>
      </c>
      <c r="AB260" s="2">
        <v>127.1</v>
      </c>
      <c r="AC260" s="2">
        <v>120.9</v>
      </c>
      <c r="AD260" s="2">
        <v>127.9</v>
      </c>
      <c r="AE260" s="2">
        <f>SUM(Table1_1[[#This Row],[Cereals and products]:[Food and beverages]])</f>
        <v>1682.6</v>
      </c>
      <c r="AF260" s="2">
        <f>SUM(Table1_1[[#This Row],[Clothing and footwear]:[Clothing]])</f>
        <v>397.1</v>
      </c>
      <c r="AG260" s="2">
        <f>SUM(Table1_1[[#This Row],[Clothing]:[Education]])</f>
        <v>1530</v>
      </c>
      <c r="AH260" s="2">
        <f>SUM(Table1_1[[#This Row],[Health]:[Personal care and effects]])</f>
        <v>241.1</v>
      </c>
      <c r="AI260" s="2">
        <f>SUM(Table1_1[[#This Row],[Recreation and amusement]:[Miscellaneous]])</f>
        <v>632.19999999999993</v>
      </c>
      <c r="AJ260" s="2">
        <f>SUM(Table1_1[[#This Row],[Fuel and light]])</f>
        <v>127.5</v>
      </c>
      <c r="AK260">
        <f>SUM(Table1_1[[#This Row],[Food]:[Luxury &amp;Other Thing]])</f>
        <v>4483</v>
      </c>
      <c r="AL260">
        <f>SUM(Table1_1[[#This Row],[Food]:[Luxury &amp;Other Thing]])</f>
        <v>4483</v>
      </c>
    </row>
    <row r="261" spans="1:38" x14ac:dyDescent="0.25">
      <c r="A261" t="s">
        <v>33</v>
      </c>
      <c r="B261" t="s">
        <v>35</v>
      </c>
      <c r="C261">
        <v>2016</v>
      </c>
      <c r="D261" s="2">
        <v>124.8</v>
      </c>
      <c r="E261" s="2">
        <v>135.1</v>
      </c>
      <c r="F261" s="2">
        <v>130.30000000000001</v>
      </c>
      <c r="G261" s="2">
        <v>129.6</v>
      </c>
      <c r="H261" s="2">
        <v>108.4</v>
      </c>
      <c r="I261" s="2">
        <v>118.6</v>
      </c>
      <c r="J261" s="2">
        <v>129.19999999999999</v>
      </c>
      <c r="K261" s="2">
        <v>176.4</v>
      </c>
      <c r="L261" s="2">
        <v>99.1</v>
      </c>
      <c r="M261" s="2">
        <v>139.69999999999999</v>
      </c>
      <c r="N261" s="2">
        <v>120.6</v>
      </c>
      <c r="O261" s="2">
        <v>135.19999999999999</v>
      </c>
      <c r="P261" s="2">
        <v>129.1</v>
      </c>
      <c r="Q261" s="2">
        <v>126.2</v>
      </c>
      <c r="R261" s="2">
        <v>120.1</v>
      </c>
      <c r="S261" s="2">
        <v>125.3</v>
      </c>
      <c r="T261" s="2">
        <v>124.4</v>
      </c>
      <c r="U261" s="2">
        <v>121.8</v>
      </c>
      <c r="V261" s="2">
        <v>119.5</v>
      </c>
      <c r="W261" s="2">
        <v>116.2</v>
      </c>
      <c r="X261" s="2">
        <v>109.1</v>
      </c>
      <c r="Y261" s="2">
        <v>118.8</v>
      </c>
      <c r="Z261" s="2">
        <v>140</v>
      </c>
      <c r="AA261" s="2">
        <v>116</v>
      </c>
      <c r="AB261" s="2">
        <v>126.3</v>
      </c>
      <c r="AC261" s="2">
        <v>117.2</v>
      </c>
      <c r="AD261" s="2">
        <v>123.8</v>
      </c>
      <c r="AE261" s="2">
        <f>SUM(Table1_1[[#This Row],[Cereals and products]:[Food and beverages]])</f>
        <v>1676.1</v>
      </c>
      <c r="AF261" s="2">
        <f>SUM(Table1_1[[#This Row],[Clothing and footwear]:[Clothing]])</f>
        <v>371.6</v>
      </c>
      <c r="AG261" s="2">
        <f>SUM(Table1_1[[#This Row],[Clothing]:[Education]])</f>
        <v>1463.7</v>
      </c>
      <c r="AH261" s="2">
        <f>SUM(Table1_1[[#This Row],[Health]:[Personal care and effects]])</f>
        <v>235.7</v>
      </c>
      <c r="AI261" s="2">
        <f>SUM(Table1_1[[#This Row],[Recreation and amusement]:[Miscellaneous]])</f>
        <v>618.30000000000007</v>
      </c>
      <c r="AJ261" s="2">
        <f>SUM(Table1_1[[#This Row],[Fuel and light]])</f>
        <v>116</v>
      </c>
      <c r="AK261">
        <f>SUM(Table1_1[[#This Row],[Food]:[Luxury &amp;Other Thing]])</f>
        <v>4365.3999999999996</v>
      </c>
      <c r="AL261">
        <f>SUM(Table1_1[[#This Row],[Food]:[Luxury &amp;Other Thing]])</f>
        <v>4365.3999999999996</v>
      </c>
    </row>
    <row r="262" spans="1:38" x14ac:dyDescent="0.25">
      <c r="A262" t="s">
        <v>34</v>
      </c>
      <c r="B262" t="s">
        <v>35</v>
      </c>
      <c r="C262">
        <v>2016</v>
      </c>
      <c r="D262" s="2">
        <v>126.4</v>
      </c>
      <c r="E262" s="2">
        <v>134.19999999999999</v>
      </c>
      <c r="F262" s="2">
        <v>128.69999999999999</v>
      </c>
      <c r="G262" s="2">
        <v>130.30000000000001</v>
      </c>
      <c r="H262" s="2">
        <v>114.8</v>
      </c>
      <c r="I262" s="2">
        <v>124.9</v>
      </c>
      <c r="J262" s="2">
        <v>130.30000000000001</v>
      </c>
      <c r="K262" s="2">
        <v>167.4</v>
      </c>
      <c r="L262" s="2">
        <v>98.8</v>
      </c>
      <c r="M262" s="2">
        <v>133.6</v>
      </c>
      <c r="N262" s="2">
        <v>123</v>
      </c>
      <c r="O262" s="2">
        <v>135.80000000000001</v>
      </c>
      <c r="P262" s="2">
        <v>129.9</v>
      </c>
      <c r="Q262" s="2">
        <v>130.9</v>
      </c>
      <c r="R262" s="2">
        <v>125.8</v>
      </c>
      <c r="S262" s="2">
        <v>130.19999999999999</v>
      </c>
      <c r="T262" s="2">
        <v>124.4</v>
      </c>
      <c r="U262" s="2">
        <v>124.6</v>
      </c>
      <c r="V262" s="2">
        <v>122.5</v>
      </c>
      <c r="W262" s="2">
        <v>116.6</v>
      </c>
      <c r="X262" s="2">
        <v>111.4</v>
      </c>
      <c r="Y262" s="2">
        <v>120.3</v>
      </c>
      <c r="Z262" s="2">
        <v>135.9</v>
      </c>
      <c r="AA262" s="2">
        <v>123.1</v>
      </c>
      <c r="AB262" s="2">
        <v>126.6</v>
      </c>
      <c r="AC262" s="2">
        <v>119.1</v>
      </c>
      <c r="AD262" s="2">
        <v>126</v>
      </c>
      <c r="AE262" s="2">
        <f>SUM(Table1_1[[#This Row],[Cereals and products]:[Food and beverages]])</f>
        <v>1678.1</v>
      </c>
      <c r="AF262" s="2">
        <f>SUM(Table1_1[[#This Row],[Clothing and footwear]:[Clothing]])</f>
        <v>386.9</v>
      </c>
      <c r="AG262" s="2">
        <f>SUM(Table1_1[[#This Row],[Clothing]:[Education]])</f>
        <v>1492.3</v>
      </c>
      <c r="AH262" s="2">
        <f>SUM(Table1_1[[#This Row],[Health]:[Personal care and effects]])</f>
        <v>239.1</v>
      </c>
      <c r="AI262" s="2">
        <f>SUM(Table1_1[[#This Row],[Recreation and amusement]:[Miscellaneous]])</f>
        <v>625</v>
      </c>
      <c r="AJ262" s="2">
        <f>SUM(Table1_1[[#This Row],[Fuel and light]])</f>
        <v>123.1</v>
      </c>
      <c r="AK262">
        <f>SUM(Table1_1[[#This Row],[Food]:[Luxury &amp;Other Thing]])</f>
        <v>4421.3999999999996</v>
      </c>
      <c r="AL262">
        <f>SUM(Table1_1[[#This Row],[Food]:[Luxury &amp;Other Thing]])</f>
        <v>4421.3999999999996</v>
      </c>
    </row>
    <row r="263" spans="1:38" x14ac:dyDescent="0.25">
      <c r="A263" t="s">
        <v>30</v>
      </c>
      <c r="B263" t="s">
        <v>35</v>
      </c>
      <c r="C263">
        <v>2017</v>
      </c>
      <c r="D263">
        <v>133.30000000000001</v>
      </c>
      <c r="E263">
        <v>138.30000000000001</v>
      </c>
      <c r="F263">
        <v>129.30000000000001</v>
      </c>
      <c r="G263">
        <v>137.19999999999999</v>
      </c>
      <c r="H263">
        <v>122.1</v>
      </c>
      <c r="I263">
        <v>138.69999999999999</v>
      </c>
      <c r="J263">
        <v>119.1</v>
      </c>
      <c r="K263">
        <v>156.9</v>
      </c>
      <c r="L263">
        <v>116.2</v>
      </c>
      <c r="M263">
        <v>136</v>
      </c>
      <c r="N263">
        <v>129.4</v>
      </c>
      <c r="O263">
        <v>144.4</v>
      </c>
      <c r="P263">
        <v>133.6</v>
      </c>
      <c r="Q263">
        <v>140.9</v>
      </c>
      <c r="R263">
        <v>135.80000000000001</v>
      </c>
      <c r="S263">
        <v>140.19999999999999</v>
      </c>
      <c r="T263">
        <v>139.5</v>
      </c>
      <c r="U263">
        <v>133.6</v>
      </c>
      <c r="V263">
        <v>130.1</v>
      </c>
      <c r="W263">
        <v>123.2</v>
      </c>
      <c r="X263">
        <v>119.5</v>
      </c>
      <c r="Y263">
        <v>127.7</v>
      </c>
      <c r="Z263">
        <v>143.69999999999999</v>
      </c>
      <c r="AA263">
        <v>133.19999999999999</v>
      </c>
      <c r="AB263">
        <v>134.9</v>
      </c>
      <c r="AC263">
        <v>127</v>
      </c>
      <c r="AD263">
        <v>132.6</v>
      </c>
      <c r="AE263">
        <f>SUM(Table1_1[[#This Row],[Cereals and products]:[Food and beverages]])</f>
        <v>1734.5000000000002</v>
      </c>
      <c r="AF263">
        <f>SUM(Table1_1[[#This Row],[Clothing and footwear]:[Clothing]])</f>
        <v>416.90000000000003</v>
      </c>
      <c r="AG263">
        <f>SUM(Table1_1[[#This Row],[Clothing]:[Education]])</f>
        <v>1602.3000000000004</v>
      </c>
      <c r="AH263">
        <f>SUM(Table1_1[[#This Row],[Health]:[Personal care and effects]])</f>
        <v>253.3</v>
      </c>
      <c r="AI263">
        <f>SUM(Table1_1[[#This Row],[Recreation and amusement]:[Miscellaneous]])</f>
        <v>666.5</v>
      </c>
      <c r="AJ263">
        <f>SUM(Table1_1[[#This Row],[Fuel and light]])</f>
        <v>133.19999999999999</v>
      </c>
      <c r="AK263">
        <f>SUM(Table1_1[[#This Row],[Food]:[Luxury &amp;Other Thing]])</f>
        <v>4673.5000000000009</v>
      </c>
      <c r="AL263">
        <f>SUM(Table1_1[[#This Row],[Food]:[Luxury &amp;Other Thing]])</f>
        <v>4673.5000000000009</v>
      </c>
    </row>
    <row r="264" spans="1:38" x14ac:dyDescent="0.25">
      <c r="A264" t="s">
        <v>33</v>
      </c>
      <c r="B264" t="s">
        <v>35</v>
      </c>
      <c r="C264">
        <v>2017</v>
      </c>
      <c r="D264">
        <v>132.80000000000001</v>
      </c>
      <c r="E264">
        <v>139.80000000000001</v>
      </c>
      <c r="F264">
        <v>129.30000000000001</v>
      </c>
      <c r="G264">
        <v>133.5</v>
      </c>
      <c r="H264">
        <v>114.3</v>
      </c>
      <c r="I264">
        <v>131.4</v>
      </c>
      <c r="J264">
        <v>120.2</v>
      </c>
      <c r="K264">
        <v>143.1</v>
      </c>
      <c r="L264">
        <v>119.5</v>
      </c>
      <c r="M264">
        <v>144</v>
      </c>
      <c r="N264">
        <v>123.4</v>
      </c>
      <c r="O264">
        <v>141.9</v>
      </c>
      <c r="P264">
        <v>132.1</v>
      </c>
      <c r="Q264">
        <v>130.5</v>
      </c>
      <c r="R264">
        <v>122.5</v>
      </c>
      <c r="S264">
        <v>129.30000000000001</v>
      </c>
      <c r="T264">
        <v>130.5</v>
      </c>
      <c r="U264">
        <v>125.3</v>
      </c>
      <c r="V264">
        <v>122.9</v>
      </c>
      <c r="W264">
        <v>121.7</v>
      </c>
      <c r="X264">
        <v>115.5</v>
      </c>
      <c r="Y264">
        <v>122.2</v>
      </c>
      <c r="Z264">
        <v>146.30000000000001</v>
      </c>
      <c r="AA264">
        <v>119.2</v>
      </c>
      <c r="AB264">
        <v>132.4</v>
      </c>
      <c r="AC264">
        <v>122.4</v>
      </c>
      <c r="AD264">
        <v>128.19999999999999</v>
      </c>
      <c r="AE264">
        <f>SUM(Table1_1[[#This Row],[Cereals and products]:[Food and beverages]])</f>
        <v>1705.3000000000002</v>
      </c>
      <c r="AF264">
        <f>SUM(Table1_1[[#This Row],[Clothing and footwear]:[Clothing]])</f>
        <v>382.3</v>
      </c>
      <c r="AG264">
        <f>SUM(Table1_1[[#This Row],[Clothing]:[Education]])</f>
        <v>1518.3</v>
      </c>
      <c r="AH264">
        <f>SUM(Table1_1[[#This Row],[Health]:[Personal care and effects]])</f>
        <v>244.60000000000002</v>
      </c>
      <c r="AI264">
        <f>SUM(Table1_1[[#This Row],[Recreation and amusement]:[Miscellaneous]])</f>
        <v>642.5</v>
      </c>
      <c r="AJ264">
        <f>SUM(Table1_1[[#This Row],[Fuel and light]])</f>
        <v>119.2</v>
      </c>
      <c r="AK264">
        <f>SUM(Table1_1[[#This Row],[Food]:[Luxury &amp;Other Thing]])</f>
        <v>4493</v>
      </c>
      <c r="AL264">
        <f>SUM(Table1_1[[#This Row],[Food]:[Luxury &amp;Other Thing]])</f>
        <v>4493</v>
      </c>
    </row>
    <row r="265" spans="1:38" x14ac:dyDescent="0.25">
      <c r="A265" t="s">
        <v>34</v>
      </c>
      <c r="B265" t="s">
        <v>35</v>
      </c>
      <c r="C265">
        <v>2017</v>
      </c>
      <c r="D265">
        <v>133.1</v>
      </c>
      <c r="E265">
        <v>138.80000000000001</v>
      </c>
      <c r="F265">
        <v>129.30000000000001</v>
      </c>
      <c r="G265">
        <v>135.80000000000001</v>
      </c>
      <c r="H265">
        <v>119.2</v>
      </c>
      <c r="I265">
        <v>135.30000000000001</v>
      </c>
      <c r="J265">
        <v>119.5</v>
      </c>
      <c r="K265">
        <v>152.19999999999999</v>
      </c>
      <c r="L265">
        <v>117.3</v>
      </c>
      <c r="M265">
        <v>138.69999999999999</v>
      </c>
      <c r="N265">
        <v>126.9</v>
      </c>
      <c r="O265">
        <v>143.19999999999999</v>
      </c>
      <c r="P265">
        <v>133</v>
      </c>
      <c r="Q265">
        <v>136.80000000000001</v>
      </c>
      <c r="R265">
        <v>130.30000000000001</v>
      </c>
      <c r="S265">
        <v>135.9</v>
      </c>
      <c r="T265">
        <v>130.5</v>
      </c>
      <c r="U265">
        <v>129.69999999999999</v>
      </c>
      <c r="V265">
        <v>127.4</v>
      </c>
      <c r="W265">
        <v>122.6</v>
      </c>
      <c r="X265">
        <v>117.4</v>
      </c>
      <c r="Y265">
        <v>124.6</v>
      </c>
      <c r="Z265">
        <v>144.4</v>
      </c>
      <c r="AA265">
        <v>127.9</v>
      </c>
      <c r="AB265">
        <v>133.4</v>
      </c>
      <c r="AC265">
        <v>124.8</v>
      </c>
      <c r="AD265">
        <v>130.6</v>
      </c>
      <c r="AE265">
        <f>SUM(Table1_1[[#This Row],[Cereals and products]:[Food and beverages]])</f>
        <v>1722.3000000000002</v>
      </c>
      <c r="AF265">
        <f>SUM(Table1_1[[#This Row],[Clothing and footwear]:[Clothing]])</f>
        <v>403</v>
      </c>
      <c r="AG265">
        <f>SUM(Table1_1[[#This Row],[Clothing]:[Education]])</f>
        <v>1560.9000000000003</v>
      </c>
      <c r="AH265">
        <f>SUM(Table1_1[[#This Row],[Health]:[Personal care and effects]])</f>
        <v>250</v>
      </c>
      <c r="AI265">
        <f>SUM(Table1_1[[#This Row],[Recreation and amusement]:[Miscellaneous]])</f>
        <v>655.09999999999991</v>
      </c>
      <c r="AJ265">
        <f>SUM(Table1_1[[#This Row],[Fuel and light]])</f>
        <v>127.9</v>
      </c>
      <c r="AK265">
        <f>SUM(Table1_1[[#This Row],[Food]:[Luxury &amp;Other Thing]])</f>
        <v>4591.3000000000011</v>
      </c>
      <c r="AL265">
        <f>SUM(Table1_1[[#This Row],[Food]:[Luxury &amp;Other Thing]])</f>
        <v>4591.3000000000011</v>
      </c>
    </row>
    <row r="266" spans="1:38" x14ac:dyDescent="0.25">
      <c r="A266" t="s">
        <v>30</v>
      </c>
      <c r="B266" t="s">
        <v>35</v>
      </c>
      <c r="C266">
        <v>2018</v>
      </c>
      <c r="D266">
        <v>136.4</v>
      </c>
      <c r="E266">
        <v>143.69999999999999</v>
      </c>
      <c r="F266">
        <v>140.6</v>
      </c>
      <c r="G266">
        <v>141.5</v>
      </c>
      <c r="H266">
        <v>122.9</v>
      </c>
      <c r="I266">
        <v>149.4</v>
      </c>
      <c r="J266">
        <v>142.4</v>
      </c>
      <c r="K266">
        <v>130.19999999999999</v>
      </c>
      <c r="L266">
        <v>117.9</v>
      </c>
      <c r="M266">
        <v>135.6</v>
      </c>
      <c r="N266">
        <v>130.5</v>
      </c>
      <c r="O266">
        <v>151.69999999999999</v>
      </c>
      <c r="P266">
        <v>138.69999999999999</v>
      </c>
      <c r="Q266">
        <v>148.69999999999999</v>
      </c>
      <c r="R266">
        <v>142.4</v>
      </c>
      <c r="S266">
        <v>147.80000000000001</v>
      </c>
      <c r="T266">
        <v>139.5</v>
      </c>
      <c r="U266">
        <v>139.9</v>
      </c>
      <c r="V266">
        <v>136.19999999999999</v>
      </c>
      <c r="W266">
        <v>128.80000000000001</v>
      </c>
      <c r="X266">
        <v>123.3</v>
      </c>
      <c r="Y266">
        <v>134.30000000000001</v>
      </c>
      <c r="Z266">
        <v>153.30000000000001</v>
      </c>
      <c r="AA266">
        <v>142.4</v>
      </c>
      <c r="AB266">
        <v>141.5</v>
      </c>
      <c r="AC266">
        <v>132.5</v>
      </c>
      <c r="AD266">
        <v>138.5</v>
      </c>
      <c r="AE266">
        <f>SUM(Table1_1[[#This Row],[Cereals and products]:[Food and beverages]])</f>
        <v>1781.5</v>
      </c>
      <c r="AF266">
        <f>SUM(Table1_1[[#This Row],[Clothing and footwear]:[Clothing]])</f>
        <v>438.90000000000003</v>
      </c>
      <c r="AG266">
        <f>SUM(Table1_1[[#This Row],[Clothing]:[Education]])</f>
        <v>1678.1</v>
      </c>
      <c r="AH266">
        <f>SUM(Table1_1[[#This Row],[Health]:[Personal care and effects]])</f>
        <v>265</v>
      </c>
      <c r="AI266">
        <f>SUM(Table1_1[[#This Row],[Recreation and amusement]:[Miscellaneous]])</f>
        <v>704</v>
      </c>
      <c r="AJ266">
        <f>SUM(Table1_1[[#This Row],[Fuel and light]])</f>
        <v>142.4</v>
      </c>
      <c r="AK266">
        <f>SUM(Table1_1[[#This Row],[Food]:[Luxury &amp;Other Thing]])</f>
        <v>4867.5</v>
      </c>
      <c r="AL266">
        <f>SUM(Table1_1[[#This Row],[Food]:[Luxury &amp;Other Thing]])</f>
        <v>4867.5</v>
      </c>
    </row>
    <row r="267" spans="1:38" x14ac:dyDescent="0.25">
      <c r="A267" t="s">
        <v>33</v>
      </c>
      <c r="B267" t="s">
        <v>35</v>
      </c>
      <c r="C267">
        <v>2018</v>
      </c>
      <c r="D267">
        <v>134.80000000000001</v>
      </c>
      <c r="E267">
        <v>143</v>
      </c>
      <c r="F267">
        <v>139.9</v>
      </c>
      <c r="G267">
        <v>139.9</v>
      </c>
      <c r="H267">
        <v>116.2</v>
      </c>
      <c r="I267">
        <v>135.5</v>
      </c>
      <c r="J267">
        <v>136.9</v>
      </c>
      <c r="K267">
        <v>117</v>
      </c>
      <c r="L267">
        <v>115.4</v>
      </c>
      <c r="M267">
        <v>140.69999999999999</v>
      </c>
      <c r="N267">
        <v>125.9</v>
      </c>
      <c r="O267">
        <v>147.1</v>
      </c>
      <c r="P267">
        <v>135.6</v>
      </c>
      <c r="Q267">
        <v>136.30000000000001</v>
      </c>
      <c r="R267">
        <v>126.1</v>
      </c>
      <c r="S267">
        <v>134.69999999999999</v>
      </c>
      <c r="T267">
        <v>141.30000000000001</v>
      </c>
      <c r="U267">
        <v>129.9</v>
      </c>
      <c r="V267">
        <v>129.80000000000001</v>
      </c>
      <c r="W267">
        <v>126.2</v>
      </c>
      <c r="X267">
        <v>117.4</v>
      </c>
      <c r="Y267">
        <v>126.5</v>
      </c>
      <c r="Z267">
        <v>159.30000000000001</v>
      </c>
      <c r="AA267">
        <v>127.3</v>
      </c>
      <c r="AB267">
        <v>137.19999999999999</v>
      </c>
      <c r="AC267">
        <v>126.5</v>
      </c>
      <c r="AD267">
        <v>134</v>
      </c>
      <c r="AE267">
        <f>SUM(Table1_1[[#This Row],[Cereals and products]:[Food and beverages]])</f>
        <v>1727.9</v>
      </c>
      <c r="AF267">
        <f>SUM(Table1_1[[#This Row],[Clothing and footwear]:[Clothing]])</f>
        <v>397.09999999999997</v>
      </c>
      <c r="AG267">
        <f>SUM(Table1_1[[#This Row],[Clothing]:[Education]])</f>
        <v>1592</v>
      </c>
      <c r="AH267">
        <f>SUM(Table1_1[[#This Row],[Health]:[Personal care and effects]])</f>
        <v>256</v>
      </c>
      <c r="AI267">
        <f>SUM(Table1_1[[#This Row],[Recreation and amusement]:[Miscellaneous]])</f>
        <v>676.8</v>
      </c>
      <c r="AJ267">
        <f>SUM(Table1_1[[#This Row],[Fuel and light]])</f>
        <v>127.3</v>
      </c>
      <c r="AK267">
        <f>SUM(Table1_1[[#This Row],[Food]:[Luxury &amp;Other Thing]])</f>
        <v>4649.8</v>
      </c>
      <c r="AL267">
        <f>SUM(Table1_1[[#This Row],[Food]:[Luxury &amp;Other Thing]])</f>
        <v>4649.8</v>
      </c>
    </row>
    <row r="268" spans="1:38" x14ac:dyDescent="0.25">
      <c r="A268" t="s">
        <v>34</v>
      </c>
      <c r="B268" t="s">
        <v>35</v>
      </c>
      <c r="C268">
        <v>2018</v>
      </c>
      <c r="D268">
        <v>135.9</v>
      </c>
      <c r="E268">
        <v>143.5</v>
      </c>
      <c r="F268">
        <v>140.30000000000001</v>
      </c>
      <c r="G268">
        <v>140.9</v>
      </c>
      <c r="H268">
        <v>120.4</v>
      </c>
      <c r="I268">
        <v>142.9</v>
      </c>
      <c r="J268">
        <v>140.5</v>
      </c>
      <c r="K268">
        <v>125.8</v>
      </c>
      <c r="L268">
        <v>117.1</v>
      </c>
      <c r="M268">
        <v>137.30000000000001</v>
      </c>
      <c r="N268">
        <v>128.6</v>
      </c>
      <c r="O268">
        <v>149.6</v>
      </c>
      <c r="P268">
        <v>137.6</v>
      </c>
      <c r="Q268">
        <v>143.80000000000001</v>
      </c>
      <c r="R268">
        <v>135.6</v>
      </c>
      <c r="S268">
        <v>142.6</v>
      </c>
      <c r="T268">
        <v>141.30000000000001</v>
      </c>
      <c r="U268">
        <v>135.19999999999999</v>
      </c>
      <c r="V268">
        <v>133.80000000000001</v>
      </c>
      <c r="W268">
        <v>127.7</v>
      </c>
      <c r="X268">
        <v>120.2</v>
      </c>
      <c r="Y268">
        <v>129.9</v>
      </c>
      <c r="Z268">
        <v>154.9</v>
      </c>
      <c r="AA268">
        <v>136.69999999999999</v>
      </c>
      <c r="AB268">
        <v>139</v>
      </c>
      <c r="AC268">
        <v>129.6</v>
      </c>
      <c r="AD268">
        <v>136.4</v>
      </c>
      <c r="AE268">
        <f>SUM(Table1_1[[#This Row],[Cereals and products]:[Food and beverages]])</f>
        <v>1760.3999999999996</v>
      </c>
      <c r="AF268">
        <f>SUM(Table1_1[[#This Row],[Clothing and footwear]:[Clothing]])</f>
        <v>422</v>
      </c>
      <c r="AG268">
        <f>SUM(Table1_1[[#This Row],[Clothing]:[Education]])</f>
        <v>1640.7000000000003</v>
      </c>
      <c r="AH268">
        <f>SUM(Table1_1[[#This Row],[Health]:[Personal care and effects]])</f>
        <v>261.5</v>
      </c>
      <c r="AI268">
        <f>SUM(Table1_1[[#This Row],[Recreation and amusement]:[Miscellaneous]])</f>
        <v>690.1</v>
      </c>
      <c r="AJ268">
        <f>SUM(Table1_1[[#This Row],[Fuel and light]])</f>
        <v>136.69999999999999</v>
      </c>
      <c r="AK268">
        <f>SUM(Table1_1[[#This Row],[Food]:[Luxury &amp;Other Thing]])</f>
        <v>4774.7</v>
      </c>
      <c r="AL268">
        <f>SUM(Table1_1[[#This Row],[Food]:[Luxury &amp;Other Thing]])</f>
        <v>4774.7</v>
      </c>
    </row>
    <row r="269" spans="1:38" x14ac:dyDescent="0.25">
      <c r="A269" t="s">
        <v>30</v>
      </c>
      <c r="B269" t="s">
        <v>35</v>
      </c>
      <c r="C269">
        <v>2019</v>
      </c>
      <c r="D269">
        <v>136.80000000000001</v>
      </c>
      <c r="E269">
        <v>153</v>
      </c>
      <c r="F269">
        <v>139.1</v>
      </c>
      <c r="G269">
        <v>142.5</v>
      </c>
      <c r="H269">
        <v>124.1</v>
      </c>
      <c r="I269">
        <v>135.80000000000001</v>
      </c>
      <c r="J269">
        <v>128.69999999999999</v>
      </c>
      <c r="K269">
        <v>121.5</v>
      </c>
      <c r="L269">
        <v>108.3</v>
      </c>
      <c r="M269">
        <v>139.19999999999999</v>
      </c>
      <c r="N269">
        <v>137.4</v>
      </c>
      <c r="O269">
        <v>156.19999999999999</v>
      </c>
      <c r="P269">
        <v>137.19999999999999</v>
      </c>
      <c r="Q269">
        <v>150.5</v>
      </c>
      <c r="R269">
        <v>146.1</v>
      </c>
      <c r="S269">
        <v>149.9</v>
      </c>
      <c r="T269">
        <v>139.5</v>
      </c>
      <c r="U269">
        <v>150.1</v>
      </c>
      <c r="V269">
        <v>149.9</v>
      </c>
      <c r="W269">
        <v>134.9</v>
      </c>
      <c r="X269">
        <v>129.19999999999999</v>
      </c>
      <c r="Y269">
        <v>143.4</v>
      </c>
      <c r="Z269">
        <v>162.80000000000001</v>
      </c>
      <c r="AA269">
        <v>145.30000000000001</v>
      </c>
      <c r="AB269">
        <v>155.5</v>
      </c>
      <c r="AC269">
        <v>142.19999999999999</v>
      </c>
      <c r="AD269">
        <v>141</v>
      </c>
      <c r="AE269">
        <f>SUM(Table1_1[[#This Row],[Cereals and products]:[Food and beverages]])</f>
        <v>1759.8000000000002</v>
      </c>
      <c r="AF269">
        <f>SUM(Table1_1[[#This Row],[Clothing and footwear]:[Clothing]])</f>
        <v>446.5</v>
      </c>
      <c r="AG269">
        <f>SUM(Table1_1[[#This Row],[Clothing]:[Education]])</f>
        <v>1757.1</v>
      </c>
      <c r="AH269">
        <f>SUM(Table1_1[[#This Row],[Health]:[Personal care and effects]])</f>
        <v>284.8</v>
      </c>
      <c r="AI269">
        <f>SUM(Table1_1[[#This Row],[Recreation and amusement]:[Miscellaneous]])</f>
        <v>749.2</v>
      </c>
      <c r="AJ269">
        <f>SUM(Table1_1[[#This Row],[Fuel and light]])</f>
        <v>145.30000000000001</v>
      </c>
      <c r="AK269">
        <f>SUM(Table1_1[[#This Row],[Food]:[Luxury &amp;Other Thing]])</f>
        <v>4997.3999999999996</v>
      </c>
      <c r="AL269">
        <f>SUM(Table1_1[[#This Row],[Food]:[Luxury &amp;Other Thing]])</f>
        <v>4997.3999999999996</v>
      </c>
    </row>
    <row r="270" spans="1:38" x14ac:dyDescent="0.25">
      <c r="A270" t="s">
        <v>33</v>
      </c>
      <c r="B270" t="s">
        <v>35</v>
      </c>
      <c r="C270">
        <v>2019</v>
      </c>
      <c r="D270">
        <v>139.4</v>
      </c>
      <c r="E270">
        <v>150.1</v>
      </c>
      <c r="F270">
        <v>145.30000000000001</v>
      </c>
      <c r="G270">
        <v>141.69999999999999</v>
      </c>
      <c r="H270">
        <v>118.4</v>
      </c>
      <c r="I270">
        <v>137</v>
      </c>
      <c r="J270">
        <v>131.6</v>
      </c>
      <c r="K270">
        <v>119.9</v>
      </c>
      <c r="L270">
        <v>110.4</v>
      </c>
      <c r="M270">
        <v>140.80000000000001</v>
      </c>
      <c r="N270">
        <v>128.30000000000001</v>
      </c>
      <c r="O270">
        <v>153.5</v>
      </c>
      <c r="P270">
        <v>138</v>
      </c>
      <c r="Q270">
        <v>143.30000000000001</v>
      </c>
      <c r="R270">
        <v>130.80000000000001</v>
      </c>
      <c r="S270">
        <v>141.4</v>
      </c>
      <c r="T270">
        <v>148.5</v>
      </c>
      <c r="U270">
        <v>136.6</v>
      </c>
      <c r="V270">
        <v>138.5</v>
      </c>
      <c r="W270">
        <v>133</v>
      </c>
      <c r="X270">
        <v>119.2</v>
      </c>
      <c r="Y270">
        <v>132.19999999999999</v>
      </c>
      <c r="Z270">
        <v>164.9</v>
      </c>
      <c r="AA270">
        <v>127.1</v>
      </c>
      <c r="AB270">
        <v>146.6</v>
      </c>
      <c r="AC270">
        <v>132.4</v>
      </c>
      <c r="AD270">
        <v>138.6</v>
      </c>
      <c r="AE270">
        <f>SUM(Table1_1[[#This Row],[Cereals and products]:[Food and beverages]])</f>
        <v>1754.4</v>
      </c>
      <c r="AF270">
        <f>SUM(Table1_1[[#This Row],[Clothing and footwear]:[Clothing]])</f>
        <v>415.5</v>
      </c>
      <c r="AG270">
        <f>SUM(Table1_1[[#This Row],[Clothing]:[Education]])</f>
        <v>1662.1</v>
      </c>
      <c r="AH270">
        <f>SUM(Table1_1[[#This Row],[Health]:[Personal care and effects]])</f>
        <v>271.5</v>
      </c>
      <c r="AI270">
        <f>SUM(Table1_1[[#This Row],[Recreation and amusement]:[Miscellaneous]])</f>
        <v>703.2</v>
      </c>
      <c r="AJ270">
        <f>SUM(Table1_1[[#This Row],[Fuel and light]])</f>
        <v>127.1</v>
      </c>
      <c r="AK270">
        <f>SUM(Table1_1[[#This Row],[Food]:[Luxury &amp;Other Thing]])</f>
        <v>4806.7</v>
      </c>
      <c r="AL270">
        <f>SUM(Table1_1[[#This Row],[Food]:[Luxury &amp;Other Thing]])</f>
        <v>4806.7</v>
      </c>
    </row>
    <row r="271" spans="1:38" x14ac:dyDescent="0.25">
      <c r="A271" t="s">
        <v>34</v>
      </c>
      <c r="B271" t="s">
        <v>35</v>
      </c>
      <c r="C271">
        <v>2019</v>
      </c>
      <c r="D271">
        <v>137.6</v>
      </c>
      <c r="E271">
        <v>152</v>
      </c>
      <c r="F271">
        <v>141.5</v>
      </c>
      <c r="G271">
        <v>142.19999999999999</v>
      </c>
      <c r="H271">
        <v>122</v>
      </c>
      <c r="I271">
        <v>136.4</v>
      </c>
      <c r="J271">
        <v>129.69999999999999</v>
      </c>
      <c r="K271">
        <v>121</v>
      </c>
      <c r="L271">
        <v>109</v>
      </c>
      <c r="M271">
        <v>139.69999999999999</v>
      </c>
      <c r="N271">
        <v>133.6</v>
      </c>
      <c r="O271">
        <v>154.9</v>
      </c>
      <c r="P271">
        <v>137.5</v>
      </c>
      <c r="Q271">
        <v>147.69999999999999</v>
      </c>
      <c r="R271">
        <v>139.69999999999999</v>
      </c>
      <c r="S271">
        <v>146.5</v>
      </c>
      <c r="T271">
        <v>148.5</v>
      </c>
      <c r="U271">
        <v>143.69999999999999</v>
      </c>
      <c r="V271">
        <v>145.6</v>
      </c>
      <c r="W271">
        <v>134.1</v>
      </c>
      <c r="X271">
        <v>123.9</v>
      </c>
      <c r="Y271">
        <v>137.1</v>
      </c>
      <c r="Z271">
        <v>163.4</v>
      </c>
      <c r="AA271">
        <v>138.4</v>
      </c>
      <c r="AB271">
        <v>150.30000000000001</v>
      </c>
      <c r="AC271">
        <v>137.4</v>
      </c>
      <c r="AD271">
        <v>139.9</v>
      </c>
      <c r="AE271">
        <f>SUM(Table1_1[[#This Row],[Cereals and products]:[Food and beverages]])</f>
        <v>1757.1</v>
      </c>
      <c r="AF271">
        <f>SUM(Table1_1[[#This Row],[Clothing and footwear]:[Clothing]])</f>
        <v>433.9</v>
      </c>
      <c r="AG271">
        <f>SUM(Table1_1[[#This Row],[Clothing]:[Education]])</f>
        <v>1718.9</v>
      </c>
      <c r="AH271">
        <f>SUM(Table1_1[[#This Row],[Health]:[Personal care and effects]])</f>
        <v>279.7</v>
      </c>
      <c r="AI271">
        <f>SUM(Table1_1[[#This Row],[Recreation and amusement]:[Miscellaneous]])</f>
        <v>726.6</v>
      </c>
      <c r="AJ271">
        <f>SUM(Table1_1[[#This Row],[Fuel and light]])</f>
        <v>138.4</v>
      </c>
      <c r="AK271">
        <f>SUM(Table1_1[[#This Row],[Food]:[Luxury &amp;Other Thing]])</f>
        <v>4916.2000000000007</v>
      </c>
      <c r="AL271">
        <f>SUM(Table1_1[[#This Row],[Food]:[Luxury &amp;Other Thing]])</f>
        <v>4916.2000000000007</v>
      </c>
    </row>
    <row r="272" spans="1:38" x14ac:dyDescent="0.25">
      <c r="A272" t="s">
        <v>30</v>
      </c>
      <c r="B272" t="s">
        <v>35</v>
      </c>
      <c r="C272">
        <v>2020</v>
      </c>
      <c r="D272">
        <v>144.19999999999999</v>
      </c>
      <c r="E272">
        <v>167.5</v>
      </c>
      <c r="F272">
        <v>150.9</v>
      </c>
      <c r="G272">
        <v>150.9</v>
      </c>
      <c r="H272">
        <v>133.69999999999999</v>
      </c>
      <c r="I272">
        <v>140.69999999999999</v>
      </c>
      <c r="J272">
        <v>165.1</v>
      </c>
      <c r="K272">
        <v>141.80000000000001</v>
      </c>
      <c r="L272">
        <v>113.1</v>
      </c>
      <c r="M272">
        <v>152.80000000000001</v>
      </c>
      <c r="N272">
        <v>140.1</v>
      </c>
      <c r="O272">
        <v>159.19999999999999</v>
      </c>
      <c r="P272">
        <v>149.80000000000001</v>
      </c>
      <c r="Q272">
        <v>153</v>
      </c>
      <c r="R272">
        <v>147.5</v>
      </c>
      <c r="S272">
        <v>152.30000000000001</v>
      </c>
      <c r="T272">
        <v>139.5</v>
      </c>
      <c r="U272">
        <v>151.80000000000001</v>
      </c>
      <c r="V272">
        <v>156.19999999999999</v>
      </c>
      <c r="W272">
        <v>143.4</v>
      </c>
      <c r="X272">
        <v>136</v>
      </c>
      <c r="Y272">
        <v>150.4</v>
      </c>
      <c r="Z272">
        <v>169.4</v>
      </c>
      <c r="AA272">
        <v>152.30000000000001</v>
      </c>
      <c r="AB272">
        <v>161.9</v>
      </c>
      <c r="AC272">
        <v>148.4</v>
      </c>
      <c r="AD272">
        <v>150.4</v>
      </c>
      <c r="AE272">
        <f>SUM(Table1_1[[#This Row],[Cereals and products]:[Food and beverages]])</f>
        <v>1909.7999999999997</v>
      </c>
      <c r="AF272">
        <f>SUM(Table1_1[[#This Row],[Clothing and footwear]:[Clothing]])</f>
        <v>452.8</v>
      </c>
      <c r="AG272">
        <f>SUM(Table1_1[[#This Row],[Clothing]:[Education]])</f>
        <v>1813.7000000000003</v>
      </c>
      <c r="AH272">
        <f>SUM(Table1_1[[#This Row],[Health]:[Personal care and effects]])</f>
        <v>299.60000000000002</v>
      </c>
      <c r="AI272">
        <f>SUM(Table1_1[[#This Row],[Recreation and amusement]:[Miscellaneous]])</f>
        <v>782.4</v>
      </c>
      <c r="AJ272">
        <f>SUM(Table1_1[[#This Row],[Fuel and light]])</f>
        <v>152.30000000000001</v>
      </c>
      <c r="AK272">
        <f>SUM(Table1_1[[#This Row],[Food]:[Luxury &amp;Other Thing]])</f>
        <v>5258.3</v>
      </c>
      <c r="AL272">
        <f>SUM(Table1_1[[#This Row],[Food]:[Luxury &amp;Other Thing]])</f>
        <v>5258.3</v>
      </c>
    </row>
    <row r="273" spans="1:38" x14ac:dyDescent="0.25">
      <c r="A273" t="s">
        <v>33</v>
      </c>
      <c r="B273" t="s">
        <v>35</v>
      </c>
      <c r="C273">
        <v>2020</v>
      </c>
      <c r="D273">
        <v>146.19999999999999</v>
      </c>
      <c r="E273">
        <v>167.6</v>
      </c>
      <c r="F273">
        <v>153.1</v>
      </c>
      <c r="G273">
        <v>150.69999999999999</v>
      </c>
      <c r="H273">
        <v>127.4</v>
      </c>
      <c r="I273">
        <v>143.1</v>
      </c>
      <c r="J273">
        <v>181.7</v>
      </c>
      <c r="K273">
        <v>139.6</v>
      </c>
      <c r="L273">
        <v>114.6</v>
      </c>
      <c r="M273">
        <v>150.4</v>
      </c>
      <c r="N273">
        <v>131.5</v>
      </c>
      <c r="O273">
        <v>159</v>
      </c>
      <c r="P273">
        <v>151.69999999999999</v>
      </c>
      <c r="Q273">
        <v>147.30000000000001</v>
      </c>
      <c r="R273">
        <v>133.5</v>
      </c>
      <c r="S273">
        <v>145.19999999999999</v>
      </c>
      <c r="T273">
        <v>154.80000000000001</v>
      </c>
      <c r="U273">
        <v>140.4</v>
      </c>
      <c r="V273">
        <v>144.4</v>
      </c>
      <c r="W273">
        <v>143.5</v>
      </c>
      <c r="X273">
        <v>125.2</v>
      </c>
      <c r="Y273">
        <v>137.69999999999999</v>
      </c>
      <c r="Z273">
        <v>172</v>
      </c>
      <c r="AA273">
        <v>138.9</v>
      </c>
      <c r="AB273">
        <v>152.19999999999999</v>
      </c>
      <c r="AC273">
        <v>138.4</v>
      </c>
      <c r="AD273">
        <v>147.69999999999999</v>
      </c>
      <c r="AE273">
        <f>SUM(Table1_1[[#This Row],[Cereals and products]:[Food and beverages]])</f>
        <v>1916.6</v>
      </c>
      <c r="AF273">
        <f>SUM(Table1_1[[#This Row],[Clothing and footwear]:[Clothing]])</f>
        <v>426</v>
      </c>
      <c r="AG273">
        <f>SUM(Table1_1[[#This Row],[Clothing]:[Education]])</f>
        <v>1735.1000000000001</v>
      </c>
      <c r="AH273">
        <f>SUM(Table1_1[[#This Row],[Health]:[Personal care and effects]])</f>
        <v>287.89999999999998</v>
      </c>
      <c r="AI273">
        <f>SUM(Table1_1[[#This Row],[Recreation and amusement]:[Miscellaneous]])</f>
        <v>739.19999999999993</v>
      </c>
      <c r="AJ273">
        <f>SUM(Table1_1[[#This Row],[Fuel and light]])</f>
        <v>138.9</v>
      </c>
      <c r="AK273">
        <f>SUM(Table1_1[[#This Row],[Food]:[Luxury &amp;Other Thing]])</f>
        <v>5104.7999999999993</v>
      </c>
      <c r="AL273">
        <f>SUM(Table1_1[[#This Row],[Food]:[Luxury &amp;Other Thing]])</f>
        <v>5104.7999999999993</v>
      </c>
    </row>
    <row r="274" spans="1:38" x14ac:dyDescent="0.25">
      <c r="A274" t="s">
        <v>34</v>
      </c>
      <c r="B274" t="s">
        <v>35</v>
      </c>
      <c r="C274">
        <v>2020</v>
      </c>
      <c r="D274">
        <v>144.80000000000001</v>
      </c>
      <c r="E274">
        <v>167.5</v>
      </c>
      <c r="F274">
        <v>151.80000000000001</v>
      </c>
      <c r="G274">
        <v>150.80000000000001</v>
      </c>
      <c r="H274">
        <v>131.4</v>
      </c>
      <c r="I274">
        <v>141.80000000000001</v>
      </c>
      <c r="J274">
        <v>170.7</v>
      </c>
      <c r="K274">
        <v>141.1</v>
      </c>
      <c r="L274">
        <v>113.6</v>
      </c>
      <c r="M274">
        <v>152</v>
      </c>
      <c r="N274">
        <v>136.5</v>
      </c>
      <c r="O274">
        <v>159.1</v>
      </c>
      <c r="P274">
        <v>150.5</v>
      </c>
      <c r="Q274">
        <v>150.80000000000001</v>
      </c>
      <c r="R274">
        <v>141.69999999999999</v>
      </c>
      <c r="S274">
        <v>149.5</v>
      </c>
      <c r="T274">
        <v>154.80000000000001</v>
      </c>
      <c r="U274">
        <v>146.4</v>
      </c>
      <c r="V274">
        <v>151.69999999999999</v>
      </c>
      <c r="W274">
        <v>143.4</v>
      </c>
      <c r="X274">
        <v>130.30000000000001</v>
      </c>
      <c r="Y274">
        <v>143.19999999999999</v>
      </c>
      <c r="Z274">
        <v>170.1</v>
      </c>
      <c r="AA274">
        <v>147.19999999999999</v>
      </c>
      <c r="AB274">
        <v>156.19999999999999</v>
      </c>
      <c r="AC274">
        <v>143.6</v>
      </c>
      <c r="AD274">
        <v>149.1</v>
      </c>
      <c r="AE274">
        <f>SUM(Table1_1[[#This Row],[Cereals and products]:[Food and beverages]])</f>
        <v>1911.6</v>
      </c>
      <c r="AF274">
        <f>SUM(Table1_1[[#This Row],[Clothing and footwear]:[Clothing]])</f>
        <v>442</v>
      </c>
      <c r="AG274">
        <f>SUM(Table1_1[[#This Row],[Clothing]:[Education]])</f>
        <v>1785.3</v>
      </c>
      <c r="AH274">
        <f>SUM(Table1_1[[#This Row],[Health]:[Personal care and effects]])</f>
        <v>295.10000000000002</v>
      </c>
      <c r="AI274">
        <f>SUM(Table1_1[[#This Row],[Recreation and amusement]:[Miscellaneous]])</f>
        <v>760.3</v>
      </c>
      <c r="AJ274">
        <f>SUM(Table1_1[[#This Row],[Fuel and light]])</f>
        <v>147.19999999999999</v>
      </c>
      <c r="AK274">
        <f>SUM(Table1_1[[#This Row],[Food]:[Luxury &amp;Other Thing]])</f>
        <v>5194.3</v>
      </c>
      <c r="AL274">
        <f>SUM(Table1_1[[#This Row],[Food]:[Luxury &amp;Other Thing]])</f>
        <v>5194.3</v>
      </c>
    </row>
    <row r="275" spans="1:38" x14ac:dyDescent="0.25">
      <c r="A275" t="s">
        <v>30</v>
      </c>
      <c r="B275" t="s">
        <v>35</v>
      </c>
      <c r="C275">
        <v>2021</v>
      </c>
      <c r="D275">
        <v>142.80000000000001</v>
      </c>
      <c r="E275">
        <v>184</v>
      </c>
      <c r="F275">
        <v>168</v>
      </c>
      <c r="G275">
        <v>154.4</v>
      </c>
      <c r="H275">
        <v>163</v>
      </c>
      <c r="I275">
        <v>147.80000000000001</v>
      </c>
      <c r="J275">
        <v>149.69999999999999</v>
      </c>
      <c r="K275">
        <v>158.30000000000001</v>
      </c>
      <c r="L275">
        <v>111.8</v>
      </c>
      <c r="M275">
        <v>165</v>
      </c>
      <c r="N275">
        <v>160</v>
      </c>
      <c r="O275">
        <v>165.8</v>
      </c>
      <c r="P275">
        <v>154.69999999999999</v>
      </c>
      <c r="Q275">
        <v>159.1</v>
      </c>
      <c r="R275">
        <v>153.9</v>
      </c>
      <c r="S275">
        <v>158.4</v>
      </c>
      <c r="T275">
        <v>139.5</v>
      </c>
      <c r="U275">
        <v>154.80000000000001</v>
      </c>
      <c r="V275">
        <v>164.3</v>
      </c>
      <c r="W275">
        <v>155.19999999999999</v>
      </c>
      <c r="X275">
        <v>150.19999999999999</v>
      </c>
      <c r="Y275">
        <v>157</v>
      </c>
      <c r="Z275">
        <v>186.5</v>
      </c>
      <c r="AA275">
        <v>154.4</v>
      </c>
      <c r="AB275">
        <v>163.6</v>
      </c>
      <c r="AC275">
        <v>157.19999999999999</v>
      </c>
      <c r="AD275">
        <v>156.69999999999999</v>
      </c>
      <c r="AE275">
        <f>SUM(Table1_1[[#This Row],[Cereals and products]:[Food and beverages]])</f>
        <v>2025.3</v>
      </c>
      <c r="AF275">
        <f>SUM(Table1_1[[#This Row],[Clothing and footwear]:[Clothing]])</f>
        <v>471.4</v>
      </c>
      <c r="AG275">
        <f>SUM(Table1_1[[#This Row],[Clothing]:[Education]])</f>
        <v>1896.9</v>
      </c>
      <c r="AH275">
        <f>SUM(Table1_1[[#This Row],[Health]:[Personal care and effects]])</f>
        <v>319.5</v>
      </c>
      <c r="AI275">
        <f>SUM(Table1_1[[#This Row],[Recreation and amusement]:[Miscellaneous]])</f>
        <v>818.7</v>
      </c>
      <c r="AJ275">
        <f>SUM(Table1_1[[#This Row],[Fuel and light]])</f>
        <v>154.4</v>
      </c>
      <c r="AK275">
        <f>SUM(Table1_1[[#This Row],[Food]:[Luxury &amp;Other Thing]])</f>
        <v>5531.8</v>
      </c>
      <c r="AL275">
        <f>SUM(Table1_1[[#This Row],[Food]:[Luxury &amp;Other Thing]])</f>
        <v>5531.8</v>
      </c>
    </row>
    <row r="276" spans="1:38" x14ac:dyDescent="0.25">
      <c r="A276" t="s">
        <v>33</v>
      </c>
      <c r="B276" t="s">
        <v>35</v>
      </c>
      <c r="C276">
        <v>2021</v>
      </c>
      <c r="D276">
        <v>147.6</v>
      </c>
      <c r="E276">
        <v>191.2</v>
      </c>
      <c r="F276">
        <v>169.9</v>
      </c>
      <c r="G276">
        <v>155.1</v>
      </c>
      <c r="H276">
        <v>151.4</v>
      </c>
      <c r="I276">
        <v>154</v>
      </c>
      <c r="J276">
        <v>180.2</v>
      </c>
      <c r="K276">
        <v>159.80000000000001</v>
      </c>
      <c r="L276">
        <v>114.9</v>
      </c>
      <c r="M276">
        <v>162.5</v>
      </c>
      <c r="N276">
        <v>149.19999999999999</v>
      </c>
      <c r="O276">
        <v>169.4</v>
      </c>
      <c r="P276">
        <v>160.80000000000001</v>
      </c>
      <c r="Q276">
        <v>154.19999999999999</v>
      </c>
      <c r="R276">
        <v>138.19999999999999</v>
      </c>
      <c r="S276">
        <v>151.80000000000001</v>
      </c>
      <c r="T276">
        <v>159.80000000000001</v>
      </c>
      <c r="U276">
        <v>146.5</v>
      </c>
      <c r="V276">
        <v>156.30000000000001</v>
      </c>
      <c r="W276">
        <v>156.69999999999999</v>
      </c>
      <c r="X276">
        <v>140.5</v>
      </c>
      <c r="Y276">
        <v>147.30000000000001</v>
      </c>
      <c r="Z276">
        <v>193.3</v>
      </c>
      <c r="AA276">
        <v>149.1</v>
      </c>
      <c r="AB276">
        <v>156.6</v>
      </c>
      <c r="AC276">
        <v>149.30000000000001</v>
      </c>
      <c r="AD276">
        <v>156.5</v>
      </c>
      <c r="AE276">
        <f>SUM(Table1_1[[#This Row],[Cereals and products]:[Food and beverages]])</f>
        <v>2066</v>
      </c>
      <c r="AF276">
        <f>SUM(Table1_1[[#This Row],[Clothing and footwear]:[Clothing]])</f>
        <v>444.2</v>
      </c>
      <c r="AG276">
        <f>SUM(Table1_1[[#This Row],[Clothing]:[Education]])</f>
        <v>1850.2999999999997</v>
      </c>
      <c r="AH276">
        <f>SUM(Table1_1[[#This Row],[Health]:[Personal care and effects]])</f>
        <v>313</v>
      </c>
      <c r="AI276">
        <f>SUM(Table1_1[[#This Row],[Recreation and amusement]:[Miscellaneous]])</f>
        <v>795.60000000000014</v>
      </c>
      <c r="AJ276">
        <f>SUM(Table1_1[[#This Row],[Fuel and light]])</f>
        <v>149.1</v>
      </c>
      <c r="AK276">
        <f>SUM(Table1_1[[#This Row],[Food]:[Luxury &amp;Other Thing]])</f>
        <v>5469.1</v>
      </c>
      <c r="AL276">
        <f>SUM(Table1_1[[#This Row],[Food]:[Luxury &amp;Other Thing]])</f>
        <v>5469.1</v>
      </c>
    </row>
    <row r="277" spans="1:38" x14ac:dyDescent="0.25">
      <c r="A277" t="s">
        <v>34</v>
      </c>
      <c r="B277" t="s">
        <v>35</v>
      </c>
      <c r="C277">
        <v>2021</v>
      </c>
      <c r="D277">
        <v>144.30000000000001</v>
      </c>
      <c r="E277">
        <v>186.5</v>
      </c>
      <c r="F277">
        <v>168.7</v>
      </c>
      <c r="G277">
        <v>154.69999999999999</v>
      </c>
      <c r="H277">
        <v>158.69999999999999</v>
      </c>
      <c r="I277">
        <v>150.69999999999999</v>
      </c>
      <c r="J277">
        <v>160</v>
      </c>
      <c r="K277">
        <v>158.80000000000001</v>
      </c>
      <c r="L277">
        <v>112.8</v>
      </c>
      <c r="M277">
        <v>164.2</v>
      </c>
      <c r="N277">
        <v>155.5</v>
      </c>
      <c r="O277">
        <v>167.5</v>
      </c>
      <c r="P277">
        <v>156.9</v>
      </c>
      <c r="Q277">
        <v>157.19999999999999</v>
      </c>
      <c r="R277">
        <v>147.4</v>
      </c>
      <c r="S277">
        <v>155.80000000000001</v>
      </c>
      <c r="T277">
        <v>159.80000000000001</v>
      </c>
      <c r="U277">
        <v>150.9</v>
      </c>
      <c r="V277">
        <v>161.30000000000001</v>
      </c>
      <c r="W277">
        <v>155.80000000000001</v>
      </c>
      <c r="X277">
        <v>145.1</v>
      </c>
      <c r="Y277">
        <v>151.5</v>
      </c>
      <c r="Z277">
        <v>188.3</v>
      </c>
      <c r="AA277">
        <v>152.4</v>
      </c>
      <c r="AB277">
        <v>159.5</v>
      </c>
      <c r="AC277">
        <v>153.4</v>
      </c>
      <c r="AD277">
        <v>156.6</v>
      </c>
      <c r="AE277">
        <f>SUM(Table1_1[[#This Row],[Cereals and products]:[Food and beverages]])</f>
        <v>2039.3000000000002</v>
      </c>
      <c r="AF277">
        <f>SUM(Table1_1[[#This Row],[Clothing and footwear]:[Clothing]])</f>
        <v>460.40000000000003</v>
      </c>
      <c r="AG277">
        <f>SUM(Table1_1[[#This Row],[Clothing]:[Education]])</f>
        <v>1885</v>
      </c>
      <c r="AH277">
        <f>SUM(Table1_1[[#This Row],[Health]:[Personal care and effects]])</f>
        <v>317.10000000000002</v>
      </c>
      <c r="AI277">
        <f>SUM(Table1_1[[#This Row],[Recreation and amusement]:[Miscellaneous]])</f>
        <v>805.1</v>
      </c>
      <c r="AJ277">
        <f>SUM(Table1_1[[#This Row],[Fuel and light]])</f>
        <v>152.4</v>
      </c>
      <c r="AK277">
        <f>SUM(Table1_1[[#This Row],[Food]:[Luxury &amp;Other Thing]])</f>
        <v>5506.9000000000015</v>
      </c>
      <c r="AL277">
        <f>SUM(Table1_1[[#This Row],[Food]:[Luxury &amp;Other Thing]])</f>
        <v>5506.9000000000015</v>
      </c>
    </row>
    <row r="278" spans="1:38" x14ac:dyDescent="0.25">
      <c r="A278" t="s">
        <v>30</v>
      </c>
      <c r="B278" t="s">
        <v>35</v>
      </c>
      <c r="C278">
        <v>2022</v>
      </c>
      <c r="D278">
        <v>148.80000000000001</v>
      </c>
      <c r="E278">
        <v>198.1</v>
      </c>
      <c r="F278">
        <v>175.5</v>
      </c>
      <c r="G278">
        <v>160.69999999999999</v>
      </c>
      <c r="H278">
        <v>192.6</v>
      </c>
      <c r="I278">
        <v>151.4</v>
      </c>
      <c r="J278">
        <v>155.19999999999999</v>
      </c>
      <c r="K278">
        <v>163.9</v>
      </c>
      <c r="L278">
        <v>118.1</v>
      </c>
      <c r="M278">
        <v>175.4</v>
      </c>
      <c r="N278">
        <v>170.5</v>
      </c>
      <c r="O278">
        <v>176.3</v>
      </c>
      <c r="P278">
        <v>163.9</v>
      </c>
      <c r="Q278">
        <v>174.1</v>
      </c>
      <c r="R278">
        <v>171</v>
      </c>
      <c r="S278">
        <v>173.7</v>
      </c>
      <c r="T278">
        <v>139.5</v>
      </c>
      <c r="U278">
        <v>165.7</v>
      </c>
      <c r="V278">
        <v>175.3</v>
      </c>
      <c r="W278">
        <v>164.5</v>
      </c>
      <c r="X278">
        <v>161.19999999999999</v>
      </c>
      <c r="Y278">
        <v>165.5</v>
      </c>
      <c r="Z278">
        <v>191.5</v>
      </c>
      <c r="AA278">
        <v>167.4</v>
      </c>
      <c r="AB278">
        <v>170.3</v>
      </c>
      <c r="AC278">
        <v>167.3</v>
      </c>
      <c r="AD278">
        <v>166.7</v>
      </c>
      <c r="AE278">
        <f>SUM(Table1_1[[#This Row],[Cereals and products]:[Food and beverages]])</f>
        <v>2150.4</v>
      </c>
      <c r="AF278">
        <f>SUM(Table1_1[[#This Row],[Clothing and footwear]:[Clothing]])</f>
        <v>518.79999999999995</v>
      </c>
      <c r="AG278">
        <f>SUM(Table1_1[[#This Row],[Clothing]:[Education]])</f>
        <v>2019.7</v>
      </c>
      <c r="AH278">
        <f>SUM(Table1_1[[#This Row],[Health]:[Personal care and effects]])</f>
        <v>339.8</v>
      </c>
      <c r="AI278">
        <f>SUM(Table1_1[[#This Row],[Recreation and amusement]:[Miscellaneous]])</f>
        <v>862</v>
      </c>
      <c r="AJ278">
        <f>SUM(Table1_1[[#This Row],[Fuel and light]])</f>
        <v>167.4</v>
      </c>
      <c r="AK278">
        <f>SUM(Table1_1[[#This Row],[Food]:[Luxury &amp;Other Thing]])</f>
        <v>5890.7</v>
      </c>
      <c r="AL278">
        <f>SUM(Table1_1[[#This Row],[Food]:[Luxury &amp;Other Thing]])</f>
        <v>5890.7</v>
      </c>
    </row>
    <row r="279" spans="1:38" x14ac:dyDescent="0.25">
      <c r="A279" t="s">
        <v>33</v>
      </c>
      <c r="B279" t="s">
        <v>35</v>
      </c>
      <c r="C279">
        <v>2022</v>
      </c>
      <c r="D279">
        <v>152.5</v>
      </c>
      <c r="E279">
        <v>205.2</v>
      </c>
      <c r="F279">
        <v>176.4</v>
      </c>
      <c r="G279">
        <v>160.6</v>
      </c>
      <c r="H279">
        <v>171.5</v>
      </c>
      <c r="I279">
        <v>156.4</v>
      </c>
      <c r="J279">
        <v>198</v>
      </c>
      <c r="K279">
        <v>163.19999999999999</v>
      </c>
      <c r="L279">
        <v>120.6</v>
      </c>
      <c r="M279">
        <v>172.2</v>
      </c>
      <c r="N279">
        <v>156.69999999999999</v>
      </c>
      <c r="O279">
        <v>180</v>
      </c>
      <c r="P279">
        <v>170.2</v>
      </c>
      <c r="Q279">
        <v>165.7</v>
      </c>
      <c r="R279">
        <v>150.4</v>
      </c>
      <c r="S279">
        <v>163.4</v>
      </c>
      <c r="T279">
        <v>165.5</v>
      </c>
      <c r="U279">
        <v>157.4</v>
      </c>
      <c r="V279">
        <v>167.2</v>
      </c>
      <c r="W279">
        <v>164.2</v>
      </c>
      <c r="X279">
        <v>153.1</v>
      </c>
      <c r="Y279">
        <v>159.5</v>
      </c>
      <c r="Z279">
        <v>196.5</v>
      </c>
      <c r="AA279">
        <v>163</v>
      </c>
      <c r="AB279">
        <v>162</v>
      </c>
      <c r="AC279">
        <v>159.4</v>
      </c>
      <c r="AD279">
        <v>165.5</v>
      </c>
      <c r="AE279">
        <f>SUM(Table1_1[[#This Row],[Cereals and products]:[Food and beverages]])</f>
        <v>2183.5</v>
      </c>
      <c r="AF279">
        <f>SUM(Table1_1[[#This Row],[Clothing and footwear]:[Clothing]])</f>
        <v>479.5</v>
      </c>
      <c r="AG279">
        <f>SUM(Table1_1[[#This Row],[Clothing]:[Education]])</f>
        <v>1967.8999999999999</v>
      </c>
      <c r="AH279">
        <f>SUM(Table1_1[[#This Row],[Health]:[Personal care and effects]])</f>
        <v>331.4</v>
      </c>
      <c r="AI279">
        <f>SUM(Table1_1[[#This Row],[Recreation and amusement]:[Miscellaneous]])</f>
        <v>840.4</v>
      </c>
      <c r="AJ279">
        <f>SUM(Table1_1[[#This Row],[Fuel and light]])</f>
        <v>163</v>
      </c>
      <c r="AK279">
        <f>SUM(Table1_1[[#This Row],[Food]:[Luxury &amp;Other Thing]])</f>
        <v>5802.6999999999989</v>
      </c>
      <c r="AL279">
        <f>SUM(Table1_1[[#This Row],[Food]:[Luxury &amp;Other Thing]])</f>
        <v>5802.6999999999989</v>
      </c>
    </row>
    <row r="280" spans="1:38" x14ac:dyDescent="0.25">
      <c r="A280" t="s">
        <v>34</v>
      </c>
      <c r="B280" t="s">
        <v>35</v>
      </c>
      <c r="C280">
        <v>2022</v>
      </c>
      <c r="D280">
        <v>150</v>
      </c>
      <c r="E280">
        <v>200.6</v>
      </c>
      <c r="F280">
        <v>175.8</v>
      </c>
      <c r="G280">
        <v>160.69999999999999</v>
      </c>
      <c r="H280">
        <v>184.9</v>
      </c>
      <c r="I280">
        <v>153.69999999999999</v>
      </c>
      <c r="J280">
        <v>169.7</v>
      </c>
      <c r="K280">
        <v>163.69999999999999</v>
      </c>
      <c r="L280">
        <v>118.9</v>
      </c>
      <c r="M280">
        <v>174.3</v>
      </c>
      <c r="N280">
        <v>164.7</v>
      </c>
      <c r="O280">
        <v>178</v>
      </c>
      <c r="P280">
        <v>166.2</v>
      </c>
      <c r="Q280">
        <v>170.8</v>
      </c>
      <c r="R280">
        <v>162.4</v>
      </c>
      <c r="S280">
        <v>169.6</v>
      </c>
      <c r="T280">
        <v>165.5</v>
      </c>
      <c r="U280">
        <v>161.80000000000001</v>
      </c>
      <c r="V280">
        <v>172.2</v>
      </c>
      <c r="W280">
        <v>164.4</v>
      </c>
      <c r="X280">
        <v>156.9</v>
      </c>
      <c r="Y280">
        <v>162.1</v>
      </c>
      <c r="Z280">
        <v>192.8</v>
      </c>
      <c r="AA280">
        <v>165.7</v>
      </c>
      <c r="AB280">
        <v>165.4</v>
      </c>
      <c r="AC280">
        <v>163.5</v>
      </c>
      <c r="AD280">
        <v>166.1</v>
      </c>
      <c r="AE280">
        <f>SUM(Table1_1[[#This Row],[Cereals and products]:[Food and beverages]])</f>
        <v>2161.2000000000003</v>
      </c>
      <c r="AF280">
        <f>SUM(Table1_1[[#This Row],[Clothing and footwear]:[Clothing]])</f>
        <v>502.80000000000007</v>
      </c>
      <c r="AG280">
        <f>SUM(Table1_1[[#This Row],[Clothing]:[Education]])</f>
        <v>2009.6000000000004</v>
      </c>
      <c r="AH280">
        <f>SUM(Table1_1[[#This Row],[Health]:[Personal care and effects]])</f>
        <v>336.6</v>
      </c>
      <c r="AI280">
        <f>SUM(Table1_1[[#This Row],[Recreation and amusement]:[Miscellaneous]])</f>
        <v>849.49999999999989</v>
      </c>
      <c r="AJ280">
        <f>SUM(Table1_1[[#This Row],[Fuel and light]])</f>
        <v>165.7</v>
      </c>
      <c r="AK280">
        <f>SUM(Table1_1[[#This Row],[Food]:[Luxury &amp;Other Thing]])</f>
        <v>5859.7000000000007</v>
      </c>
      <c r="AL280">
        <f>SUM(Table1_1[[#This Row],[Food]:[Luxury &amp;Other Thing]])</f>
        <v>5859.7000000000007</v>
      </c>
    </row>
    <row r="281" spans="1:38" x14ac:dyDescent="0.25">
      <c r="A281" t="s">
        <v>30</v>
      </c>
      <c r="B281" t="s">
        <v>35</v>
      </c>
      <c r="C281">
        <v>2023</v>
      </c>
      <c r="D281">
        <v>174.2</v>
      </c>
      <c r="E281">
        <v>205.2</v>
      </c>
      <c r="F281">
        <v>173.9</v>
      </c>
      <c r="G281">
        <v>177</v>
      </c>
      <c r="H281">
        <v>183.4</v>
      </c>
      <c r="I281">
        <v>167.2</v>
      </c>
      <c r="J281">
        <v>140.9</v>
      </c>
      <c r="K281">
        <v>170.4</v>
      </c>
      <c r="L281">
        <v>119.1</v>
      </c>
      <c r="M281">
        <v>212.1</v>
      </c>
      <c r="N281">
        <v>177.6</v>
      </c>
      <c r="O281">
        <v>189.9</v>
      </c>
      <c r="P281">
        <v>174.8</v>
      </c>
      <c r="Q281">
        <v>190</v>
      </c>
      <c r="R281">
        <v>187</v>
      </c>
      <c r="S281">
        <v>189.6</v>
      </c>
      <c r="T281">
        <v>139.5</v>
      </c>
      <c r="U281">
        <v>178.6</v>
      </c>
      <c r="V281">
        <v>186.6</v>
      </c>
      <c r="W281">
        <v>180.7</v>
      </c>
      <c r="X281">
        <v>169</v>
      </c>
      <c r="Y281">
        <v>172.8</v>
      </c>
      <c r="Z281">
        <v>198.3</v>
      </c>
      <c r="AA281">
        <v>181.6</v>
      </c>
      <c r="AB281">
        <v>178.5</v>
      </c>
      <c r="AC281">
        <v>177.9</v>
      </c>
      <c r="AD281">
        <v>178</v>
      </c>
      <c r="AE281">
        <f>SUM(Table1_1[[#This Row],[Cereals and products]:[Food and beverages]])</f>
        <v>2265.6999999999998</v>
      </c>
      <c r="AF281">
        <f>SUM(Table1_1[[#This Row],[Clothing and footwear]:[Clothing]])</f>
        <v>566.6</v>
      </c>
      <c r="AG281">
        <f>SUM(Table1_1[[#This Row],[Clothing]:[Education]])</f>
        <v>2152.1999999999998</v>
      </c>
      <c r="AH281">
        <f>SUM(Table1_1[[#This Row],[Health]:[Personal care and effects]])</f>
        <v>367.29999999999995</v>
      </c>
      <c r="AI281">
        <f>SUM(Table1_1[[#This Row],[Recreation and amusement]:[Miscellaneous]])</f>
        <v>909.1</v>
      </c>
      <c r="AJ281">
        <f>SUM(Table1_1[[#This Row],[Fuel and light]])</f>
        <v>181.6</v>
      </c>
      <c r="AK281">
        <f>SUM(Table1_1[[#This Row],[Food]:[Luxury &amp;Other Thing]])</f>
        <v>6260.9000000000005</v>
      </c>
      <c r="AL281">
        <f>SUM(Table1_1[[#This Row],[Food]:[Luxury &amp;Other Thing]])</f>
        <v>6260.9000000000005</v>
      </c>
    </row>
    <row r="282" spans="1:38" x14ac:dyDescent="0.25">
      <c r="A282" t="s">
        <v>33</v>
      </c>
      <c r="B282" t="s">
        <v>35</v>
      </c>
      <c r="C282">
        <v>2023</v>
      </c>
      <c r="D282">
        <v>174.7</v>
      </c>
      <c r="E282">
        <v>212.2</v>
      </c>
      <c r="F282">
        <v>177.2</v>
      </c>
      <c r="G282">
        <v>177.9</v>
      </c>
      <c r="H282">
        <v>172.2</v>
      </c>
      <c r="I282">
        <v>172.1</v>
      </c>
      <c r="J282">
        <v>175.8</v>
      </c>
      <c r="K282">
        <v>172.2</v>
      </c>
      <c r="L282">
        <v>121.9</v>
      </c>
      <c r="M282">
        <v>204.8</v>
      </c>
      <c r="N282">
        <v>164.9</v>
      </c>
      <c r="O282">
        <v>196.6</v>
      </c>
      <c r="P282">
        <v>180.7</v>
      </c>
      <c r="Q282">
        <v>180.3</v>
      </c>
      <c r="R282">
        <v>167</v>
      </c>
      <c r="S282">
        <v>178.2</v>
      </c>
      <c r="T282">
        <v>173.5</v>
      </c>
      <c r="U282">
        <v>169.2</v>
      </c>
      <c r="V282">
        <v>180.8</v>
      </c>
      <c r="W282">
        <v>181.4</v>
      </c>
      <c r="X282">
        <v>159.80000000000001</v>
      </c>
      <c r="Y282">
        <v>168.4</v>
      </c>
      <c r="Z282">
        <v>202.7</v>
      </c>
      <c r="AA282">
        <v>182.8</v>
      </c>
      <c r="AB282">
        <v>172.5</v>
      </c>
      <c r="AC282">
        <v>170</v>
      </c>
      <c r="AD282">
        <v>176.3</v>
      </c>
      <c r="AE282">
        <f>SUM(Table1_1[[#This Row],[Cereals and products]:[Food and beverages]])</f>
        <v>2303.1999999999998</v>
      </c>
      <c r="AF282">
        <f>SUM(Table1_1[[#This Row],[Clothing and footwear]:[Clothing]])</f>
        <v>525.5</v>
      </c>
      <c r="AG282">
        <f>SUM(Table1_1[[#This Row],[Clothing]:[Education]])</f>
        <v>2116.6000000000004</v>
      </c>
      <c r="AH282">
        <f>SUM(Table1_1[[#This Row],[Health]:[Personal care and effects]])</f>
        <v>362.20000000000005</v>
      </c>
      <c r="AI282">
        <f>SUM(Table1_1[[#This Row],[Recreation and amusement]:[Miscellaneous]])</f>
        <v>896.40000000000009</v>
      </c>
      <c r="AJ282">
        <f>SUM(Table1_1[[#This Row],[Fuel and light]])</f>
        <v>182.8</v>
      </c>
      <c r="AK282">
        <f>SUM(Table1_1[[#This Row],[Food]:[Luxury &amp;Other Thing]])</f>
        <v>6203.9</v>
      </c>
      <c r="AL282">
        <f>SUM(Table1_1[[#This Row],[Food]:[Luxury &amp;Other Thing]])</f>
        <v>6203.9</v>
      </c>
    </row>
    <row r="283" spans="1:38" x14ac:dyDescent="0.25">
      <c r="A283" t="s">
        <v>34</v>
      </c>
      <c r="B283" t="s">
        <v>35</v>
      </c>
      <c r="C283">
        <v>2023</v>
      </c>
      <c r="D283">
        <v>174.4</v>
      </c>
      <c r="E283">
        <v>207.7</v>
      </c>
      <c r="F283">
        <v>175.2</v>
      </c>
      <c r="G283">
        <v>177.3</v>
      </c>
      <c r="H283">
        <v>179.3</v>
      </c>
      <c r="I283">
        <v>169.5</v>
      </c>
      <c r="J283">
        <v>152.69999999999999</v>
      </c>
      <c r="K283">
        <v>171</v>
      </c>
      <c r="L283">
        <v>120</v>
      </c>
      <c r="M283">
        <v>209.7</v>
      </c>
      <c r="N283">
        <v>172.3</v>
      </c>
      <c r="O283">
        <v>193</v>
      </c>
      <c r="P283">
        <v>177</v>
      </c>
      <c r="Q283">
        <v>186.2</v>
      </c>
      <c r="R283">
        <v>178.7</v>
      </c>
      <c r="S283">
        <v>185.1</v>
      </c>
      <c r="T283">
        <v>173.5</v>
      </c>
      <c r="U283">
        <v>174.2</v>
      </c>
      <c r="V283">
        <v>184.4</v>
      </c>
      <c r="W283">
        <v>181</v>
      </c>
      <c r="X283">
        <v>164.2</v>
      </c>
      <c r="Y283">
        <v>170.3</v>
      </c>
      <c r="Z283">
        <v>199.5</v>
      </c>
      <c r="AA283">
        <v>182.1</v>
      </c>
      <c r="AB283">
        <v>175</v>
      </c>
      <c r="AC283">
        <v>174.1</v>
      </c>
      <c r="AD283">
        <v>177.2</v>
      </c>
      <c r="AE283">
        <f>SUM(Table1_1[[#This Row],[Cereals and products]:[Food and beverages]])</f>
        <v>2279.1</v>
      </c>
      <c r="AF283">
        <f>SUM(Table1_1[[#This Row],[Clothing and footwear]:[Clothing]])</f>
        <v>550</v>
      </c>
      <c r="AG283">
        <f>SUM(Table1_1[[#This Row],[Clothing]:[Education]])</f>
        <v>2154.1999999999998</v>
      </c>
      <c r="AH283">
        <f>SUM(Table1_1[[#This Row],[Health]:[Personal care and effects]])</f>
        <v>365.4</v>
      </c>
      <c r="AI283">
        <f>SUM(Table1_1[[#This Row],[Recreation and amusement]:[Miscellaneous]])</f>
        <v>901</v>
      </c>
      <c r="AJ283">
        <f>SUM(Table1_1[[#This Row],[Fuel and light]])</f>
        <v>182.1</v>
      </c>
      <c r="AK283">
        <f>SUM(Table1_1[[#This Row],[Food]:[Luxury &amp;Other Thing]])</f>
        <v>6249.6999999999989</v>
      </c>
      <c r="AL283">
        <f>SUM(Table1_1[[#This Row],[Food]:[Luxury &amp;Other Thing]])</f>
        <v>6249.6999999999989</v>
      </c>
    </row>
    <row r="284" spans="1:38" x14ac:dyDescent="0.25">
      <c r="A284" t="s">
        <v>30</v>
      </c>
      <c r="B284" t="s">
        <v>46</v>
      </c>
      <c r="C284">
        <v>2013</v>
      </c>
      <c r="D284">
        <v>118.4</v>
      </c>
      <c r="E284">
        <v>115.9</v>
      </c>
      <c r="F284">
        <v>120.4</v>
      </c>
      <c r="G284">
        <v>113.8</v>
      </c>
      <c r="H284">
        <v>109.5</v>
      </c>
      <c r="I284">
        <v>115.5</v>
      </c>
      <c r="J284">
        <v>145.69999999999999</v>
      </c>
      <c r="K284">
        <v>109.5</v>
      </c>
      <c r="L284">
        <v>102.9</v>
      </c>
      <c r="M284">
        <v>109.8</v>
      </c>
      <c r="N284">
        <v>112.1</v>
      </c>
      <c r="O284">
        <v>116.8</v>
      </c>
      <c r="P284">
        <v>118.7</v>
      </c>
      <c r="Q284">
        <v>115.8</v>
      </c>
      <c r="R284">
        <v>114</v>
      </c>
      <c r="S284">
        <v>115.5</v>
      </c>
      <c r="T284">
        <v>139.5</v>
      </c>
      <c r="U284">
        <v>112.1</v>
      </c>
      <c r="V284">
        <v>110.1</v>
      </c>
      <c r="W284">
        <v>108.1</v>
      </c>
      <c r="X284">
        <v>109.9</v>
      </c>
      <c r="Y284">
        <v>109.2</v>
      </c>
      <c r="Z284">
        <v>113.6</v>
      </c>
      <c r="AA284">
        <v>112.8</v>
      </c>
      <c r="AB284">
        <v>111.6</v>
      </c>
      <c r="AC284">
        <v>110.1</v>
      </c>
      <c r="AD284">
        <v>115.5</v>
      </c>
      <c r="AE284" s="12">
        <f>SUM(Table1_1[[#This Row],[Cereals and products]:[Food and beverages]])</f>
        <v>1509</v>
      </c>
      <c r="AF284">
        <f>SUM(Table1_1[[#This Row],[Clothing and footwear]:[Clothing]])</f>
        <v>345.3</v>
      </c>
      <c r="AG284" s="12">
        <f>SUM(Table1_1[[#This Row],[Clothing]:[Education]])</f>
        <v>1372.1999999999998</v>
      </c>
      <c r="AH284">
        <f>SUM(Table1_1[[#This Row],[Health]:[Personal care and effects]])</f>
        <v>218.2</v>
      </c>
      <c r="AI284">
        <f>SUM(Table1_1[[#This Row],[Recreation and amusement]:[Miscellaneous]])</f>
        <v>557.30000000000007</v>
      </c>
      <c r="AJ284" s="12">
        <f>SUM(Table1_1[[#This Row],[Fuel and light]])</f>
        <v>112.8</v>
      </c>
      <c r="AK284">
        <f>SUM(Table1_1[[#This Row],[Food]:[Luxury &amp;Other Thing]])</f>
        <v>4002</v>
      </c>
      <c r="AL284">
        <f>SUM(Table1_1[[#This Row],[Food]:[Luxury &amp;Other Thing]])</f>
        <v>4002</v>
      </c>
    </row>
    <row r="285" spans="1:38" x14ac:dyDescent="0.25">
      <c r="A285" t="s">
        <v>33</v>
      </c>
      <c r="B285" t="s">
        <v>46</v>
      </c>
      <c r="C285">
        <v>2013</v>
      </c>
      <c r="D285">
        <v>120.5</v>
      </c>
      <c r="E285">
        <v>118.1</v>
      </c>
      <c r="F285">
        <v>128.5</v>
      </c>
      <c r="G285">
        <v>112.8</v>
      </c>
      <c r="H285">
        <v>103.4</v>
      </c>
      <c r="I285">
        <v>110.7</v>
      </c>
      <c r="J285">
        <v>144.80000000000001</v>
      </c>
      <c r="K285">
        <v>107.1</v>
      </c>
      <c r="L285">
        <v>98.6</v>
      </c>
      <c r="M285">
        <v>111.9</v>
      </c>
      <c r="N285">
        <v>112.1</v>
      </c>
      <c r="O285">
        <v>118.1</v>
      </c>
      <c r="P285">
        <v>117.8</v>
      </c>
      <c r="Q285">
        <v>114.2</v>
      </c>
      <c r="R285">
        <v>110.9</v>
      </c>
      <c r="S285">
        <v>113.7</v>
      </c>
      <c r="T285">
        <v>110.7</v>
      </c>
      <c r="U285">
        <v>111.3</v>
      </c>
      <c r="V285">
        <v>109</v>
      </c>
      <c r="W285">
        <v>107.7</v>
      </c>
      <c r="X285">
        <v>109.7</v>
      </c>
      <c r="Y285">
        <v>108.9</v>
      </c>
      <c r="Z285">
        <v>115</v>
      </c>
      <c r="AA285">
        <v>110.4</v>
      </c>
      <c r="AB285">
        <v>111.4</v>
      </c>
      <c r="AC285">
        <v>109.8</v>
      </c>
      <c r="AD285">
        <v>113.3</v>
      </c>
      <c r="AE285">
        <f>SUM(Table1_1[[#This Row],[Cereals and products]:[Food and beverages]])</f>
        <v>1504.4</v>
      </c>
      <c r="AF285">
        <f>SUM(Table1_1[[#This Row],[Clothing and footwear]:[Clothing]])</f>
        <v>338.8</v>
      </c>
      <c r="AG285">
        <f>SUM(Table1_1[[#This Row],[Clothing]:[Education]])</f>
        <v>1332.9</v>
      </c>
      <c r="AH285">
        <f>SUM(Table1_1[[#This Row],[Health]:[Personal care and effects]])</f>
        <v>216.7</v>
      </c>
      <c r="AI285">
        <f>SUM(Table1_1[[#This Row],[Recreation and amusement]:[Miscellaneous]])</f>
        <v>555.5</v>
      </c>
      <c r="AJ285">
        <f>SUM(Table1_1[[#This Row],[Fuel and light]])</f>
        <v>110.4</v>
      </c>
      <c r="AK285">
        <f>SUM(Table1_1[[#This Row],[Food]:[Luxury &amp;Other Thing]])</f>
        <v>3948.3</v>
      </c>
      <c r="AL285">
        <f>SUM(Table1_1[[#This Row],[Food]:[Luxury &amp;Other Thing]])</f>
        <v>3948.3</v>
      </c>
    </row>
    <row r="286" spans="1:38" x14ac:dyDescent="0.25">
      <c r="A286" t="s">
        <v>34</v>
      </c>
      <c r="B286" t="s">
        <v>46</v>
      </c>
      <c r="C286">
        <v>2013</v>
      </c>
      <c r="D286">
        <v>119.1</v>
      </c>
      <c r="E286">
        <v>116.7</v>
      </c>
      <c r="F286">
        <v>123.5</v>
      </c>
      <c r="G286">
        <v>113.4</v>
      </c>
      <c r="H286">
        <v>107.3</v>
      </c>
      <c r="I286">
        <v>113.3</v>
      </c>
      <c r="J286">
        <v>145.4</v>
      </c>
      <c r="K286">
        <v>108.7</v>
      </c>
      <c r="L286">
        <v>101.5</v>
      </c>
      <c r="M286">
        <v>110.5</v>
      </c>
      <c r="N286">
        <v>112.1</v>
      </c>
      <c r="O286">
        <v>117.4</v>
      </c>
      <c r="P286">
        <v>118.4</v>
      </c>
      <c r="Q286">
        <v>115.2</v>
      </c>
      <c r="R286">
        <v>112.7</v>
      </c>
      <c r="S286">
        <v>114.8</v>
      </c>
      <c r="T286">
        <v>110.7</v>
      </c>
      <c r="U286">
        <v>111.7</v>
      </c>
      <c r="V286">
        <v>109.7</v>
      </c>
      <c r="W286">
        <v>107.9</v>
      </c>
      <c r="X286">
        <v>109.8</v>
      </c>
      <c r="Y286">
        <v>109</v>
      </c>
      <c r="Z286">
        <v>114</v>
      </c>
      <c r="AA286">
        <v>111.9</v>
      </c>
      <c r="AB286">
        <v>111.5</v>
      </c>
      <c r="AC286">
        <v>110</v>
      </c>
      <c r="AD286">
        <v>114.5</v>
      </c>
      <c r="AE286">
        <f>SUM(Table1_1[[#This Row],[Cereals and products]:[Food and beverages]])</f>
        <v>1507.3000000000002</v>
      </c>
      <c r="AF286">
        <f>SUM(Table1_1[[#This Row],[Clothing and footwear]:[Clothing]])</f>
        <v>342.7</v>
      </c>
      <c r="AG286">
        <f>SUM(Table1_1[[#This Row],[Clothing]:[Education]])</f>
        <v>1338.9</v>
      </c>
      <c r="AH286">
        <f>SUM(Table1_1[[#This Row],[Health]:[Personal care and effects]])</f>
        <v>217.60000000000002</v>
      </c>
      <c r="AI286">
        <f>SUM(Table1_1[[#This Row],[Recreation and amusement]:[Miscellaneous]])</f>
        <v>556.4</v>
      </c>
      <c r="AJ286">
        <f>SUM(Table1_1[[#This Row],[Fuel and light]])</f>
        <v>111.9</v>
      </c>
      <c r="AK286">
        <f>SUM(Table1_1[[#This Row],[Food]:[Luxury &amp;Other Thing]])</f>
        <v>3962.9000000000005</v>
      </c>
      <c r="AL286">
        <f>SUM(Table1_1[[#This Row],[Food]:[Luxury &amp;Other Thing]])</f>
        <v>3962.9000000000005</v>
      </c>
    </row>
    <row r="287" spans="1:38" x14ac:dyDescent="0.25">
      <c r="A287" t="s">
        <v>30</v>
      </c>
      <c r="B287" t="s">
        <v>46</v>
      </c>
      <c r="C287">
        <v>2014</v>
      </c>
      <c r="D287">
        <v>122.4</v>
      </c>
      <c r="E287">
        <v>122.4</v>
      </c>
      <c r="F287">
        <v>121.8</v>
      </c>
      <c r="G287">
        <v>124.2</v>
      </c>
      <c r="H287">
        <v>110.2</v>
      </c>
      <c r="I287">
        <v>128.6</v>
      </c>
      <c r="J287">
        <v>140.30000000000001</v>
      </c>
      <c r="K287">
        <v>116.3</v>
      </c>
      <c r="L287">
        <v>102</v>
      </c>
      <c r="M287">
        <v>116</v>
      </c>
      <c r="N287">
        <v>117.3</v>
      </c>
      <c r="O287">
        <v>124.8</v>
      </c>
      <c r="P287">
        <v>123.3</v>
      </c>
      <c r="Q287">
        <v>123.8</v>
      </c>
      <c r="R287">
        <v>120.6</v>
      </c>
      <c r="S287">
        <v>123.3</v>
      </c>
      <c r="T287">
        <v>139.5</v>
      </c>
      <c r="U287">
        <v>118.2</v>
      </c>
      <c r="V287">
        <v>116.2</v>
      </c>
      <c r="W287">
        <v>109.4</v>
      </c>
      <c r="X287">
        <v>111.5</v>
      </c>
      <c r="Y287">
        <v>113.3</v>
      </c>
      <c r="Z287">
        <v>121.7</v>
      </c>
      <c r="AA287">
        <v>117.4</v>
      </c>
      <c r="AB287">
        <v>117.7</v>
      </c>
      <c r="AC287">
        <v>114.2</v>
      </c>
      <c r="AD287">
        <v>120.3</v>
      </c>
      <c r="AE287">
        <f>SUM(Table1_1[[#This Row],[Cereals and products]:[Food and beverages]])</f>
        <v>1569.6</v>
      </c>
      <c r="AF287">
        <f>SUM(Table1_1[[#This Row],[Clothing and footwear]:[Clothing]])</f>
        <v>367.7</v>
      </c>
      <c r="AG287">
        <f>SUM(Table1_1[[#This Row],[Clothing]:[Education]])</f>
        <v>1432.6000000000001</v>
      </c>
      <c r="AH287">
        <f>SUM(Table1_1[[#This Row],[Health]:[Personal care and effects]])</f>
        <v>225.60000000000002</v>
      </c>
      <c r="AI287">
        <f>SUM(Table1_1[[#This Row],[Recreation and amusement]:[Miscellaneous]])</f>
        <v>584.29999999999995</v>
      </c>
      <c r="AJ287">
        <f>SUM(Table1_1[[#This Row],[Fuel and light]])</f>
        <v>117.4</v>
      </c>
      <c r="AK287">
        <f>SUM(Table1_1[[#This Row],[Food]:[Luxury &amp;Other Thing]])</f>
        <v>4179.8</v>
      </c>
      <c r="AL287">
        <f>SUM(Table1_1[[#This Row],[Food]:[Luxury &amp;Other Thing]])</f>
        <v>4179.8</v>
      </c>
    </row>
    <row r="288" spans="1:38" x14ac:dyDescent="0.25">
      <c r="A288" t="s">
        <v>33</v>
      </c>
      <c r="B288" t="s">
        <v>46</v>
      </c>
      <c r="C288">
        <v>2014</v>
      </c>
      <c r="D288">
        <v>124</v>
      </c>
      <c r="E288">
        <v>124.7</v>
      </c>
      <c r="F288">
        <v>126.3</v>
      </c>
      <c r="G288">
        <v>124.9</v>
      </c>
      <c r="H288">
        <v>103</v>
      </c>
      <c r="I288">
        <v>122.3</v>
      </c>
      <c r="J288">
        <v>141</v>
      </c>
      <c r="K288">
        <v>120.1</v>
      </c>
      <c r="L288">
        <v>97.8</v>
      </c>
      <c r="M288">
        <v>125.4</v>
      </c>
      <c r="N288">
        <v>116.1</v>
      </c>
      <c r="O288">
        <v>127.6</v>
      </c>
      <c r="P288">
        <v>124</v>
      </c>
      <c r="Q288">
        <v>120.7</v>
      </c>
      <c r="R288">
        <v>115.8</v>
      </c>
      <c r="S288">
        <v>120</v>
      </c>
      <c r="T288">
        <v>116.5</v>
      </c>
      <c r="U288">
        <v>116.8</v>
      </c>
      <c r="V288">
        <v>113.2</v>
      </c>
      <c r="W288">
        <v>110.4</v>
      </c>
      <c r="X288">
        <v>108.8</v>
      </c>
      <c r="Y288">
        <v>114.3</v>
      </c>
      <c r="Z288">
        <v>126.4</v>
      </c>
      <c r="AA288">
        <v>113</v>
      </c>
      <c r="AB288">
        <v>120.7</v>
      </c>
      <c r="AC288">
        <v>113.4</v>
      </c>
      <c r="AD288">
        <v>118.4</v>
      </c>
      <c r="AE288">
        <f>SUM(Table1_1[[#This Row],[Cereals and products]:[Food and beverages]])</f>
        <v>1577.1999999999998</v>
      </c>
      <c r="AF288">
        <f>SUM(Table1_1[[#This Row],[Clothing and footwear]:[Clothing]])</f>
        <v>356.5</v>
      </c>
      <c r="AG288">
        <f>SUM(Table1_1[[#This Row],[Clothing]:[Education]])</f>
        <v>1396.6000000000001</v>
      </c>
      <c r="AH288">
        <f>SUM(Table1_1[[#This Row],[Health]:[Personal care and effects]])</f>
        <v>223.60000000000002</v>
      </c>
      <c r="AI288">
        <f>SUM(Table1_1[[#This Row],[Recreation and amusement]:[Miscellaneous]])</f>
        <v>587.79999999999995</v>
      </c>
      <c r="AJ288">
        <f>SUM(Table1_1[[#This Row],[Fuel and light]])</f>
        <v>113</v>
      </c>
      <c r="AK288">
        <f>SUM(Table1_1[[#This Row],[Food]:[Luxury &amp;Other Thing]])</f>
        <v>4141.7</v>
      </c>
      <c r="AL288">
        <f>SUM(Table1_1[[#This Row],[Food]:[Luxury &amp;Other Thing]])</f>
        <v>4141.7</v>
      </c>
    </row>
    <row r="289" spans="1:38" x14ac:dyDescent="0.25">
      <c r="A289" t="s">
        <v>34</v>
      </c>
      <c r="B289" t="s">
        <v>46</v>
      </c>
      <c r="C289">
        <v>2014</v>
      </c>
      <c r="D289">
        <v>122.9</v>
      </c>
      <c r="E289">
        <v>123.2</v>
      </c>
      <c r="F289">
        <v>123.5</v>
      </c>
      <c r="G289">
        <v>124.5</v>
      </c>
      <c r="H289">
        <v>107.6</v>
      </c>
      <c r="I289">
        <v>125.7</v>
      </c>
      <c r="J289">
        <v>140.5</v>
      </c>
      <c r="K289">
        <v>117.6</v>
      </c>
      <c r="L289">
        <v>100.6</v>
      </c>
      <c r="M289">
        <v>119.1</v>
      </c>
      <c r="N289">
        <v>116.8</v>
      </c>
      <c r="O289">
        <v>126.1</v>
      </c>
      <c r="P289">
        <v>123.6</v>
      </c>
      <c r="Q289">
        <v>122.6</v>
      </c>
      <c r="R289">
        <v>118.6</v>
      </c>
      <c r="S289">
        <v>122</v>
      </c>
      <c r="T289">
        <v>116.5</v>
      </c>
      <c r="U289">
        <v>117.5</v>
      </c>
      <c r="V289">
        <v>115.1</v>
      </c>
      <c r="W289">
        <v>109.8</v>
      </c>
      <c r="X289">
        <v>110.1</v>
      </c>
      <c r="Y289">
        <v>113.9</v>
      </c>
      <c r="Z289">
        <v>123</v>
      </c>
      <c r="AA289">
        <v>115.7</v>
      </c>
      <c r="AB289">
        <v>119.5</v>
      </c>
      <c r="AC289">
        <v>113.8</v>
      </c>
      <c r="AD289">
        <v>119.4</v>
      </c>
      <c r="AE289">
        <f>SUM(Table1_1[[#This Row],[Cereals and products]:[Food and beverages]])</f>
        <v>1571.6999999999998</v>
      </c>
      <c r="AF289">
        <f>SUM(Table1_1[[#This Row],[Clothing and footwear]:[Clothing]])</f>
        <v>363.2</v>
      </c>
      <c r="AG289">
        <f>SUM(Table1_1[[#This Row],[Clothing]:[Education]])</f>
        <v>1404.3000000000002</v>
      </c>
      <c r="AH289">
        <f>SUM(Table1_1[[#This Row],[Health]:[Personal care and effects]])</f>
        <v>224.89999999999998</v>
      </c>
      <c r="AI289">
        <f>SUM(Table1_1[[#This Row],[Recreation and amusement]:[Miscellaneous]])</f>
        <v>585.9</v>
      </c>
      <c r="AJ289">
        <f>SUM(Table1_1[[#This Row],[Fuel and light]])</f>
        <v>115.7</v>
      </c>
      <c r="AK289">
        <f>SUM(Table1_1[[#This Row],[Food]:[Luxury &amp;Other Thing]])</f>
        <v>4150</v>
      </c>
      <c r="AL289">
        <f>SUM(Table1_1[[#This Row],[Food]:[Luxury &amp;Other Thing]])</f>
        <v>4150</v>
      </c>
    </row>
    <row r="290" spans="1:38" x14ac:dyDescent="0.25">
      <c r="A290" t="s">
        <v>30</v>
      </c>
      <c r="B290" t="s">
        <v>46</v>
      </c>
      <c r="C290">
        <v>2015</v>
      </c>
      <c r="D290">
        <v>126.3</v>
      </c>
      <c r="E290">
        <v>131.30000000000001</v>
      </c>
      <c r="F290">
        <v>123.3</v>
      </c>
      <c r="G290">
        <v>129.80000000000001</v>
      </c>
      <c r="H290">
        <v>118.3</v>
      </c>
      <c r="I290">
        <v>131.6</v>
      </c>
      <c r="J290">
        <v>145.5</v>
      </c>
      <c r="K290">
        <v>162.1</v>
      </c>
      <c r="L290">
        <v>95.4</v>
      </c>
      <c r="M290">
        <v>128.9</v>
      </c>
      <c r="N290">
        <v>123.3</v>
      </c>
      <c r="O290">
        <v>135.1</v>
      </c>
      <c r="P290">
        <v>131.4</v>
      </c>
      <c r="Q290">
        <v>132.5</v>
      </c>
      <c r="R290">
        <v>128.5</v>
      </c>
      <c r="S290">
        <v>131.9</v>
      </c>
      <c r="T290">
        <v>139.5</v>
      </c>
      <c r="U290">
        <v>126</v>
      </c>
      <c r="V290">
        <v>123.1</v>
      </c>
      <c r="W290">
        <v>114.1</v>
      </c>
      <c r="X290">
        <v>114</v>
      </c>
      <c r="Y290">
        <v>121.6</v>
      </c>
      <c r="Z290">
        <v>133.1</v>
      </c>
      <c r="AA290">
        <v>125.7</v>
      </c>
      <c r="AB290">
        <v>125.6</v>
      </c>
      <c r="AC290">
        <v>119.8</v>
      </c>
      <c r="AD290">
        <v>127.9</v>
      </c>
      <c r="AE290">
        <f>SUM(Table1_1[[#This Row],[Cereals and products]:[Food and beverages]])</f>
        <v>1682.3000000000002</v>
      </c>
      <c r="AF290">
        <f>SUM(Table1_1[[#This Row],[Clothing and footwear]:[Clothing]])</f>
        <v>392.9</v>
      </c>
      <c r="AG290">
        <f>SUM(Table1_1[[#This Row],[Clothing]:[Education]])</f>
        <v>1515.6</v>
      </c>
      <c r="AH290">
        <f>SUM(Table1_1[[#This Row],[Health]:[Personal care and effects]])</f>
        <v>237.2</v>
      </c>
      <c r="AI290">
        <f>SUM(Table1_1[[#This Row],[Recreation and amusement]:[Miscellaneous]])</f>
        <v>625.79999999999995</v>
      </c>
      <c r="AJ290">
        <f>SUM(Table1_1[[#This Row],[Fuel and light]])</f>
        <v>125.7</v>
      </c>
      <c r="AK290">
        <f>SUM(Table1_1[[#This Row],[Food]:[Luxury &amp;Other Thing]])</f>
        <v>4453.8</v>
      </c>
      <c r="AL290">
        <f>SUM(Table1_1[[#This Row],[Food]:[Luxury &amp;Other Thing]])</f>
        <v>4453.8</v>
      </c>
    </row>
    <row r="291" spans="1:38" x14ac:dyDescent="0.25">
      <c r="A291" t="s">
        <v>33</v>
      </c>
      <c r="B291" t="s">
        <v>46</v>
      </c>
      <c r="C291">
        <v>2015</v>
      </c>
      <c r="D291">
        <v>124.3</v>
      </c>
      <c r="E291">
        <v>131.69999999999999</v>
      </c>
      <c r="F291">
        <v>127.1</v>
      </c>
      <c r="G291">
        <v>128.6</v>
      </c>
      <c r="H291">
        <v>110</v>
      </c>
      <c r="I291">
        <v>120.8</v>
      </c>
      <c r="J291">
        <v>149</v>
      </c>
      <c r="K291">
        <v>190.1</v>
      </c>
      <c r="L291">
        <v>92.7</v>
      </c>
      <c r="M291">
        <v>138.6</v>
      </c>
      <c r="N291">
        <v>120.2</v>
      </c>
      <c r="O291">
        <v>134.19999999999999</v>
      </c>
      <c r="P291">
        <v>131.5</v>
      </c>
      <c r="Q291">
        <v>125.4</v>
      </c>
      <c r="R291">
        <v>119.5</v>
      </c>
      <c r="S291">
        <v>124.5</v>
      </c>
      <c r="T291">
        <v>122.4</v>
      </c>
      <c r="U291">
        <v>121</v>
      </c>
      <c r="V291">
        <v>118.6</v>
      </c>
      <c r="W291">
        <v>113.2</v>
      </c>
      <c r="X291">
        <v>109.3</v>
      </c>
      <c r="Y291">
        <v>118.1</v>
      </c>
      <c r="Z291">
        <v>138.19999999999999</v>
      </c>
      <c r="AA291">
        <v>116</v>
      </c>
      <c r="AB291">
        <v>126.6</v>
      </c>
      <c r="AC291">
        <v>116.7</v>
      </c>
      <c r="AD291">
        <v>124</v>
      </c>
      <c r="AE291">
        <f>SUM(Table1_1[[#This Row],[Cereals and products]:[Food and beverages]])</f>
        <v>1698.8</v>
      </c>
      <c r="AF291">
        <f>SUM(Table1_1[[#This Row],[Clothing and footwear]:[Clothing]])</f>
        <v>369.4</v>
      </c>
      <c r="AG291">
        <f>SUM(Table1_1[[#This Row],[Clothing]:[Education]])</f>
        <v>1452.8</v>
      </c>
      <c r="AH291">
        <f>SUM(Table1_1[[#This Row],[Health]:[Personal care and effects]])</f>
        <v>231.8</v>
      </c>
      <c r="AI291">
        <f>SUM(Table1_1[[#This Row],[Recreation and amusement]:[Miscellaneous]])</f>
        <v>615.6</v>
      </c>
      <c r="AJ291">
        <f>SUM(Table1_1[[#This Row],[Fuel and light]])</f>
        <v>116</v>
      </c>
      <c r="AK291">
        <f>SUM(Table1_1[[#This Row],[Food]:[Luxury &amp;Other Thing]])</f>
        <v>4368.4000000000005</v>
      </c>
      <c r="AL291">
        <f>SUM(Table1_1[[#This Row],[Food]:[Luxury &amp;Other Thing]])</f>
        <v>4368.4000000000005</v>
      </c>
    </row>
    <row r="292" spans="1:38" x14ac:dyDescent="0.25">
      <c r="A292" t="s">
        <v>34</v>
      </c>
      <c r="B292" t="s">
        <v>46</v>
      </c>
      <c r="C292">
        <v>2015</v>
      </c>
      <c r="D292">
        <v>125.7</v>
      </c>
      <c r="E292">
        <v>131.4</v>
      </c>
      <c r="F292">
        <v>124.8</v>
      </c>
      <c r="G292">
        <v>129.4</v>
      </c>
      <c r="H292">
        <v>115.3</v>
      </c>
      <c r="I292">
        <v>126.6</v>
      </c>
      <c r="J292">
        <v>146.69999999999999</v>
      </c>
      <c r="K292">
        <v>171.5</v>
      </c>
      <c r="L292">
        <v>94.5</v>
      </c>
      <c r="M292">
        <v>132.1</v>
      </c>
      <c r="N292">
        <v>122</v>
      </c>
      <c r="O292">
        <v>134.69999999999999</v>
      </c>
      <c r="P292">
        <v>131.4</v>
      </c>
      <c r="Q292">
        <v>129.69999999999999</v>
      </c>
      <c r="R292">
        <v>124.8</v>
      </c>
      <c r="S292">
        <v>129</v>
      </c>
      <c r="T292">
        <v>122.4</v>
      </c>
      <c r="U292">
        <v>123.6</v>
      </c>
      <c r="V292">
        <v>121.4</v>
      </c>
      <c r="W292">
        <v>113.7</v>
      </c>
      <c r="X292">
        <v>111.5</v>
      </c>
      <c r="Y292">
        <v>119.6</v>
      </c>
      <c r="Z292">
        <v>134.5</v>
      </c>
      <c r="AA292">
        <v>122</v>
      </c>
      <c r="AB292">
        <v>126.2</v>
      </c>
      <c r="AC292">
        <v>118.3</v>
      </c>
      <c r="AD292">
        <v>126.1</v>
      </c>
      <c r="AE292">
        <f>SUM(Table1_1[[#This Row],[Cereals and products]:[Food and beverages]])</f>
        <v>1686.1000000000001</v>
      </c>
      <c r="AF292">
        <f>SUM(Table1_1[[#This Row],[Clothing and footwear]:[Clothing]])</f>
        <v>383.5</v>
      </c>
      <c r="AG292">
        <f>SUM(Table1_1[[#This Row],[Clothing]:[Education]])</f>
        <v>1478.4</v>
      </c>
      <c r="AH292">
        <f>SUM(Table1_1[[#This Row],[Health]:[Personal care and effects]])</f>
        <v>235.10000000000002</v>
      </c>
      <c r="AI292">
        <f>SUM(Table1_1[[#This Row],[Recreation and amusement]:[Miscellaneous]])</f>
        <v>620.6</v>
      </c>
      <c r="AJ292">
        <f>SUM(Table1_1[[#This Row],[Fuel and light]])</f>
        <v>122</v>
      </c>
      <c r="AK292">
        <f>SUM(Table1_1[[#This Row],[Food]:[Luxury &amp;Other Thing]])</f>
        <v>4403.7000000000007</v>
      </c>
      <c r="AL292">
        <f>SUM(Table1_1[[#This Row],[Food]:[Luxury &amp;Other Thing]])</f>
        <v>4403.7000000000007</v>
      </c>
    </row>
    <row r="293" spans="1:38" x14ac:dyDescent="0.25">
      <c r="A293" t="s">
        <v>30</v>
      </c>
      <c r="B293" t="s">
        <v>46</v>
      </c>
      <c r="C293">
        <v>2016</v>
      </c>
      <c r="D293">
        <v>132.6</v>
      </c>
      <c r="E293">
        <v>137.30000000000001</v>
      </c>
      <c r="F293">
        <v>131.6</v>
      </c>
      <c r="G293">
        <v>136.30000000000001</v>
      </c>
      <c r="H293">
        <v>121.6</v>
      </c>
      <c r="I293">
        <v>135.6</v>
      </c>
      <c r="J293">
        <v>127.5</v>
      </c>
      <c r="K293">
        <v>167.9</v>
      </c>
      <c r="L293">
        <v>113.8</v>
      </c>
      <c r="M293">
        <v>137.5</v>
      </c>
      <c r="N293">
        <v>129.1</v>
      </c>
      <c r="O293">
        <v>143.6</v>
      </c>
      <c r="P293">
        <v>134.69999999999999</v>
      </c>
      <c r="Q293">
        <v>140.4</v>
      </c>
      <c r="R293">
        <v>135.19999999999999</v>
      </c>
      <c r="S293">
        <v>139.69999999999999</v>
      </c>
      <c r="T293">
        <v>139.5</v>
      </c>
      <c r="U293">
        <v>132.9</v>
      </c>
      <c r="V293">
        <v>129.69999999999999</v>
      </c>
      <c r="W293">
        <v>121.9</v>
      </c>
      <c r="X293">
        <v>118.6</v>
      </c>
      <c r="Y293">
        <v>127.3</v>
      </c>
      <c r="Z293">
        <v>142.4</v>
      </c>
      <c r="AA293">
        <v>132</v>
      </c>
      <c r="AB293">
        <v>134.19999999999999</v>
      </c>
      <c r="AC293">
        <v>126.3</v>
      </c>
      <c r="AD293">
        <v>132.80000000000001</v>
      </c>
      <c r="AE293">
        <f>SUM(Table1_1[[#This Row],[Cereals and products]:[Food and beverages]])</f>
        <v>1749.1</v>
      </c>
      <c r="AF293">
        <f>SUM(Table1_1[[#This Row],[Clothing and footwear]:[Clothing]])</f>
        <v>415.3</v>
      </c>
      <c r="AG293">
        <f>SUM(Table1_1[[#This Row],[Clothing]:[Education]])</f>
        <v>1593.8</v>
      </c>
      <c r="AH293">
        <f>SUM(Table1_1[[#This Row],[Health]:[Personal care and effects]])</f>
        <v>251.6</v>
      </c>
      <c r="AI293">
        <f>SUM(Table1_1[[#This Row],[Recreation and amusement]:[Miscellaneous]])</f>
        <v>662.19999999999993</v>
      </c>
      <c r="AJ293">
        <f>SUM(Table1_1[[#This Row],[Fuel and light]])</f>
        <v>132</v>
      </c>
      <c r="AK293">
        <f>SUM(Table1_1[[#This Row],[Food]:[Luxury &amp;Other Thing]])</f>
        <v>4672</v>
      </c>
      <c r="AL293">
        <f>SUM(Table1_1[[#This Row],[Food]:[Luxury &amp;Other Thing]])</f>
        <v>4672</v>
      </c>
    </row>
    <row r="294" spans="1:38" x14ac:dyDescent="0.25">
      <c r="A294" t="s">
        <v>33</v>
      </c>
      <c r="B294" t="s">
        <v>46</v>
      </c>
      <c r="C294">
        <v>2016</v>
      </c>
      <c r="D294">
        <v>131.6</v>
      </c>
      <c r="E294">
        <v>138.19999999999999</v>
      </c>
      <c r="F294">
        <v>134.9</v>
      </c>
      <c r="G294">
        <v>133.1</v>
      </c>
      <c r="H294">
        <v>113.5</v>
      </c>
      <c r="I294">
        <v>129.30000000000001</v>
      </c>
      <c r="J294">
        <v>121.1</v>
      </c>
      <c r="K294">
        <v>170.3</v>
      </c>
      <c r="L294">
        <v>115.5</v>
      </c>
      <c r="M294">
        <v>145.5</v>
      </c>
      <c r="N294">
        <v>123.1</v>
      </c>
      <c r="O294">
        <v>140.9</v>
      </c>
      <c r="P294">
        <v>132.80000000000001</v>
      </c>
      <c r="Q294">
        <v>130</v>
      </c>
      <c r="R294">
        <v>122.2</v>
      </c>
      <c r="S294">
        <v>128.80000000000001</v>
      </c>
      <c r="T294">
        <v>128.5</v>
      </c>
      <c r="U294">
        <v>125</v>
      </c>
      <c r="V294">
        <v>122.3</v>
      </c>
      <c r="W294">
        <v>119.9</v>
      </c>
      <c r="X294">
        <v>113.7</v>
      </c>
      <c r="Y294">
        <v>121.8</v>
      </c>
      <c r="Z294">
        <v>145</v>
      </c>
      <c r="AA294">
        <v>117.8</v>
      </c>
      <c r="AB294">
        <v>132.30000000000001</v>
      </c>
      <c r="AC294">
        <v>121.4</v>
      </c>
      <c r="AD294">
        <v>127.6</v>
      </c>
      <c r="AE294">
        <f>SUM(Table1_1[[#This Row],[Cereals and products]:[Food and beverages]])</f>
        <v>1729.8</v>
      </c>
      <c r="AF294">
        <f>SUM(Table1_1[[#This Row],[Clothing and footwear]:[Clothing]])</f>
        <v>381</v>
      </c>
      <c r="AG294">
        <f>SUM(Table1_1[[#This Row],[Clothing]:[Education]])</f>
        <v>1507.3</v>
      </c>
      <c r="AH294">
        <f>SUM(Table1_1[[#This Row],[Health]:[Personal care and effects]])</f>
        <v>242.2</v>
      </c>
      <c r="AI294">
        <f>SUM(Table1_1[[#This Row],[Recreation and amusement]:[Miscellaneous]])</f>
        <v>638.30000000000007</v>
      </c>
      <c r="AJ294">
        <f>SUM(Table1_1[[#This Row],[Fuel and light]])</f>
        <v>117.8</v>
      </c>
      <c r="AK294">
        <f>SUM(Table1_1[[#This Row],[Food]:[Luxury &amp;Other Thing]])</f>
        <v>4498.6000000000004</v>
      </c>
      <c r="AL294">
        <f>SUM(Table1_1[[#This Row],[Food]:[Luxury &amp;Other Thing]])</f>
        <v>4498.6000000000004</v>
      </c>
    </row>
    <row r="295" spans="1:38" x14ac:dyDescent="0.25">
      <c r="A295" t="s">
        <v>34</v>
      </c>
      <c r="B295" t="s">
        <v>46</v>
      </c>
      <c r="C295">
        <v>2016</v>
      </c>
      <c r="D295">
        <v>132.30000000000001</v>
      </c>
      <c r="E295">
        <v>137.6</v>
      </c>
      <c r="F295">
        <v>132.9</v>
      </c>
      <c r="G295">
        <v>135.1</v>
      </c>
      <c r="H295">
        <v>118.6</v>
      </c>
      <c r="I295">
        <v>132.69999999999999</v>
      </c>
      <c r="J295">
        <v>125.3</v>
      </c>
      <c r="K295">
        <v>168.7</v>
      </c>
      <c r="L295">
        <v>114.4</v>
      </c>
      <c r="M295">
        <v>140.19999999999999</v>
      </c>
      <c r="N295">
        <v>126.6</v>
      </c>
      <c r="O295">
        <v>142.30000000000001</v>
      </c>
      <c r="P295">
        <v>134</v>
      </c>
      <c r="Q295">
        <v>136.30000000000001</v>
      </c>
      <c r="R295">
        <v>129.80000000000001</v>
      </c>
      <c r="S295">
        <v>135.4</v>
      </c>
      <c r="T295">
        <v>128.5</v>
      </c>
      <c r="U295">
        <v>129.19999999999999</v>
      </c>
      <c r="V295">
        <v>126.9</v>
      </c>
      <c r="W295">
        <v>121.1</v>
      </c>
      <c r="X295">
        <v>116</v>
      </c>
      <c r="Y295">
        <v>124.2</v>
      </c>
      <c r="Z295">
        <v>143.1</v>
      </c>
      <c r="AA295">
        <v>126.6</v>
      </c>
      <c r="AB295">
        <v>133.1</v>
      </c>
      <c r="AC295">
        <v>123.9</v>
      </c>
      <c r="AD295">
        <v>130.4</v>
      </c>
      <c r="AE295">
        <f>SUM(Table1_1[[#This Row],[Cereals and products]:[Food and beverages]])</f>
        <v>1740.7</v>
      </c>
      <c r="AF295">
        <f>SUM(Table1_1[[#This Row],[Clothing and footwear]:[Clothing]])</f>
        <v>401.5</v>
      </c>
      <c r="AG295">
        <f>SUM(Table1_1[[#This Row],[Clothing]:[Education]])</f>
        <v>1550.1999999999998</v>
      </c>
      <c r="AH295">
        <f>SUM(Table1_1[[#This Row],[Health]:[Personal care and effects]])</f>
        <v>248</v>
      </c>
      <c r="AI295">
        <f>SUM(Table1_1[[#This Row],[Recreation and amusement]:[Miscellaneous]])</f>
        <v>650.9</v>
      </c>
      <c r="AJ295">
        <f>SUM(Table1_1[[#This Row],[Fuel and light]])</f>
        <v>126.6</v>
      </c>
      <c r="AK295">
        <f>SUM(Table1_1[[#This Row],[Food]:[Luxury &amp;Other Thing]])</f>
        <v>4591.2999999999993</v>
      </c>
      <c r="AL295">
        <f>SUM(Table1_1[[#This Row],[Food]:[Luxury &amp;Other Thing]])</f>
        <v>4591.2999999999993</v>
      </c>
    </row>
    <row r="296" spans="1:38" x14ac:dyDescent="0.25">
      <c r="A296" t="s">
        <v>30</v>
      </c>
      <c r="B296" t="s">
        <v>46</v>
      </c>
      <c r="C296">
        <v>2017</v>
      </c>
      <c r="D296">
        <v>136.4</v>
      </c>
      <c r="E296">
        <v>143.69999999999999</v>
      </c>
      <c r="F296">
        <v>144.80000000000001</v>
      </c>
      <c r="G296">
        <v>141.9</v>
      </c>
      <c r="H296">
        <v>123.1</v>
      </c>
      <c r="I296">
        <v>147.19999999999999</v>
      </c>
      <c r="J296">
        <v>161</v>
      </c>
      <c r="K296">
        <v>133.80000000000001</v>
      </c>
      <c r="L296">
        <v>121.9</v>
      </c>
      <c r="M296">
        <v>135.80000000000001</v>
      </c>
      <c r="N296">
        <v>131.1</v>
      </c>
      <c r="O296">
        <v>151.4</v>
      </c>
      <c r="P296">
        <v>141.5</v>
      </c>
      <c r="Q296">
        <v>148</v>
      </c>
      <c r="R296">
        <v>141.9</v>
      </c>
      <c r="S296">
        <v>147.19999999999999</v>
      </c>
      <c r="T296">
        <v>139.5</v>
      </c>
      <c r="U296">
        <v>139.5</v>
      </c>
      <c r="V296">
        <v>136.1</v>
      </c>
      <c r="W296">
        <v>127.8</v>
      </c>
      <c r="X296">
        <v>122</v>
      </c>
      <c r="Y296">
        <v>133.4</v>
      </c>
      <c r="Z296">
        <v>153.19999999999999</v>
      </c>
      <c r="AA296">
        <v>142.6</v>
      </c>
      <c r="AB296">
        <v>141.1</v>
      </c>
      <c r="AC296">
        <v>131.9</v>
      </c>
      <c r="AD296">
        <v>139.80000000000001</v>
      </c>
      <c r="AE296">
        <f>SUM(Table1_1[[#This Row],[Cereals and products]:[Food and beverages]])</f>
        <v>1813.6000000000001</v>
      </c>
      <c r="AF296">
        <f>SUM(Table1_1[[#This Row],[Clothing and footwear]:[Clothing]])</f>
        <v>437.09999999999997</v>
      </c>
      <c r="AG296">
        <f>SUM(Table1_1[[#This Row],[Clothing]:[Education]])</f>
        <v>1672.3</v>
      </c>
      <c r="AH296">
        <f>SUM(Table1_1[[#This Row],[Health]:[Personal care and effects]])</f>
        <v>263.89999999999998</v>
      </c>
      <c r="AI296">
        <f>SUM(Table1_1[[#This Row],[Recreation and amusement]:[Miscellaneous]])</f>
        <v>702.2</v>
      </c>
      <c r="AJ296">
        <f>SUM(Table1_1[[#This Row],[Fuel and light]])</f>
        <v>142.6</v>
      </c>
      <c r="AK296">
        <f>SUM(Table1_1[[#This Row],[Food]:[Luxury &amp;Other Thing]])</f>
        <v>4889.0999999999995</v>
      </c>
      <c r="AL296">
        <f>SUM(Table1_1[[#This Row],[Food]:[Luxury &amp;Other Thing]])</f>
        <v>4889.0999999999995</v>
      </c>
    </row>
    <row r="297" spans="1:38" x14ac:dyDescent="0.25">
      <c r="A297" t="s">
        <v>33</v>
      </c>
      <c r="B297" t="s">
        <v>46</v>
      </c>
      <c r="C297">
        <v>2017</v>
      </c>
      <c r="D297">
        <v>134.4</v>
      </c>
      <c r="E297">
        <v>142.6</v>
      </c>
      <c r="F297">
        <v>145.9</v>
      </c>
      <c r="G297">
        <v>139.5</v>
      </c>
      <c r="H297">
        <v>115.9</v>
      </c>
      <c r="I297">
        <v>135</v>
      </c>
      <c r="J297">
        <v>163.19999999999999</v>
      </c>
      <c r="K297">
        <v>119.8</v>
      </c>
      <c r="L297">
        <v>120.7</v>
      </c>
      <c r="M297">
        <v>139.69999999999999</v>
      </c>
      <c r="N297">
        <v>125.7</v>
      </c>
      <c r="O297">
        <v>146.30000000000001</v>
      </c>
      <c r="P297">
        <v>138.80000000000001</v>
      </c>
      <c r="Q297">
        <v>135.6</v>
      </c>
      <c r="R297">
        <v>125.6</v>
      </c>
      <c r="S297">
        <v>134</v>
      </c>
      <c r="T297">
        <v>139.1</v>
      </c>
      <c r="U297">
        <v>129.30000000000001</v>
      </c>
      <c r="V297">
        <v>128.19999999999999</v>
      </c>
      <c r="W297">
        <v>124.6</v>
      </c>
      <c r="X297">
        <v>115.3</v>
      </c>
      <c r="Y297">
        <v>125.6</v>
      </c>
      <c r="Z297">
        <v>157</v>
      </c>
      <c r="AA297">
        <v>126.8</v>
      </c>
      <c r="AB297">
        <v>136.69999999999999</v>
      </c>
      <c r="AC297">
        <v>125.1</v>
      </c>
      <c r="AD297">
        <v>134.1</v>
      </c>
      <c r="AE297">
        <f>SUM(Table1_1[[#This Row],[Cereals and products]:[Food and beverages]])</f>
        <v>1767.5</v>
      </c>
      <c r="AF297">
        <f>SUM(Table1_1[[#This Row],[Clothing and footwear]:[Clothing]])</f>
        <v>395.2</v>
      </c>
      <c r="AG297">
        <f>SUM(Table1_1[[#This Row],[Clothing]:[Education]])</f>
        <v>1577.8</v>
      </c>
      <c r="AH297">
        <f>SUM(Table1_1[[#This Row],[Health]:[Personal care and effects]])</f>
        <v>252.79999999999998</v>
      </c>
      <c r="AI297">
        <f>SUM(Table1_1[[#This Row],[Recreation and amusement]:[Miscellaneous]])</f>
        <v>671.2</v>
      </c>
      <c r="AJ297">
        <f>SUM(Table1_1[[#This Row],[Fuel and light]])</f>
        <v>126.8</v>
      </c>
      <c r="AK297">
        <f>SUM(Table1_1[[#This Row],[Food]:[Luxury &amp;Other Thing]])</f>
        <v>4664.5</v>
      </c>
      <c r="AL297">
        <f>SUM(Table1_1[[#This Row],[Food]:[Luxury &amp;Other Thing]])</f>
        <v>4664.5</v>
      </c>
    </row>
    <row r="298" spans="1:38" x14ac:dyDescent="0.25">
      <c r="A298" t="s">
        <v>34</v>
      </c>
      <c r="B298" t="s">
        <v>46</v>
      </c>
      <c r="C298">
        <v>2017</v>
      </c>
      <c r="D298">
        <v>135.80000000000001</v>
      </c>
      <c r="E298">
        <v>143.30000000000001</v>
      </c>
      <c r="F298">
        <v>145.19999999999999</v>
      </c>
      <c r="G298">
        <v>141</v>
      </c>
      <c r="H298">
        <v>120.5</v>
      </c>
      <c r="I298">
        <v>141.5</v>
      </c>
      <c r="J298">
        <v>161.69999999999999</v>
      </c>
      <c r="K298">
        <v>129.1</v>
      </c>
      <c r="L298">
        <v>121.5</v>
      </c>
      <c r="M298">
        <v>137.1</v>
      </c>
      <c r="N298">
        <v>128.80000000000001</v>
      </c>
      <c r="O298">
        <v>149</v>
      </c>
      <c r="P298">
        <v>140.5</v>
      </c>
      <c r="Q298">
        <v>143.1</v>
      </c>
      <c r="R298">
        <v>135.1</v>
      </c>
      <c r="S298">
        <v>142</v>
      </c>
      <c r="T298">
        <v>139.1</v>
      </c>
      <c r="U298">
        <v>134.69999999999999</v>
      </c>
      <c r="V298">
        <v>133.1</v>
      </c>
      <c r="W298">
        <v>126.5</v>
      </c>
      <c r="X298">
        <v>118.5</v>
      </c>
      <c r="Y298">
        <v>129</v>
      </c>
      <c r="Z298">
        <v>154.19999999999999</v>
      </c>
      <c r="AA298">
        <v>136.6</v>
      </c>
      <c r="AB298">
        <v>138.5</v>
      </c>
      <c r="AC298">
        <v>128.6</v>
      </c>
      <c r="AD298">
        <v>137.19999999999999</v>
      </c>
      <c r="AE298">
        <f>SUM(Table1_1[[#This Row],[Cereals and products]:[Food and beverages]])</f>
        <v>1794.9999999999998</v>
      </c>
      <c r="AF298">
        <f>SUM(Table1_1[[#This Row],[Clothing and footwear]:[Clothing]])</f>
        <v>420.2</v>
      </c>
      <c r="AG298">
        <f>SUM(Table1_1[[#This Row],[Clothing]:[Education]])</f>
        <v>1630.3999999999999</v>
      </c>
      <c r="AH298">
        <f>SUM(Table1_1[[#This Row],[Health]:[Personal care and effects]])</f>
        <v>259.60000000000002</v>
      </c>
      <c r="AI298">
        <f>SUM(Table1_1[[#This Row],[Recreation and amusement]:[Miscellaneous]])</f>
        <v>686.9</v>
      </c>
      <c r="AJ298">
        <f>SUM(Table1_1[[#This Row],[Fuel and light]])</f>
        <v>136.6</v>
      </c>
      <c r="AK298">
        <f>SUM(Table1_1[[#This Row],[Food]:[Luxury &amp;Other Thing]])</f>
        <v>4792.0999999999995</v>
      </c>
      <c r="AL298">
        <f>SUM(Table1_1[[#This Row],[Food]:[Luxury &amp;Other Thing]])</f>
        <v>4792.0999999999995</v>
      </c>
    </row>
    <row r="299" spans="1:38" x14ac:dyDescent="0.25">
      <c r="A299" t="s">
        <v>30</v>
      </c>
      <c r="B299" t="s">
        <v>46</v>
      </c>
      <c r="C299">
        <v>2018</v>
      </c>
      <c r="D299">
        <v>137.1</v>
      </c>
      <c r="E299">
        <v>151.9</v>
      </c>
      <c r="F299">
        <v>137.4</v>
      </c>
      <c r="G299">
        <v>142.4</v>
      </c>
      <c r="H299">
        <v>124.2</v>
      </c>
      <c r="I299">
        <v>140.19999999999999</v>
      </c>
      <c r="J299">
        <v>136.6</v>
      </c>
      <c r="K299">
        <v>120.9</v>
      </c>
      <c r="L299">
        <v>109.9</v>
      </c>
      <c r="M299">
        <v>140.19999999999999</v>
      </c>
      <c r="N299">
        <v>137.80000000000001</v>
      </c>
      <c r="O299">
        <v>156</v>
      </c>
      <c r="P299">
        <v>138.5</v>
      </c>
      <c r="Q299">
        <v>151.6</v>
      </c>
      <c r="R299">
        <v>145.9</v>
      </c>
      <c r="S299">
        <v>150.80000000000001</v>
      </c>
      <c r="T299">
        <v>139.5</v>
      </c>
      <c r="U299">
        <v>149.5</v>
      </c>
      <c r="V299">
        <v>149.6</v>
      </c>
      <c r="W299">
        <v>133.19999999999999</v>
      </c>
      <c r="X299">
        <v>128.9</v>
      </c>
      <c r="Y299">
        <v>143.30000000000001</v>
      </c>
      <c r="Z299">
        <v>162.4</v>
      </c>
      <c r="AA299">
        <v>149</v>
      </c>
      <c r="AB299">
        <v>155.1</v>
      </c>
      <c r="AC299">
        <v>141.6</v>
      </c>
      <c r="AD299">
        <v>141.9</v>
      </c>
      <c r="AE299">
        <f>SUM(Table1_1[[#This Row],[Cereals and products]:[Food and beverages]])</f>
        <v>1773.1000000000001</v>
      </c>
      <c r="AF299">
        <f>SUM(Table1_1[[#This Row],[Clothing and footwear]:[Clothing]])</f>
        <v>448.3</v>
      </c>
      <c r="AG299">
        <f>SUM(Table1_1[[#This Row],[Clothing]:[Education]])</f>
        <v>1758.8</v>
      </c>
      <c r="AH299">
        <f>SUM(Table1_1[[#This Row],[Health]:[Personal care and effects]])</f>
        <v>282.79999999999995</v>
      </c>
      <c r="AI299">
        <f>SUM(Table1_1[[#This Row],[Recreation and amusement]:[Miscellaneous]])</f>
        <v>751.40000000000009</v>
      </c>
      <c r="AJ299">
        <f>SUM(Table1_1[[#This Row],[Fuel and light]])</f>
        <v>149</v>
      </c>
      <c r="AK299">
        <f>SUM(Table1_1[[#This Row],[Food]:[Luxury &amp;Other Thing]])</f>
        <v>5014.3999999999996</v>
      </c>
      <c r="AL299">
        <f>SUM(Table1_1[[#This Row],[Food]:[Luxury &amp;Other Thing]])</f>
        <v>5014.3999999999996</v>
      </c>
    </row>
    <row r="300" spans="1:38" x14ac:dyDescent="0.25">
      <c r="A300" t="s">
        <v>33</v>
      </c>
      <c r="B300" t="s">
        <v>46</v>
      </c>
      <c r="C300">
        <v>2018</v>
      </c>
      <c r="D300">
        <v>138.5</v>
      </c>
      <c r="E300">
        <v>147.80000000000001</v>
      </c>
      <c r="F300">
        <v>141.1</v>
      </c>
      <c r="G300">
        <v>141.6</v>
      </c>
      <c r="H300">
        <v>118.1</v>
      </c>
      <c r="I300">
        <v>138.5</v>
      </c>
      <c r="J300">
        <v>132.4</v>
      </c>
      <c r="K300">
        <v>117.5</v>
      </c>
      <c r="L300">
        <v>111</v>
      </c>
      <c r="M300">
        <v>141.5</v>
      </c>
      <c r="N300">
        <v>128.1</v>
      </c>
      <c r="O300">
        <v>152.9</v>
      </c>
      <c r="P300">
        <v>137.6</v>
      </c>
      <c r="Q300">
        <v>142.69999999999999</v>
      </c>
      <c r="R300">
        <v>130.30000000000001</v>
      </c>
      <c r="S300">
        <v>140.80000000000001</v>
      </c>
      <c r="T300">
        <v>146.5</v>
      </c>
      <c r="U300">
        <v>136.19999999999999</v>
      </c>
      <c r="V300">
        <v>137.30000000000001</v>
      </c>
      <c r="W300">
        <v>130.80000000000001</v>
      </c>
      <c r="X300">
        <v>118.8</v>
      </c>
      <c r="Y300">
        <v>131.69999999999999</v>
      </c>
      <c r="Z300">
        <v>164.6</v>
      </c>
      <c r="AA300">
        <v>132.4</v>
      </c>
      <c r="AB300">
        <v>146.5</v>
      </c>
      <c r="AC300">
        <v>131.69999999999999</v>
      </c>
      <c r="AD300">
        <v>138</v>
      </c>
      <c r="AE300">
        <f>SUM(Table1_1[[#This Row],[Cereals and products]:[Food and beverages]])</f>
        <v>1746.6</v>
      </c>
      <c r="AF300">
        <f>SUM(Table1_1[[#This Row],[Clothing and footwear]:[Clothing]])</f>
        <v>413.8</v>
      </c>
      <c r="AG300">
        <f>SUM(Table1_1[[#This Row],[Clothing]:[Education]])</f>
        <v>1658.6</v>
      </c>
      <c r="AH300">
        <f>SUM(Table1_1[[#This Row],[Health]:[Personal care and effects]])</f>
        <v>268.10000000000002</v>
      </c>
      <c r="AI300">
        <f>SUM(Table1_1[[#This Row],[Recreation and amusement]:[Miscellaneous]])</f>
        <v>706.89999999999986</v>
      </c>
      <c r="AJ300">
        <f>SUM(Table1_1[[#This Row],[Fuel and light]])</f>
        <v>132.4</v>
      </c>
      <c r="AK300">
        <f>SUM(Table1_1[[#This Row],[Food]:[Luxury &amp;Other Thing]])</f>
        <v>4794</v>
      </c>
      <c r="AL300">
        <f>SUM(Table1_1[[#This Row],[Food]:[Luxury &amp;Other Thing]])</f>
        <v>4794</v>
      </c>
    </row>
    <row r="301" spans="1:38" x14ac:dyDescent="0.25">
      <c r="A301" t="s">
        <v>34</v>
      </c>
      <c r="B301" t="s">
        <v>46</v>
      </c>
      <c r="C301">
        <v>2018</v>
      </c>
      <c r="D301">
        <v>137.5</v>
      </c>
      <c r="E301">
        <v>150.5</v>
      </c>
      <c r="F301">
        <v>138.80000000000001</v>
      </c>
      <c r="G301">
        <v>142.1</v>
      </c>
      <c r="H301">
        <v>122</v>
      </c>
      <c r="I301">
        <v>139.4</v>
      </c>
      <c r="J301">
        <v>135.19999999999999</v>
      </c>
      <c r="K301">
        <v>119.8</v>
      </c>
      <c r="L301">
        <v>110.3</v>
      </c>
      <c r="M301">
        <v>140.6</v>
      </c>
      <c r="N301">
        <v>133.80000000000001</v>
      </c>
      <c r="O301">
        <v>154.6</v>
      </c>
      <c r="P301">
        <v>138.19999999999999</v>
      </c>
      <c r="Q301">
        <v>148.1</v>
      </c>
      <c r="R301">
        <v>139.4</v>
      </c>
      <c r="S301">
        <v>146.80000000000001</v>
      </c>
      <c r="T301">
        <v>146.5</v>
      </c>
      <c r="U301">
        <v>143.19999999999999</v>
      </c>
      <c r="V301">
        <v>144.9</v>
      </c>
      <c r="W301">
        <v>132.19999999999999</v>
      </c>
      <c r="X301">
        <v>123.6</v>
      </c>
      <c r="Y301">
        <v>136.80000000000001</v>
      </c>
      <c r="Z301">
        <v>163</v>
      </c>
      <c r="AA301">
        <v>142.69999999999999</v>
      </c>
      <c r="AB301">
        <v>150.1</v>
      </c>
      <c r="AC301">
        <v>136.80000000000001</v>
      </c>
      <c r="AD301">
        <v>140.1</v>
      </c>
      <c r="AE301">
        <f>SUM(Table1_1[[#This Row],[Cereals and products]:[Food and beverages]])</f>
        <v>1762.7999999999997</v>
      </c>
      <c r="AF301">
        <f>SUM(Table1_1[[#This Row],[Clothing and footwear]:[Clothing]])</f>
        <v>434.3</v>
      </c>
      <c r="AG301">
        <f>SUM(Table1_1[[#This Row],[Clothing]:[Education]])</f>
        <v>1717.2999999999997</v>
      </c>
      <c r="AH301">
        <f>SUM(Table1_1[[#This Row],[Health]:[Personal care and effects]])</f>
        <v>277.10000000000002</v>
      </c>
      <c r="AI301">
        <f>SUM(Table1_1[[#This Row],[Recreation and amusement]:[Miscellaneous]])</f>
        <v>729.40000000000009</v>
      </c>
      <c r="AJ301">
        <f>SUM(Table1_1[[#This Row],[Fuel and light]])</f>
        <v>142.69999999999999</v>
      </c>
      <c r="AK301">
        <f>SUM(Table1_1[[#This Row],[Food]:[Luxury &amp;Other Thing]])</f>
        <v>4920.8999999999996</v>
      </c>
      <c r="AL301">
        <f>SUM(Table1_1[[#This Row],[Food]:[Luxury &amp;Other Thing]])</f>
        <v>4920.8999999999996</v>
      </c>
    </row>
    <row r="302" spans="1:38" x14ac:dyDescent="0.25">
      <c r="A302" t="s">
        <v>30</v>
      </c>
      <c r="B302" t="s">
        <v>46</v>
      </c>
      <c r="C302">
        <v>2019</v>
      </c>
      <c r="D302">
        <v>142.80000000000001</v>
      </c>
      <c r="E302">
        <v>165.3</v>
      </c>
      <c r="F302">
        <v>149.5</v>
      </c>
      <c r="G302">
        <v>148.69999999999999</v>
      </c>
      <c r="H302">
        <v>127.5</v>
      </c>
      <c r="I302">
        <v>144.30000000000001</v>
      </c>
      <c r="J302">
        <v>209.5</v>
      </c>
      <c r="K302">
        <v>138.80000000000001</v>
      </c>
      <c r="L302">
        <v>113.6</v>
      </c>
      <c r="M302">
        <v>149.1</v>
      </c>
      <c r="N302">
        <v>139.30000000000001</v>
      </c>
      <c r="O302">
        <v>158.30000000000001</v>
      </c>
      <c r="P302">
        <v>154.30000000000001</v>
      </c>
      <c r="Q302">
        <v>152.6</v>
      </c>
      <c r="R302">
        <v>147.30000000000001</v>
      </c>
      <c r="S302">
        <v>151.9</v>
      </c>
      <c r="T302">
        <v>139.5</v>
      </c>
      <c r="U302">
        <v>151.19999999999999</v>
      </c>
      <c r="V302">
        <v>154.80000000000001</v>
      </c>
      <c r="W302">
        <v>140.6</v>
      </c>
      <c r="X302">
        <v>135</v>
      </c>
      <c r="Y302">
        <v>149.5</v>
      </c>
      <c r="Z302">
        <v>167.8</v>
      </c>
      <c r="AA302">
        <v>149.9</v>
      </c>
      <c r="AB302">
        <v>161.1</v>
      </c>
      <c r="AC302">
        <v>147.1</v>
      </c>
      <c r="AD302">
        <v>152.30000000000001</v>
      </c>
      <c r="AE302">
        <f>SUM(Table1_1[[#This Row],[Cereals and products]:[Food and beverages]])</f>
        <v>1940.9999999999995</v>
      </c>
      <c r="AF302">
        <f>SUM(Table1_1[[#This Row],[Clothing and footwear]:[Clothing]])</f>
        <v>451.79999999999995</v>
      </c>
      <c r="AG302">
        <f>SUM(Table1_1[[#This Row],[Clothing]:[Education]])</f>
        <v>1801.1999999999998</v>
      </c>
      <c r="AH302">
        <f>SUM(Table1_1[[#This Row],[Health]:[Personal care and effects]])</f>
        <v>295.39999999999998</v>
      </c>
      <c r="AI302">
        <f>SUM(Table1_1[[#This Row],[Recreation and amusement]:[Miscellaneous]])</f>
        <v>775.40000000000009</v>
      </c>
      <c r="AJ302">
        <f>SUM(Table1_1[[#This Row],[Fuel and light]])</f>
        <v>149.9</v>
      </c>
      <c r="AK302">
        <f>SUM(Table1_1[[#This Row],[Food]:[Luxury &amp;Other Thing]])</f>
        <v>5264.7999999999993</v>
      </c>
      <c r="AL302">
        <f>SUM(Table1_1[[#This Row],[Food]:[Luxury &amp;Other Thing]])</f>
        <v>5264.7999999999993</v>
      </c>
    </row>
    <row r="303" spans="1:38" x14ac:dyDescent="0.25">
      <c r="A303" t="s">
        <v>33</v>
      </c>
      <c r="B303" t="s">
        <v>46</v>
      </c>
      <c r="C303">
        <v>2019</v>
      </c>
      <c r="D303">
        <v>144.9</v>
      </c>
      <c r="E303">
        <v>164.5</v>
      </c>
      <c r="F303">
        <v>153.69999999999999</v>
      </c>
      <c r="G303">
        <v>147.5</v>
      </c>
      <c r="H303">
        <v>122.7</v>
      </c>
      <c r="I303">
        <v>147.19999999999999</v>
      </c>
      <c r="J303">
        <v>231.5</v>
      </c>
      <c r="K303">
        <v>137.19999999999999</v>
      </c>
      <c r="L303">
        <v>114.7</v>
      </c>
      <c r="M303">
        <v>148</v>
      </c>
      <c r="N303">
        <v>130.80000000000001</v>
      </c>
      <c r="O303">
        <v>157.69999999999999</v>
      </c>
      <c r="P303">
        <v>156.30000000000001</v>
      </c>
      <c r="Q303">
        <v>146.80000000000001</v>
      </c>
      <c r="R303">
        <v>132.80000000000001</v>
      </c>
      <c r="S303">
        <v>144.6</v>
      </c>
      <c r="T303">
        <v>152.80000000000001</v>
      </c>
      <c r="U303">
        <v>139.80000000000001</v>
      </c>
      <c r="V303">
        <v>143.19999999999999</v>
      </c>
      <c r="W303">
        <v>140.19999999999999</v>
      </c>
      <c r="X303">
        <v>125.2</v>
      </c>
      <c r="Y303">
        <v>136.80000000000001</v>
      </c>
      <c r="Z303">
        <v>170.4</v>
      </c>
      <c r="AA303">
        <v>133.6</v>
      </c>
      <c r="AB303">
        <v>151.9</v>
      </c>
      <c r="AC303">
        <v>137.69999999999999</v>
      </c>
      <c r="AD303">
        <v>148.30000000000001</v>
      </c>
      <c r="AE303">
        <f>SUM(Table1_1[[#This Row],[Cereals and products]:[Food and beverages]])</f>
        <v>1956.7</v>
      </c>
      <c r="AF303">
        <f>SUM(Table1_1[[#This Row],[Clothing and footwear]:[Clothing]])</f>
        <v>424.20000000000005</v>
      </c>
      <c r="AG303">
        <f>SUM(Table1_1[[#This Row],[Clothing]:[Education]])</f>
        <v>1718.1000000000001</v>
      </c>
      <c r="AH303">
        <f>SUM(Table1_1[[#This Row],[Health]:[Personal care and effects]])</f>
        <v>283.39999999999998</v>
      </c>
      <c r="AI303">
        <f>SUM(Table1_1[[#This Row],[Recreation and amusement]:[Miscellaneous]])</f>
        <v>730.40000000000009</v>
      </c>
      <c r="AJ303">
        <f>SUM(Table1_1[[#This Row],[Fuel and light]])</f>
        <v>133.6</v>
      </c>
      <c r="AK303">
        <f>SUM(Table1_1[[#This Row],[Food]:[Luxury &amp;Other Thing]])</f>
        <v>5112.7999999999993</v>
      </c>
      <c r="AL303">
        <f>SUM(Table1_1[[#This Row],[Food]:[Luxury &amp;Other Thing]])</f>
        <v>5112.7999999999993</v>
      </c>
    </row>
    <row r="304" spans="1:38" x14ac:dyDescent="0.25">
      <c r="A304" t="s">
        <v>34</v>
      </c>
      <c r="B304" t="s">
        <v>46</v>
      </c>
      <c r="C304">
        <v>2019</v>
      </c>
      <c r="D304">
        <v>143.5</v>
      </c>
      <c r="E304">
        <v>165</v>
      </c>
      <c r="F304">
        <v>151.1</v>
      </c>
      <c r="G304">
        <v>148.30000000000001</v>
      </c>
      <c r="H304">
        <v>125.7</v>
      </c>
      <c r="I304">
        <v>145.69999999999999</v>
      </c>
      <c r="J304">
        <v>217</v>
      </c>
      <c r="K304">
        <v>138.30000000000001</v>
      </c>
      <c r="L304">
        <v>114</v>
      </c>
      <c r="M304">
        <v>148.69999999999999</v>
      </c>
      <c r="N304">
        <v>135.80000000000001</v>
      </c>
      <c r="O304">
        <v>158</v>
      </c>
      <c r="P304">
        <v>155</v>
      </c>
      <c r="Q304">
        <v>150.30000000000001</v>
      </c>
      <c r="R304">
        <v>141.30000000000001</v>
      </c>
      <c r="S304">
        <v>149</v>
      </c>
      <c r="T304">
        <v>152.80000000000001</v>
      </c>
      <c r="U304">
        <v>145.80000000000001</v>
      </c>
      <c r="V304">
        <v>150.4</v>
      </c>
      <c r="W304">
        <v>140.4</v>
      </c>
      <c r="X304">
        <v>129.80000000000001</v>
      </c>
      <c r="Y304">
        <v>142.30000000000001</v>
      </c>
      <c r="Z304">
        <v>168.5</v>
      </c>
      <c r="AA304">
        <v>143.69999999999999</v>
      </c>
      <c r="AB304">
        <v>155.69999999999999</v>
      </c>
      <c r="AC304">
        <v>142.5</v>
      </c>
      <c r="AD304">
        <v>150.4</v>
      </c>
      <c r="AE304">
        <f>SUM(Table1_1[[#This Row],[Cereals and products]:[Food and beverages]])</f>
        <v>1946.1000000000001</v>
      </c>
      <c r="AF304">
        <f>SUM(Table1_1[[#This Row],[Clothing and footwear]:[Clothing]])</f>
        <v>440.6</v>
      </c>
      <c r="AG304">
        <f>SUM(Table1_1[[#This Row],[Clothing]:[Education]])</f>
        <v>1770</v>
      </c>
      <c r="AH304">
        <f>SUM(Table1_1[[#This Row],[Health]:[Personal care and effects]])</f>
        <v>290.8</v>
      </c>
      <c r="AI304">
        <f>SUM(Table1_1[[#This Row],[Recreation and amusement]:[Miscellaneous]])</f>
        <v>752.7</v>
      </c>
      <c r="AJ304">
        <f>SUM(Table1_1[[#This Row],[Fuel and light]])</f>
        <v>143.69999999999999</v>
      </c>
      <c r="AK304">
        <f>SUM(Table1_1[[#This Row],[Food]:[Luxury &amp;Other Thing]])</f>
        <v>5200.2000000000007</v>
      </c>
      <c r="AL304">
        <f>SUM(Table1_1[[#This Row],[Food]:[Luxury &amp;Other Thing]])</f>
        <v>5200.2000000000007</v>
      </c>
    </row>
    <row r="305" spans="1:38" x14ac:dyDescent="0.25">
      <c r="A305" t="s">
        <v>30</v>
      </c>
      <c r="B305" t="s">
        <v>46</v>
      </c>
      <c r="C305">
        <v>2020</v>
      </c>
      <c r="D305">
        <v>144.6</v>
      </c>
      <c r="E305">
        <v>188.5</v>
      </c>
      <c r="F305">
        <v>173.4</v>
      </c>
      <c r="G305">
        <v>154</v>
      </c>
      <c r="H305">
        <v>150</v>
      </c>
      <c r="I305">
        <v>145.9</v>
      </c>
      <c r="J305">
        <v>225.2</v>
      </c>
      <c r="K305">
        <v>159.5</v>
      </c>
      <c r="L305">
        <v>114.4</v>
      </c>
      <c r="M305">
        <v>163.5</v>
      </c>
      <c r="N305">
        <v>153.4</v>
      </c>
      <c r="O305">
        <v>163.6</v>
      </c>
      <c r="P305">
        <v>164.5</v>
      </c>
      <c r="Q305">
        <v>157</v>
      </c>
      <c r="R305">
        <v>151.6</v>
      </c>
      <c r="S305">
        <v>156.30000000000001</v>
      </c>
      <c r="T305">
        <v>139.5</v>
      </c>
      <c r="U305">
        <v>153.4</v>
      </c>
      <c r="V305">
        <v>161.6</v>
      </c>
      <c r="W305">
        <v>156.6</v>
      </c>
      <c r="X305">
        <v>146.4</v>
      </c>
      <c r="Y305">
        <v>153.9</v>
      </c>
      <c r="Z305">
        <v>183.6</v>
      </c>
      <c r="AA305">
        <v>148.69999999999999</v>
      </c>
      <c r="AB305">
        <v>162.9</v>
      </c>
      <c r="AC305">
        <v>155.19999999999999</v>
      </c>
      <c r="AD305">
        <v>160.69999999999999</v>
      </c>
      <c r="AE305">
        <f>SUM(Table1_1[[#This Row],[Cereals and products]:[Food and beverages]])</f>
        <v>2100.5</v>
      </c>
      <c r="AF305">
        <f>SUM(Table1_1[[#This Row],[Clothing and footwear]:[Clothing]])</f>
        <v>464.90000000000003</v>
      </c>
      <c r="AG305">
        <f>SUM(Table1_1[[#This Row],[Clothing]:[Education]])</f>
        <v>1871.5000000000002</v>
      </c>
      <c r="AH305">
        <f>SUM(Table1_1[[#This Row],[Health]:[Personal care and effects]])</f>
        <v>318.2</v>
      </c>
      <c r="AI305">
        <f>SUM(Table1_1[[#This Row],[Recreation and amusement]:[Miscellaneous]])</f>
        <v>804.3</v>
      </c>
      <c r="AJ305">
        <f>SUM(Table1_1[[#This Row],[Fuel and light]])</f>
        <v>148.69999999999999</v>
      </c>
      <c r="AK305">
        <f>SUM(Table1_1[[#This Row],[Food]:[Luxury &amp;Other Thing]])</f>
        <v>5559.4000000000005</v>
      </c>
      <c r="AL305">
        <f>SUM(Table1_1[[#This Row],[Food]:[Luxury &amp;Other Thing]])</f>
        <v>5559.4000000000005</v>
      </c>
    </row>
    <row r="306" spans="1:38" x14ac:dyDescent="0.25">
      <c r="A306" t="s">
        <v>33</v>
      </c>
      <c r="B306" t="s">
        <v>46</v>
      </c>
      <c r="C306">
        <v>2020</v>
      </c>
      <c r="D306">
        <v>149</v>
      </c>
      <c r="E306">
        <v>195.7</v>
      </c>
      <c r="F306">
        <v>178.3</v>
      </c>
      <c r="G306">
        <v>154.19999999999999</v>
      </c>
      <c r="H306">
        <v>140.69999999999999</v>
      </c>
      <c r="I306">
        <v>149.69999999999999</v>
      </c>
      <c r="J306">
        <v>240.9</v>
      </c>
      <c r="K306">
        <v>161.5</v>
      </c>
      <c r="L306">
        <v>117.1</v>
      </c>
      <c r="M306">
        <v>161.9</v>
      </c>
      <c r="N306">
        <v>143.30000000000001</v>
      </c>
      <c r="O306">
        <v>166.1</v>
      </c>
      <c r="P306">
        <v>167</v>
      </c>
      <c r="Q306">
        <v>151.9</v>
      </c>
      <c r="R306">
        <v>136.69999999999999</v>
      </c>
      <c r="S306">
        <v>149.6</v>
      </c>
      <c r="T306">
        <v>158.4</v>
      </c>
      <c r="U306">
        <v>145.5</v>
      </c>
      <c r="V306">
        <v>152.9</v>
      </c>
      <c r="W306">
        <v>157.9</v>
      </c>
      <c r="X306">
        <v>135.5</v>
      </c>
      <c r="Y306">
        <v>144.30000000000001</v>
      </c>
      <c r="Z306">
        <v>190.2</v>
      </c>
      <c r="AA306">
        <v>137.9</v>
      </c>
      <c r="AB306">
        <v>156.9</v>
      </c>
      <c r="AC306">
        <v>146.9</v>
      </c>
      <c r="AD306">
        <v>156.9</v>
      </c>
      <c r="AE306">
        <f>SUM(Table1_1[[#This Row],[Cereals and products]:[Food and beverages]])</f>
        <v>2125.4</v>
      </c>
      <c r="AF306">
        <f>SUM(Table1_1[[#This Row],[Clothing and footwear]:[Clothing]])</f>
        <v>438.20000000000005</v>
      </c>
      <c r="AG306">
        <f>SUM(Table1_1[[#This Row],[Clothing]:[Education]])</f>
        <v>1817.7000000000003</v>
      </c>
      <c r="AH306">
        <f>SUM(Table1_1[[#This Row],[Health]:[Personal care and effects]])</f>
        <v>310.8</v>
      </c>
      <c r="AI306">
        <f>SUM(Table1_1[[#This Row],[Recreation and amusement]:[Miscellaneous]])</f>
        <v>776.19999999999993</v>
      </c>
      <c r="AJ306">
        <f>SUM(Table1_1[[#This Row],[Fuel and light]])</f>
        <v>137.9</v>
      </c>
      <c r="AK306">
        <f>SUM(Table1_1[[#This Row],[Food]:[Luxury &amp;Other Thing]])</f>
        <v>5468.3000000000011</v>
      </c>
      <c r="AL306">
        <f>SUM(Table1_1[[#This Row],[Food]:[Luxury &amp;Other Thing]])</f>
        <v>5468.3000000000011</v>
      </c>
    </row>
    <row r="307" spans="1:38" x14ac:dyDescent="0.25">
      <c r="A307" t="s">
        <v>34</v>
      </c>
      <c r="B307" t="s">
        <v>46</v>
      </c>
      <c r="C307">
        <v>2020</v>
      </c>
      <c r="D307">
        <v>146</v>
      </c>
      <c r="E307">
        <v>191</v>
      </c>
      <c r="F307">
        <v>175.3</v>
      </c>
      <c r="G307">
        <v>154.1</v>
      </c>
      <c r="H307">
        <v>146.6</v>
      </c>
      <c r="I307">
        <v>147.69999999999999</v>
      </c>
      <c r="J307">
        <v>230.5</v>
      </c>
      <c r="K307">
        <v>160.19999999999999</v>
      </c>
      <c r="L307">
        <v>115.3</v>
      </c>
      <c r="M307">
        <v>163</v>
      </c>
      <c r="N307">
        <v>149.19999999999999</v>
      </c>
      <c r="O307">
        <v>164.8</v>
      </c>
      <c r="P307">
        <v>165.4</v>
      </c>
      <c r="Q307">
        <v>155</v>
      </c>
      <c r="R307">
        <v>145.4</v>
      </c>
      <c r="S307">
        <v>153.6</v>
      </c>
      <c r="T307">
        <v>158.4</v>
      </c>
      <c r="U307">
        <v>149.69999999999999</v>
      </c>
      <c r="V307">
        <v>158.30000000000001</v>
      </c>
      <c r="W307">
        <v>157.1</v>
      </c>
      <c r="X307">
        <v>140.69999999999999</v>
      </c>
      <c r="Y307">
        <v>148.5</v>
      </c>
      <c r="Z307">
        <v>185.4</v>
      </c>
      <c r="AA307">
        <v>144.6</v>
      </c>
      <c r="AB307">
        <v>159.4</v>
      </c>
      <c r="AC307">
        <v>151.19999999999999</v>
      </c>
      <c r="AD307">
        <v>158.9</v>
      </c>
      <c r="AE307">
        <f>SUM(Table1_1[[#This Row],[Cereals and products]:[Food and beverages]])</f>
        <v>2109.1</v>
      </c>
      <c r="AF307">
        <f>SUM(Table1_1[[#This Row],[Clothing and footwear]:[Clothing]])</f>
        <v>454</v>
      </c>
      <c r="AG307">
        <f>SUM(Table1_1[[#This Row],[Clothing]:[Education]])</f>
        <v>1856.1</v>
      </c>
      <c r="AH307">
        <f>SUM(Table1_1[[#This Row],[Health]:[Personal care and effects]])</f>
        <v>315.39999999999998</v>
      </c>
      <c r="AI307">
        <f>SUM(Table1_1[[#This Row],[Recreation and amusement]:[Miscellaneous]])</f>
        <v>789.09999999999991</v>
      </c>
      <c r="AJ307">
        <f>SUM(Table1_1[[#This Row],[Fuel and light]])</f>
        <v>144.6</v>
      </c>
      <c r="AK307">
        <f>SUM(Table1_1[[#This Row],[Food]:[Luxury &amp;Other Thing]])</f>
        <v>5523.6999999999989</v>
      </c>
      <c r="AL307">
        <f>SUM(Table1_1[[#This Row],[Food]:[Luxury &amp;Other Thing]])</f>
        <v>5523.6999999999989</v>
      </c>
    </row>
    <row r="308" spans="1:38" x14ac:dyDescent="0.25">
      <c r="A308" t="s">
        <v>30</v>
      </c>
      <c r="B308" t="s">
        <v>46</v>
      </c>
      <c r="C308">
        <v>2021</v>
      </c>
      <c r="D308">
        <v>147.4</v>
      </c>
      <c r="E308">
        <v>197</v>
      </c>
      <c r="F308">
        <v>176.5</v>
      </c>
      <c r="G308">
        <v>159.80000000000001</v>
      </c>
      <c r="H308">
        <v>195.8</v>
      </c>
      <c r="I308">
        <v>152</v>
      </c>
      <c r="J308">
        <v>172.3</v>
      </c>
      <c r="K308">
        <v>164.5</v>
      </c>
      <c r="L308">
        <v>120.6</v>
      </c>
      <c r="M308">
        <v>171.7</v>
      </c>
      <c r="N308">
        <v>169.7</v>
      </c>
      <c r="O308">
        <v>175.1</v>
      </c>
      <c r="P308">
        <v>165.8</v>
      </c>
      <c r="Q308">
        <v>171.8</v>
      </c>
      <c r="R308">
        <v>167.3</v>
      </c>
      <c r="S308">
        <v>171.2</v>
      </c>
      <c r="T308">
        <v>139.5</v>
      </c>
      <c r="U308">
        <v>163.9</v>
      </c>
      <c r="V308">
        <v>174</v>
      </c>
      <c r="W308">
        <v>162.80000000000001</v>
      </c>
      <c r="X308">
        <v>160.1</v>
      </c>
      <c r="Y308">
        <v>164.5</v>
      </c>
      <c r="Z308">
        <v>190.8</v>
      </c>
      <c r="AA308">
        <v>165.6</v>
      </c>
      <c r="AB308">
        <v>169.7</v>
      </c>
      <c r="AC308">
        <v>166</v>
      </c>
      <c r="AD308">
        <v>167</v>
      </c>
      <c r="AE308">
        <f>SUM(Table1_1[[#This Row],[Cereals and products]:[Food and beverages]])</f>
        <v>2168.1999999999998</v>
      </c>
      <c r="AF308">
        <f>SUM(Table1_1[[#This Row],[Clothing and footwear]:[Clothing]])</f>
        <v>510.3</v>
      </c>
      <c r="AG308">
        <f>SUM(Table1_1[[#This Row],[Clothing]:[Education]])</f>
        <v>2001.1999999999998</v>
      </c>
      <c r="AH308">
        <f>SUM(Table1_1[[#This Row],[Health]:[Personal care and effects]])</f>
        <v>336.8</v>
      </c>
      <c r="AI308">
        <f>SUM(Table1_1[[#This Row],[Recreation and amusement]:[Miscellaneous]])</f>
        <v>856.59999999999991</v>
      </c>
      <c r="AJ308">
        <f>SUM(Table1_1[[#This Row],[Fuel and light]])</f>
        <v>165.6</v>
      </c>
      <c r="AK308">
        <f>SUM(Table1_1[[#This Row],[Food]:[Luxury &amp;Other Thing]])</f>
        <v>5873.1</v>
      </c>
      <c r="AL308">
        <f>SUM(Table1_1[[#This Row],[Food]:[Luxury &amp;Other Thing]])</f>
        <v>5873.1</v>
      </c>
    </row>
    <row r="309" spans="1:38" x14ac:dyDescent="0.25">
      <c r="A309" t="s">
        <v>33</v>
      </c>
      <c r="B309" t="s">
        <v>46</v>
      </c>
      <c r="C309">
        <v>2021</v>
      </c>
      <c r="D309">
        <v>151.6</v>
      </c>
      <c r="E309">
        <v>202.2</v>
      </c>
      <c r="F309">
        <v>180</v>
      </c>
      <c r="G309">
        <v>160</v>
      </c>
      <c r="H309">
        <v>173.5</v>
      </c>
      <c r="I309">
        <v>158.30000000000001</v>
      </c>
      <c r="J309">
        <v>219.5</v>
      </c>
      <c r="K309">
        <v>164.2</v>
      </c>
      <c r="L309">
        <v>121.9</v>
      </c>
      <c r="M309">
        <v>168.2</v>
      </c>
      <c r="N309">
        <v>156.5</v>
      </c>
      <c r="O309">
        <v>178.2</v>
      </c>
      <c r="P309">
        <v>172.2</v>
      </c>
      <c r="Q309">
        <v>163.30000000000001</v>
      </c>
      <c r="R309">
        <v>146.69999999999999</v>
      </c>
      <c r="S309">
        <v>160.69999999999999</v>
      </c>
      <c r="T309">
        <v>163.4</v>
      </c>
      <c r="U309">
        <v>156</v>
      </c>
      <c r="V309">
        <v>165.1</v>
      </c>
      <c r="W309">
        <v>162.4</v>
      </c>
      <c r="X309">
        <v>151.80000000000001</v>
      </c>
      <c r="Y309">
        <v>157.6</v>
      </c>
      <c r="Z309">
        <v>196.8</v>
      </c>
      <c r="AA309">
        <v>161.69999999999999</v>
      </c>
      <c r="AB309">
        <v>160.6</v>
      </c>
      <c r="AC309">
        <v>157.80000000000001</v>
      </c>
      <c r="AD309">
        <v>165.2</v>
      </c>
      <c r="AE309">
        <f>SUM(Table1_1[[#This Row],[Cereals and products]:[Food and beverages]])</f>
        <v>2206.3000000000002</v>
      </c>
      <c r="AF309">
        <f>SUM(Table1_1[[#This Row],[Clothing and footwear]:[Clothing]])</f>
        <v>470.7</v>
      </c>
      <c r="AG309">
        <f>SUM(Table1_1[[#This Row],[Clothing]:[Education]])</f>
        <v>1946.1</v>
      </c>
      <c r="AH309">
        <f>SUM(Table1_1[[#This Row],[Health]:[Personal care and effects]])</f>
        <v>327.5</v>
      </c>
      <c r="AI309">
        <f>SUM(Table1_1[[#This Row],[Recreation and amusement]:[Miscellaneous]])</f>
        <v>834.5</v>
      </c>
      <c r="AJ309">
        <f>SUM(Table1_1[[#This Row],[Fuel and light]])</f>
        <v>161.69999999999999</v>
      </c>
      <c r="AK309">
        <f>SUM(Table1_1[[#This Row],[Food]:[Luxury &amp;Other Thing]])</f>
        <v>5785.1</v>
      </c>
      <c r="AL309">
        <f>SUM(Table1_1[[#This Row],[Food]:[Luxury &amp;Other Thing]])</f>
        <v>5785.1</v>
      </c>
    </row>
    <row r="310" spans="1:38" x14ac:dyDescent="0.25">
      <c r="A310" t="s">
        <v>34</v>
      </c>
      <c r="B310" t="s">
        <v>46</v>
      </c>
      <c r="C310">
        <v>2021</v>
      </c>
      <c r="D310">
        <v>148.69999999999999</v>
      </c>
      <c r="E310">
        <v>198.8</v>
      </c>
      <c r="F310">
        <v>177.9</v>
      </c>
      <c r="G310">
        <v>159.9</v>
      </c>
      <c r="H310">
        <v>187.6</v>
      </c>
      <c r="I310">
        <v>154.9</v>
      </c>
      <c r="J310">
        <v>188.3</v>
      </c>
      <c r="K310">
        <v>164.4</v>
      </c>
      <c r="L310">
        <v>121</v>
      </c>
      <c r="M310">
        <v>170.5</v>
      </c>
      <c r="N310">
        <v>164.2</v>
      </c>
      <c r="O310">
        <v>176.5</v>
      </c>
      <c r="P310">
        <v>168.2</v>
      </c>
      <c r="Q310">
        <v>168.5</v>
      </c>
      <c r="R310">
        <v>158.69999999999999</v>
      </c>
      <c r="S310">
        <v>167</v>
      </c>
      <c r="T310">
        <v>163.4</v>
      </c>
      <c r="U310">
        <v>160.19999999999999</v>
      </c>
      <c r="V310">
        <v>170.6</v>
      </c>
      <c r="W310">
        <v>162.6</v>
      </c>
      <c r="X310">
        <v>155.69999999999999</v>
      </c>
      <c r="Y310">
        <v>160.6</v>
      </c>
      <c r="Z310">
        <v>192.4</v>
      </c>
      <c r="AA310">
        <v>164.1</v>
      </c>
      <c r="AB310">
        <v>164.4</v>
      </c>
      <c r="AC310">
        <v>162</v>
      </c>
      <c r="AD310">
        <v>166.2</v>
      </c>
      <c r="AE310">
        <f>SUM(Table1_1[[#This Row],[Cereals and products]:[Food and beverages]])</f>
        <v>2180.9</v>
      </c>
      <c r="AF310">
        <f>SUM(Table1_1[[#This Row],[Clothing and footwear]:[Clothing]])</f>
        <v>494.2</v>
      </c>
      <c r="AG310">
        <f>SUM(Table1_1[[#This Row],[Clothing]:[Education]])</f>
        <v>1988.2</v>
      </c>
      <c r="AH310">
        <f>SUM(Table1_1[[#This Row],[Health]:[Personal care and effects]])</f>
        <v>333.2</v>
      </c>
      <c r="AI310">
        <f>SUM(Table1_1[[#This Row],[Recreation and amusement]:[Miscellaneous]])</f>
        <v>843.5</v>
      </c>
      <c r="AJ310">
        <f>SUM(Table1_1[[#This Row],[Fuel and light]])</f>
        <v>164.1</v>
      </c>
      <c r="AK310">
        <f>SUM(Table1_1[[#This Row],[Food]:[Luxury &amp;Other Thing]])</f>
        <v>5840</v>
      </c>
      <c r="AL310">
        <f>SUM(Table1_1[[#This Row],[Food]:[Luxury &amp;Other Thing]])</f>
        <v>5840</v>
      </c>
    </row>
    <row r="311" spans="1:38" x14ac:dyDescent="0.25">
      <c r="A311" t="s">
        <v>30</v>
      </c>
      <c r="B311" t="s">
        <v>46</v>
      </c>
      <c r="C311">
        <v>2022</v>
      </c>
      <c r="D311">
        <v>168.8</v>
      </c>
      <c r="E311">
        <v>206.9</v>
      </c>
      <c r="F311">
        <v>189.1</v>
      </c>
      <c r="G311">
        <v>173.4</v>
      </c>
      <c r="H311">
        <v>193.9</v>
      </c>
      <c r="I311">
        <v>156.69999999999999</v>
      </c>
      <c r="J311">
        <v>150.19999999999999</v>
      </c>
      <c r="K311">
        <v>170.5</v>
      </c>
      <c r="L311">
        <v>121.2</v>
      </c>
      <c r="M311">
        <v>207.5</v>
      </c>
      <c r="N311">
        <v>176.8</v>
      </c>
      <c r="O311">
        <v>187.7</v>
      </c>
      <c r="P311">
        <v>174.4</v>
      </c>
      <c r="Q311">
        <v>188.1</v>
      </c>
      <c r="R311">
        <v>185.9</v>
      </c>
      <c r="S311">
        <v>187.8</v>
      </c>
      <c r="T311">
        <v>139.5</v>
      </c>
      <c r="U311">
        <v>176.4</v>
      </c>
      <c r="V311">
        <v>183.5</v>
      </c>
      <c r="W311">
        <v>175.7</v>
      </c>
      <c r="X311">
        <v>167.8</v>
      </c>
      <c r="Y311">
        <v>171.2</v>
      </c>
      <c r="Z311">
        <v>195.9</v>
      </c>
      <c r="AA311">
        <v>182.8</v>
      </c>
      <c r="AB311">
        <v>177.3</v>
      </c>
      <c r="AC311">
        <v>175.5</v>
      </c>
      <c r="AD311">
        <v>177.1</v>
      </c>
      <c r="AE311">
        <f>SUM(Table1_1[[#This Row],[Cereals and products]:[Food and beverages]])</f>
        <v>2277.1</v>
      </c>
      <c r="AF311">
        <f>SUM(Table1_1[[#This Row],[Clothing and footwear]:[Clothing]])</f>
        <v>561.79999999999995</v>
      </c>
      <c r="AG311">
        <f>SUM(Table1_1[[#This Row],[Clothing]:[Education]])</f>
        <v>2131.9</v>
      </c>
      <c r="AH311">
        <f>SUM(Table1_1[[#This Row],[Health]:[Personal care and effects]])</f>
        <v>359.2</v>
      </c>
      <c r="AI311">
        <f>SUM(Table1_1[[#This Row],[Recreation and amusement]:[Miscellaneous]])</f>
        <v>902.7</v>
      </c>
      <c r="AJ311">
        <f>SUM(Table1_1[[#This Row],[Fuel and light]])</f>
        <v>182.8</v>
      </c>
      <c r="AK311">
        <f>SUM(Table1_1[[#This Row],[Food]:[Luxury &amp;Other Thing]])</f>
        <v>6232.6999999999989</v>
      </c>
      <c r="AL311">
        <f>SUM(Table1_1[[#This Row],[Food]:[Luxury &amp;Other Thing]])</f>
        <v>6232.6999999999989</v>
      </c>
    </row>
    <row r="312" spans="1:38" x14ac:dyDescent="0.25">
      <c r="A312" t="s">
        <v>33</v>
      </c>
      <c r="B312" t="s">
        <v>46</v>
      </c>
      <c r="C312">
        <v>2022</v>
      </c>
      <c r="D312">
        <v>170.2</v>
      </c>
      <c r="E312">
        <v>212.9</v>
      </c>
      <c r="F312">
        <v>191.9</v>
      </c>
      <c r="G312">
        <v>173.9</v>
      </c>
      <c r="H312">
        <v>179.1</v>
      </c>
      <c r="I312">
        <v>159.5</v>
      </c>
      <c r="J312">
        <v>178.7</v>
      </c>
      <c r="K312">
        <v>171.3</v>
      </c>
      <c r="L312">
        <v>123.1</v>
      </c>
      <c r="M312">
        <v>200.5</v>
      </c>
      <c r="N312">
        <v>162.80000000000001</v>
      </c>
      <c r="O312">
        <v>193.3</v>
      </c>
      <c r="P312">
        <v>178.6</v>
      </c>
      <c r="Q312">
        <v>177.7</v>
      </c>
      <c r="R312">
        <v>164.5</v>
      </c>
      <c r="S312">
        <v>175.7</v>
      </c>
      <c r="T312">
        <v>170.7</v>
      </c>
      <c r="U312">
        <v>167.3</v>
      </c>
      <c r="V312">
        <v>177.2</v>
      </c>
      <c r="W312">
        <v>176</v>
      </c>
      <c r="X312">
        <v>159.4</v>
      </c>
      <c r="Y312">
        <v>167.1</v>
      </c>
      <c r="Z312">
        <v>201.1</v>
      </c>
      <c r="AA312">
        <v>180.6</v>
      </c>
      <c r="AB312">
        <v>171.8</v>
      </c>
      <c r="AC312">
        <v>168.2</v>
      </c>
      <c r="AD312">
        <v>174.1</v>
      </c>
      <c r="AE312">
        <f>SUM(Table1_1[[#This Row],[Cereals and products]:[Food and beverages]])</f>
        <v>2295.7999999999997</v>
      </c>
      <c r="AF312">
        <f>SUM(Table1_1[[#This Row],[Clothing and footwear]:[Clothing]])</f>
        <v>517.9</v>
      </c>
      <c r="AG312">
        <f>SUM(Table1_1[[#This Row],[Clothing]:[Education]])</f>
        <v>2089.1</v>
      </c>
      <c r="AH312">
        <f>SUM(Table1_1[[#This Row],[Health]:[Personal care and effects]])</f>
        <v>353.2</v>
      </c>
      <c r="AI312">
        <f>SUM(Table1_1[[#This Row],[Recreation and amusement]:[Miscellaneous]])</f>
        <v>888.8</v>
      </c>
      <c r="AJ312">
        <f>SUM(Table1_1[[#This Row],[Fuel and light]])</f>
        <v>180.6</v>
      </c>
      <c r="AK312">
        <f>SUM(Table1_1[[#This Row],[Food]:[Luxury &amp;Other Thing]])</f>
        <v>6144.7999999999993</v>
      </c>
      <c r="AL312">
        <f>SUM(Table1_1[[#This Row],[Food]:[Luxury &amp;Other Thing]])</f>
        <v>6144.7999999999993</v>
      </c>
    </row>
    <row r="313" spans="1:38" x14ac:dyDescent="0.25">
      <c r="A313" t="s">
        <v>34</v>
      </c>
      <c r="B313" t="s">
        <v>46</v>
      </c>
      <c r="C313">
        <v>2022</v>
      </c>
      <c r="D313">
        <v>169.2</v>
      </c>
      <c r="E313">
        <v>209</v>
      </c>
      <c r="F313">
        <v>190.2</v>
      </c>
      <c r="G313">
        <v>173.6</v>
      </c>
      <c r="H313">
        <v>188.5</v>
      </c>
      <c r="I313">
        <v>158</v>
      </c>
      <c r="J313">
        <v>159.9</v>
      </c>
      <c r="K313">
        <v>170.8</v>
      </c>
      <c r="L313">
        <v>121.8</v>
      </c>
      <c r="M313">
        <v>205.2</v>
      </c>
      <c r="N313">
        <v>171</v>
      </c>
      <c r="O313">
        <v>190.3</v>
      </c>
      <c r="P313">
        <v>175.9</v>
      </c>
      <c r="Q313">
        <v>184</v>
      </c>
      <c r="R313">
        <v>177</v>
      </c>
      <c r="S313">
        <v>183</v>
      </c>
      <c r="T313">
        <v>170.7</v>
      </c>
      <c r="U313">
        <v>172.1</v>
      </c>
      <c r="V313">
        <v>181.1</v>
      </c>
      <c r="W313">
        <v>175.8</v>
      </c>
      <c r="X313">
        <v>163.4</v>
      </c>
      <c r="Y313">
        <v>168.9</v>
      </c>
      <c r="Z313">
        <v>197.3</v>
      </c>
      <c r="AA313">
        <v>182</v>
      </c>
      <c r="AB313">
        <v>174.1</v>
      </c>
      <c r="AC313">
        <v>172</v>
      </c>
      <c r="AD313">
        <v>175.7</v>
      </c>
      <c r="AE313">
        <f>SUM(Table1_1[[#This Row],[Cereals and products]:[Food and beverages]])</f>
        <v>2283.4</v>
      </c>
      <c r="AF313">
        <f>SUM(Table1_1[[#This Row],[Clothing and footwear]:[Clothing]])</f>
        <v>544</v>
      </c>
      <c r="AG313">
        <f>SUM(Table1_1[[#This Row],[Clothing]:[Education]])</f>
        <v>2129.4</v>
      </c>
      <c r="AH313">
        <f>SUM(Table1_1[[#This Row],[Health]:[Personal care and effects]])</f>
        <v>356.9</v>
      </c>
      <c r="AI313">
        <f>SUM(Table1_1[[#This Row],[Recreation and amusement]:[Miscellaneous]])</f>
        <v>894.30000000000007</v>
      </c>
      <c r="AJ313">
        <f>SUM(Table1_1[[#This Row],[Fuel and light]])</f>
        <v>182</v>
      </c>
      <c r="AK313">
        <f>SUM(Table1_1[[#This Row],[Food]:[Luxury &amp;Other Thing]])</f>
        <v>6208</v>
      </c>
      <c r="AL313">
        <f>SUM(Table1_1[[#This Row],[Food]:[Luxury &amp;Other Thing]])</f>
        <v>6208</v>
      </c>
    </row>
    <row r="314" spans="1:38" x14ac:dyDescent="0.25">
      <c r="A314" t="s">
        <v>30</v>
      </c>
      <c r="B314" t="s">
        <v>41</v>
      </c>
      <c r="C314">
        <v>2013</v>
      </c>
      <c r="D314">
        <v>114.3</v>
      </c>
      <c r="E314">
        <v>115.4</v>
      </c>
      <c r="F314">
        <v>111.1</v>
      </c>
      <c r="G314">
        <v>110</v>
      </c>
      <c r="H314">
        <v>106.4</v>
      </c>
      <c r="I314">
        <v>110.8</v>
      </c>
      <c r="J314">
        <v>138.9</v>
      </c>
      <c r="K314">
        <v>107.4</v>
      </c>
      <c r="L314">
        <v>104.1</v>
      </c>
      <c r="M314">
        <v>106.9</v>
      </c>
      <c r="N314">
        <v>109.7</v>
      </c>
      <c r="O314">
        <v>112.6</v>
      </c>
      <c r="P314">
        <v>114.9</v>
      </c>
      <c r="Q314">
        <v>111.3</v>
      </c>
      <c r="R314">
        <v>110.2</v>
      </c>
      <c r="S314">
        <v>111.1</v>
      </c>
      <c r="T314">
        <v>139.5</v>
      </c>
      <c r="U314">
        <v>108.7</v>
      </c>
      <c r="V314">
        <v>107.5</v>
      </c>
      <c r="W314">
        <v>105</v>
      </c>
      <c r="X314">
        <v>107.8</v>
      </c>
      <c r="Y314">
        <v>106.8</v>
      </c>
      <c r="Z314">
        <v>110.7</v>
      </c>
      <c r="AA314">
        <v>109.9</v>
      </c>
      <c r="AB314">
        <v>108.7</v>
      </c>
      <c r="AC314">
        <v>107.5</v>
      </c>
      <c r="AD314">
        <v>112.1</v>
      </c>
      <c r="AE314">
        <f>SUM(Table1_1[[#This Row],[Cereals and products]:[Food and beverages]])</f>
        <v>1462.5</v>
      </c>
      <c r="AF314">
        <f>SUM(Table1_1[[#This Row],[Clothing and footwear]:[Clothing]])</f>
        <v>332.6</v>
      </c>
      <c r="AG314">
        <f>SUM(Table1_1[[#This Row],[Clothing]:[Education]])</f>
        <v>1337.2</v>
      </c>
      <c r="AH314">
        <f>SUM(Table1_1[[#This Row],[Health]:[Personal care and effects]])</f>
        <v>212.5</v>
      </c>
      <c r="AI314">
        <f>SUM(Table1_1[[#This Row],[Recreation and amusement]:[Miscellaneous]])</f>
        <v>543.59999999999991</v>
      </c>
      <c r="AJ314">
        <f>SUM(Table1_1[[#This Row],[Fuel and light]])</f>
        <v>109.9</v>
      </c>
      <c r="AK314">
        <f>SUM(Table1_1[[#This Row],[Food]:[Luxury &amp;Other Thing]])</f>
        <v>3888.4</v>
      </c>
      <c r="AL314">
        <f>SUM(Table1_1[[#This Row],[Food]:[Luxury &amp;Other Thing]])</f>
        <v>3888.4</v>
      </c>
    </row>
    <row r="315" spans="1:38" x14ac:dyDescent="0.25">
      <c r="A315" t="s">
        <v>33</v>
      </c>
      <c r="B315" t="s">
        <v>41</v>
      </c>
      <c r="C315">
        <v>2013</v>
      </c>
      <c r="D315">
        <v>118.3</v>
      </c>
      <c r="E315">
        <v>120.4</v>
      </c>
      <c r="F315">
        <v>112.7</v>
      </c>
      <c r="G315">
        <v>108.9</v>
      </c>
      <c r="H315">
        <v>101.1</v>
      </c>
      <c r="I315">
        <v>108.7</v>
      </c>
      <c r="J315">
        <v>177</v>
      </c>
      <c r="K315">
        <v>104.7</v>
      </c>
      <c r="L315">
        <v>101</v>
      </c>
      <c r="M315">
        <v>108.5</v>
      </c>
      <c r="N315">
        <v>110.9</v>
      </c>
      <c r="O315">
        <v>114.3</v>
      </c>
      <c r="P315">
        <v>119.6</v>
      </c>
      <c r="Q315">
        <v>110.6</v>
      </c>
      <c r="R315">
        <v>108.3</v>
      </c>
      <c r="S315">
        <v>110.2</v>
      </c>
      <c r="T315">
        <v>108.9</v>
      </c>
      <c r="U315">
        <v>108.7</v>
      </c>
      <c r="V315">
        <v>107.6</v>
      </c>
      <c r="W315">
        <v>106</v>
      </c>
      <c r="X315">
        <v>108.1</v>
      </c>
      <c r="Y315">
        <v>106.5</v>
      </c>
      <c r="Z315">
        <v>112.4</v>
      </c>
      <c r="AA315">
        <v>109.3</v>
      </c>
      <c r="AB315">
        <v>110.8</v>
      </c>
      <c r="AC315">
        <v>108.3</v>
      </c>
      <c r="AD315">
        <v>112.7</v>
      </c>
      <c r="AE315">
        <f>SUM(Table1_1[[#This Row],[Cereals and products]:[Food and beverages]])</f>
        <v>1506.1000000000001</v>
      </c>
      <c r="AF315">
        <f>SUM(Table1_1[[#This Row],[Clothing and footwear]:[Clothing]])</f>
        <v>329.09999999999997</v>
      </c>
      <c r="AG315">
        <f>SUM(Table1_1[[#This Row],[Clothing]:[Education]])</f>
        <v>1307.4000000000001</v>
      </c>
      <c r="AH315">
        <f>SUM(Table1_1[[#This Row],[Health]:[Personal care and effects]])</f>
        <v>213.6</v>
      </c>
      <c r="AI315">
        <f>SUM(Table1_1[[#This Row],[Recreation and amusement]:[Miscellaneous]])</f>
        <v>547.29999999999995</v>
      </c>
      <c r="AJ315">
        <f>SUM(Table1_1[[#This Row],[Fuel and light]])</f>
        <v>109.3</v>
      </c>
      <c r="AK315">
        <f>SUM(Table1_1[[#This Row],[Food]:[Luxury &amp;Other Thing]])</f>
        <v>3903.5</v>
      </c>
      <c r="AL315">
        <f>SUM(Table1_1[[#This Row],[Food]:[Luxury &amp;Other Thing]])</f>
        <v>3903.5</v>
      </c>
    </row>
    <row r="316" spans="1:38" x14ac:dyDescent="0.25">
      <c r="A316" t="s">
        <v>34</v>
      </c>
      <c r="B316" t="s">
        <v>41</v>
      </c>
      <c r="C316">
        <v>2013</v>
      </c>
      <c r="D316">
        <v>115.6</v>
      </c>
      <c r="E316">
        <v>117.2</v>
      </c>
      <c r="F316">
        <v>111.7</v>
      </c>
      <c r="G316">
        <v>109.6</v>
      </c>
      <c r="H316">
        <v>104.5</v>
      </c>
      <c r="I316">
        <v>109.8</v>
      </c>
      <c r="J316">
        <v>151.80000000000001</v>
      </c>
      <c r="K316">
        <v>106.5</v>
      </c>
      <c r="L316">
        <v>103.1</v>
      </c>
      <c r="M316">
        <v>107.4</v>
      </c>
      <c r="N316">
        <v>110.2</v>
      </c>
      <c r="O316">
        <v>113.4</v>
      </c>
      <c r="P316">
        <v>116.6</v>
      </c>
      <c r="Q316">
        <v>111</v>
      </c>
      <c r="R316">
        <v>109.4</v>
      </c>
      <c r="S316">
        <v>110.7</v>
      </c>
      <c r="T316">
        <v>108.9</v>
      </c>
      <c r="U316">
        <v>108.7</v>
      </c>
      <c r="V316">
        <v>107.5</v>
      </c>
      <c r="W316">
        <v>105.4</v>
      </c>
      <c r="X316">
        <v>108</v>
      </c>
      <c r="Y316">
        <v>106.6</v>
      </c>
      <c r="Z316">
        <v>111.2</v>
      </c>
      <c r="AA316">
        <v>109.7</v>
      </c>
      <c r="AB316">
        <v>109.9</v>
      </c>
      <c r="AC316">
        <v>107.9</v>
      </c>
      <c r="AD316">
        <v>112.4</v>
      </c>
      <c r="AE316">
        <f>SUM(Table1_1[[#This Row],[Cereals and products]:[Food and beverages]])</f>
        <v>1477.4</v>
      </c>
      <c r="AF316">
        <f>SUM(Table1_1[[#This Row],[Clothing and footwear]:[Clothing]])</f>
        <v>331.1</v>
      </c>
      <c r="AG316">
        <f>SUM(Table1_1[[#This Row],[Clothing]:[Education]])</f>
        <v>1307.0000000000002</v>
      </c>
      <c r="AH316">
        <f>SUM(Table1_1[[#This Row],[Health]:[Personal care and effects]])</f>
        <v>212.9</v>
      </c>
      <c r="AI316">
        <f>SUM(Table1_1[[#This Row],[Recreation and amusement]:[Miscellaneous]])</f>
        <v>545.29999999999995</v>
      </c>
      <c r="AJ316">
        <f>SUM(Table1_1[[#This Row],[Fuel and light]])</f>
        <v>109.7</v>
      </c>
      <c r="AK316">
        <f>SUM(Table1_1[[#This Row],[Food]:[Luxury &amp;Other Thing]])</f>
        <v>3873.7</v>
      </c>
      <c r="AL316">
        <f>SUM(Table1_1[[#This Row],[Food]:[Luxury &amp;Other Thing]])</f>
        <v>3873.7</v>
      </c>
    </row>
    <row r="317" spans="1:38" x14ac:dyDescent="0.25">
      <c r="A317" t="s">
        <v>30</v>
      </c>
      <c r="B317" t="s">
        <v>41</v>
      </c>
      <c r="C317">
        <v>2014</v>
      </c>
      <c r="D317">
        <v>121.8</v>
      </c>
      <c r="E317">
        <v>122.8</v>
      </c>
      <c r="F317">
        <v>117.8</v>
      </c>
      <c r="G317">
        <v>121.9</v>
      </c>
      <c r="H317">
        <v>110.6</v>
      </c>
      <c r="I317">
        <v>129.69999999999999</v>
      </c>
      <c r="J317">
        <v>161.1</v>
      </c>
      <c r="K317">
        <v>114.1</v>
      </c>
      <c r="L317">
        <v>105.1</v>
      </c>
      <c r="M317">
        <v>114.6</v>
      </c>
      <c r="N317">
        <v>115.8</v>
      </c>
      <c r="O317">
        <v>121.7</v>
      </c>
      <c r="P317">
        <v>125.3</v>
      </c>
      <c r="Q317">
        <v>120.9</v>
      </c>
      <c r="R317">
        <v>118.8</v>
      </c>
      <c r="S317">
        <v>120.7</v>
      </c>
      <c r="T317">
        <v>139.5</v>
      </c>
      <c r="U317">
        <v>115.9</v>
      </c>
      <c r="V317">
        <v>114</v>
      </c>
      <c r="W317">
        <v>109.4</v>
      </c>
      <c r="X317">
        <v>113.2</v>
      </c>
      <c r="Y317">
        <v>112.2</v>
      </c>
      <c r="Z317">
        <v>118.8</v>
      </c>
      <c r="AA317">
        <v>115.4</v>
      </c>
      <c r="AB317">
        <v>116.2</v>
      </c>
      <c r="AC317">
        <v>113.5</v>
      </c>
      <c r="AD317">
        <v>120.7</v>
      </c>
      <c r="AE317">
        <f>SUM(Table1_1[[#This Row],[Cereals and products]:[Food and beverages]])</f>
        <v>1582.2999999999997</v>
      </c>
      <c r="AF317">
        <f>SUM(Table1_1[[#This Row],[Clothing and footwear]:[Clothing]])</f>
        <v>360.4</v>
      </c>
      <c r="AG317">
        <f>SUM(Table1_1[[#This Row],[Clothing]:[Education]])</f>
        <v>1415</v>
      </c>
      <c r="AH317">
        <f>SUM(Table1_1[[#This Row],[Health]:[Personal care and effects]])</f>
        <v>223.4</v>
      </c>
      <c r="AI317">
        <f>SUM(Table1_1[[#This Row],[Recreation and amusement]:[Miscellaneous]])</f>
        <v>576.09999999999991</v>
      </c>
      <c r="AJ317">
        <f>SUM(Table1_1[[#This Row],[Fuel and light]])</f>
        <v>115.4</v>
      </c>
      <c r="AK317">
        <f>SUM(Table1_1[[#This Row],[Food]:[Luxury &amp;Other Thing]])</f>
        <v>4157.2</v>
      </c>
      <c r="AL317">
        <f>SUM(Table1_1[[#This Row],[Food]:[Luxury &amp;Other Thing]])</f>
        <v>4157.2</v>
      </c>
    </row>
    <row r="318" spans="1:38" x14ac:dyDescent="0.25">
      <c r="A318" t="s">
        <v>33</v>
      </c>
      <c r="B318" t="s">
        <v>41</v>
      </c>
      <c r="C318">
        <v>2014</v>
      </c>
      <c r="D318">
        <v>124.8</v>
      </c>
      <c r="E318">
        <v>127.3</v>
      </c>
      <c r="F318">
        <v>116.5</v>
      </c>
      <c r="G318">
        <v>122.2</v>
      </c>
      <c r="H318">
        <v>103.6</v>
      </c>
      <c r="I318">
        <v>132.69999999999999</v>
      </c>
      <c r="J318">
        <v>181.9</v>
      </c>
      <c r="K318">
        <v>115.2</v>
      </c>
      <c r="L318">
        <v>102.7</v>
      </c>
      <c r="M318">
        <v>122.1</v>
      </c>
      <c r="N318">
        <v>114.4</v>
      </c>
      <c r="O318">
        <v>124.7</v>
      </c>
      <c r="P318">
        <v>128.9</v>
      </c>
      <c r="Q318">
        <v>118.6</v>
      </c>
      <c r="R318">
        <v>114.1</v>
      </c>
      <c r="S318">
        <v>117.9</v>
      </c>
      <c r="T318">
        <v>115.5</v>
      </c>
      <c r="U318">
        <v>115.3</v>
      </c>
      <c r="V318">
        <v>112.2</v>
      </c>
      <c r="W318">
        <v>110.5</v>
      </c>
      <c r="X318">
        <v>112.5</v>
      </c>
      <c r="Y318">
        <v>112.9</v>
      </c>
      <c r="Z318">
        <v>123</v>
      </c>
      <c r="AA318">
        <v>111.8</v>
      </c>
      <c r="AB318">
        <v>119.2</v>
      </c>
      <c r="AC318">
        <v>113.9</v>
      </c>
      <c r="AD318">
        <v>119.9</v>
      </c>
      <c r="AE318">
        <f>SUM(Table1_1[[#This Row],[Cereals and products]:[Food and beverages]])</f>
        <v>1617</v>
      </c>
      <c r="AF318">
        <f>SUM(Table1_1[[#This Row],[Clothing and footwear]:[Clothing]])</f>
        <v>350.6</v>
      </c>
      <c r="AG318">
        <f>SUM(Table1_1[[#This Row],[Clothing]:[Education]])</f>
        <v>1383.5</v>
      </c>
      <c r="AH318">
        <f>SUM(Table1_1[[#This Row],[Health]:[Personal care and effects]])</f>
        <v>222.7</v>
      </c>
      <c r="AI318">
        <f>SUM(Table1_1[[#This Row],[Recreation and amusement]:[Miscellaneous]])</f>
        <v>580.79999999999995</v>
      </c>
      <c r="AJ318">
        <f>SUM(Table1_1[[#This Row],[Fuel and light]])</f>
        <v>111.8</v>
      </c>
      <c r="AK318">
        <f>SUM(Table1_1[[#This Row],[Food]:[Luxury &amp;Other Thing]])</f>
        <v>4154.5999999999995</v>
      </c>
      <c r="AL318">
        <f>SUM(Table1_1[[#This Row],[Food]:[Luxury &amp;Other Thing]])</f>
        <v>4154.5999999999995</v>
      </c>
    </row>
    <row r="319" spans="1:38" x14ac:dyDescent="0.25">
      <c r="A319" t="s">
        <v>34</v>
      </c>
      <c r="B319" t="s">
        <v>41</v>
      </c>
      <c r="C319">
        <v>2014</v>
      </c>
      <c r="D319">
        <v>122.7</v>
      </c>
      <c r="E319">
        <v>124.4</v>
      </c>
      <c r="F319">
        <v>117.3</v>
      </c>
      <c r="G319">
        <v>122</v>
      </c>
      <c r="H319">
        <v>108</v>
      </c>
      <c r="I319">
        <v>131.1</v>
      </c>
      <c r="J319">
        <v>168.2</v>
      </c>
      <c r="K319">
        <v>114.5</v>
      </c>
      <c r="L319">
        <v>104.3</v>
      </c>
      <c r="M319">
        <v>117.1</v>
      </c>
      <c r="N319">
        <v>115.2</v>
      </c>
      <c r="O319">
        <v>123.1</v>
      </c>
      <c r="P319">
        <v>126.6</v>
      </c>
      <c r="Q319">
        <v>120</v>
      </c>
      <c r="R319">
        <v>116.8</v>
      </c>
      <c r="S319">
        <v>119.6</v>
      </c>
      <c r="T319">
        <v>115.5</v>
      </c>
      <c r="U319">
        <v>115.6</v>
      </c>
      <c r="V319">
        <v>113.3</v>
      </c>
      <c r="W319">
        <v>109.9</v>
      </c>
      <c r="X319">
        <v>112.8</v>
      </c>
      <c r="Y319">
        <v>112.6</v>
      </c>
      <c r="Z319">
        <v>119.9</v>
      </c>
      <c r="AA319">
        <v>114</v>
      </c>
      <c r="AB319">
        <v>118</v>
      </c>
      <c r="AC319">
        <v>113.7</v>
      </c>
      <c r="AD319">
        <v>120.3</v>
      </c>
      <c r="AE319">
        <f>SUM(Table1_1[[#This Row],[Cereals and products]:[Food and beverages]])</f>
        <v>1594.4999999999998</v>
      </c>
      <c r="AF319">
        <f>SUM(Table1_1[[#This Row],[Clothing and footwear]:[Clothing]])</f>
        <v>356.4</v>
      </c>
      <c r="AG319">
        <f>SUM(Table1_1[[#This Row],[Clothing]:[Education]])</f>
        <v>1388</v>
      </c>
      <c r="AH319">
        <f>SUM(Table1_1[[#This Row],[Health]:[Personal care and effects]])</f>
        <v>223.2</v>
      </c>
      <c r="AI319">
        <f>SUM(Table1_1[[#This Row],[Recreation and amusement]:[Miscellaneous]])</f>
        <v>578.20000000000005</v>
      </c>
      <c r="AJ319">
        <f>SUM(Table1_1[[#This Row],[Fuel and light]])</f>
        <v>114</v>
      </c>
      <c r="AK319">
        <f>SUM(Table1_1[[#This Row],[Food]:[Luxury &amp;Other Thing]])</f>
        <v>4140.2999999999993</v>
      </c>
      <c r="AL319">
        <f>SUM(Table1_1[[#This Row],[Food]:[Luxury &amp;Other Thing]])</f>
        <v>4140.2999999999993</v>
      </c>
    </row>
    <row r="320" spans="1:38" x14ac:dyDescent="0.25">
      <c r="A320" t="s">
        <v>30</v>
      </c>
      <c r="B320" t="s">
        <v>41</v>
      </c>
      <c r="C320">
        <v>2015</v>
      </c>
      <c r="D320">
        <v>124.7</v>
      </c>
      <c r="E320">
        <v>131.30000000000001</v>
      </c>
      <c r="F320">
        <v>121.3</v>
      </c>
      <c r="G320">
        <v>128.80000000000001</v>
      </c>
      <c r="H320">
        <v>114</v>
      </c>
      <c r="I320">
        <v>134.19999999999999</v>
      </c>
      <c r="J320">
        <v>153.6</v>
      </c>
      <c r="K320">
        <v>137.9</v>
      </c>
      <c r="L320">
        <v>93.1</v>
      </c>
      <c r="M320">
        <v>123.9</v>
      </c>
      <c r="N320">
        <v>121.5</v>
      </c>
      <c r="O320">
        <v>132.5</v>
      </c>
      <c r="P320">
        <v>129.80000000000001</v>
      </c>
      <c r="Q320">
        <v>129.5</v>
      </c>
      <c r="R320">
        <v>126.3</v>
      </c>
      <c r="S320">
        <v>129</v>
      </c>
      <c r="T320">
        <v>139.5</v>
      </c>
      <c r="U320">
        <v>123.7</v>
      </c>
      <c r="V320">
        <v>121.1</v>
      </c>
      <c r="W320">
        <v>112.5</v>
      </c>
      <c r="X320">
        <v>113.6</v>
      </c>
      <c r="Y320">
        <v>118.5</v>
      </c>
      <c r="Z320">
        <v>130.1</v>
      </c>
      <c r="AA320">
        <v>123.8</v>
      </c>
      <c r="AB320">
        <v>123.6</v>
      </c>
      <c r="AC320">
        <v>118.2</v>
      </c>
      <c r="AD320">
        <v>126.1</v>
      </c>
      <c r="AE320">
        <f>SUM(Table1_1[[#This Row],[Cereals and products]:[Food and beverages]])</f>
        <v>1646.6</v>
      </c>
      <c r="AF320">
        <f>SUM(Table1_1[[#This Row],[Clothing and footwear]:[Clothing]])</f>
        <v>384.8</v>
      </c>
      <c r="AG320">
        <f>SUM(Table1_1[[#This Row],[Clothing]:[Education]])</f>
        <v>1491.1999999999998</v>
      </c>
      <c r="AH320">
        <f>SUM(Table1_1[[#This Row],[Health]:[Personal care and effects]])</f>
        <v>233.6</v>
      </c>
      <c r="AI320">
        <f>SUM(Table1_1[[#This Row],[Recreation and amusement]:[Miscellaneous]])</f>
        <v>614.20000000000005</v>
      </c>
      <c r="AJ320">
        <f>SUM(Table1_1[[#This Row],[Fuel and light]])</f>
        <v>123.8</v>
      </c>
      <c r="AK320">
        <f>SUM(Table1_1[[#This Row],[Food]:[Luxury &amp;Other Thing]])</f>
        <v>4370.3999999999996</v>
      </c>
      <c r="AL320">
        <f>SUM(Table1_1[[#This Row],[Food]:[Luxury &amp;Other Thing]])</f>
        <v>4370.3999999999996</v>
      </c>
    </row>
    <row r="321" spans="1:38" x14ac:dyDescent="0.25">
      <c r="A321" t="s">
        <v>33</v>
      </c>
      <c r="B321" t="s">
        <v>41</v>
      </c>
      <c r="C321">
        <v>2015</v>
      </c>
      <c r="D321">
        <v>123.1</v>
      </c>
      <c r="E321">
        <v>131.69999999999999</v>
      </c>
      <c r="F321">
        <v>118.1</v>
      </c>
      <c r="G321">
        <v>128</v>
      </c>
      <c r="H321">
        <v>106.8</v>
      </c>
      <c r="I321">
        <v>130.1</v>
      </c>
      <c r="J321">
        <v>165.5</v>
      </c>
      <c r="K321">
        <v>156</v>
      </c>
      <c r="L321">
        <v>85.3</v>
      </c>
      <c r="M321">
        <v>132.69999999999999</v>
      </c>
      <c r="N321">
        <v>118.8</v>
      </c>
      <c r="O321">
        <v>131.69999999999999</v>
      </c>
      <c r="P321">
        <v>131.1</v>
      </c>
      <c r="Q321">
        <v>123.7</v>
      </c>
      <c r="R321">
        <v>118.2</v>
      </c>
      <c r="S321">
        <v>122.9</v>
      </c>
      <c r="T321">
        <v>120.9</v>
      </c>
      <c r="U321">
        <v>120</v>
      </c>
      <c r="V321">
        <v>116.6</v>
      </c>
      <c r="W321">
        <v>112</v>
      </c>
      <c r="X321">
        <v>109.9</v>
      </c>
      <c r="Y321">
        <v>117.2</v>
      </c>
      <c r="Z321">
        <v>134.19999999999999</v>
      </c>
      <c r="AA321">
        <v>115.3</v>
      </c>
      <c r="AB321">
        <v>126.2</v>
      </c>
      <c r="AC321">
        <v>116.2</v>
      </c>
      <c r="AD321">
        <v>123.2</v>
      </c>
      <c r="AE321">
        <f>SUM(Table1_1[[#This Row],[Cereals and products]:[Food and beverages]])</f>
        <v>1658.8999999999999</v>
      </c>
      <c r="AF321">
        <f>SUM(Table1_1[[#This Row],[Clothing and footwear]:[Clothing]])</f>
        <v>364.8</v>
      </c>
      <c r="AG321">
        <f>SUM(Table1_1[[#This Row],[Clothing]:[Education]])</f>
        <v>1437.1000000000001</v>
      </c>
      <c r="AH321">
        <f>SUM(Table1_1[[#This Row],[Health]:[Personal care and effects]])</f>
        <v>228.6</v>
      </c>
      <c r="AI321">
        <f>SUM(Table1_1[[#This Row],[Recreation and amusement]:[Miscellaneous]])</f>
        <v>609.1</v>
      </c>
      <c r="AJ321">
        <f>SUM(Table1_1[[#This Row],[Fuel and light]])</f>
        <v>115.3</v>
      </c>
      <c r="AK321">
        <f>SUM(Table1_1[[#This Row],[Food]:[Luxury &amp;Other Thing]])</f>
        <v>4298.5</v>
      </c>
      <c r="AL321">
        <f>SUM(Table1_1[[#This Row],[Food]:[Luxury &amp;Other Thing]])</f>
        <v>4298.5</v>
      </c>
    </row>
    <row r="322" spans="1:38" x14ac:dyDescent="0.25">
      <c r="A322" t="s">
        <v>34</v>
      </c>
      <c r="B322" t="s">
        <v>41</v>
      </c>
      <c r="C322">
        <v>2015</v>
      </c>
      <c r="D322">
        <v>124.2</v>
      </c>
      <c r="E322">
        <v>131.4</v>
      </c>
      <c r="F322">
        <v>120.1</v>
      </c>
      <c r="G322">
        <v>128.5</v>
      </c>
      <c r="H322">
        <v>111.4</v>
      </c>
      <c r="I322">
        <v>132.30000000000001</v>
      </c>
      <c r="J322">
        <v>157.6</v>
      </c>
      <c r="K322">
        <v>144</v>
      </c>
      <c r="L322">
        <v>90.5</v>
      </c>
      <c r="M322">
        <v>126.8</v>
      </c>
      <c r="N322">
        <v>120.4</v>
      </c>
      <c r="O322">
        <v>132.1</v>
      </c>
      <c r="P322">
        <v>130.30000000000001</v>
      </c>
      <c r="Q322">
        <v>127.2</v>
      </c>
      <c r="R322">
        <v>122.9</v>
      </c>
      <c r="S322">
        <v>126.6</v>
      </c>
      <c r="T322">
        <v>120.9</v>
      </c>
      <c r="U322">
        <v>122</v>
      </c>
      <c r="V322">
        <v>119.4</v>
      </c>
      <c r="W322">
        <v>112.3</v>
      </c>
      <c r="X322">
        <v>111.7</v>
      </c>
      <c r="Y322">
        <v>117.8</v>
      </c>
      <c r="Z322">
        <v>131.19999999999999</v>
      </c>
      <c r="AA322">
        <v>120.6</v>
      </c>
      <c r="AB322">
        <v>125.1</v>
      </c>
      <c r="AC322">
        <v>117.2</v>
      </c>
      <c r="AD322">
        <v>124.8</v>
      </c>
      <c r="AE322">
        <f>SUM(Table1_1[[#This Row],[Cereals and products]:[Food and beverages]])</f>
        <v>1649.6</v>
      </c>
      <c r="AF322">
        <f>SUM(Table1_1[[#This Row],[Clothing and footwear]:[Clothing]])</f>
        <v>376.70000000000005</v>
      </c>
      <c r="AG322">
        <f>SUM(Table1_1[[#This Row],[Clothing]:[Education]])</f>
        <v>1457.6999999999998</v>
      </c>
      <c r="AH322">
        <f>SUM(Table1_1[[#This Row],[Health]:[Personal care and effects]])</f>
        <v>231.7</v>
      </c>
      <c r="AI322">
        <f>SUM(Table1_1[[#This Row],[Recreation and amusement]:[Miscellaneous]])</f>
        <v>611.90000000000009</v>
      </c>
      <c r="AJ322">
        <f>SUM(Table1_1[[#This Row],[Fuel and light]])</f>
        <v>120.6</v>
      </c>
      <c r="AK322">
        <f>SUM(Table1_1[[#This Row],[Food]:[Luxury &amp;Other Thing]])</f>
        <v>4327.6000000000004</v>
      </c>
      <c r="AL322">
        <f>SUM(Table1_1[[#This Row],[Food]:[Luxury &amp;Other Thing]])</f>
        <v>4327.6000000000004</v>
      </c>
    </row>
    <row r="323" spans="1:38" x14ac:dyDescent="0.25">
      <c r="A323" t="s">
        <v>30</v>
      </c>
      <c r="B323" t="s">
        <v>41</v>
      </c>
      <c r="C323">
        <v>2016</v>
      </c>
      <c r="D323">
        <v>130.1</v>
      </c>
      <c r="E323">
        <v>138.80000000000001</v>
      </c>
      <c r="F323">
        <v>130.30000000000001</v>
      </c>
      <c r="G323">
        <v>135.30000000000001</v>
      </c>
      <c r="H323">
        <v>119.9</v>
      </c>
      <c r="I323">
        <v>140.19999999999999</v>
      </c>
      <c r="J323">
        <v>156.9</v>
      </c>
      <c r="K323">
        <v>172.2</v>
      </c>
      <c r="L323">
        <v>112.1</v>
      </c>
      <c r="M323">
        <v>134.9</v>
      </c>
      <c r="N323">
        <v>128.1</v>
      </c>
      <c r="O323">
        <v>140.69999999999999</v>
      </c>
      <c r="P323">
        <v>138</v>
      </c>
      <c r="Q323">
        <v>137.80000000000001</v>
      </c>
      <c r="R323">
        <v>133</v>
      </c>
      <c r="S323">
        <v>137.1</v>
      </c>
      <c r="T323">
        <v>139.5</v>
      </c>
      <c r="U323">
        <v>130.6</v>
      </c>
      <c r="V323">
        <v>127</v>
      </c>
      <c r="W323">
        <v>122</v>
      </c>
      <c r="X323">
        <v>116</v>
      </c>
      <c r="Y323">
        <v>125.5</v>
      </c>
      <c r="Z323">
        <v>138.9</v>
      </c>
      <c r="AA323">
        <v>129.1</v>
      </c>
      <c r="AB323">
        <v>131.9</v>
      </c>
      <c r="AC323">
        <v>124.2</v>
      </c>
      <c r="AD323">
        <v>133.5</v>
      </c>
      <c r="AE323">
        <f>SUM(Table1_1[[#This Row],[Cereals and products]:[Food and beverages]])</f>
        <v>1777.4999999999998</v>
      </c>
      <c r="AF323">
        <f>SUM(Table1_1[[#This Row],[Clothing and footwear]:[Clothing]])</f>
        <v>407.9</v>
      </c>
      <c r="AG323">
        <f>SUM(Table1_1[[#This Row],[Clothing]:[Education]])</f>
        <v>1568.4</v>
      </c>
      <c r="AH323">
        <f>SUM(Table1_1[[#This Row],[Health]:[Personal care and effects]])</f>
        <v>249</v>
      </c>
      <c r="AI323">
        <f>SUM(Table1_1[[#This Row],[Recreation and amusement]:[Miscellaneous]])</f>
        <v>649.6</v>
      </c>
      <c r="AJ323">
        <f>SUM(Table1_1[[#This Row],[Fuel and light]])</f>
        <v>129.1</v>
      </c>
      <c r="AK323">
        <f>SUM(Table1_1[[#This Row],[Food]:[Luxury &amp;Other Thing]])</f>
        <v>4652.3999999999996</v>
      </c>
      <c r="AL323">
        <f>SUM(Table1_1[[#This Row],[Food]:[Luxury &amp;Other Thing]])</f>
        <v>4652.3999999999996</v>
      </c>
    </row>
    <row r="324" spans="1:38" x14ac:dyDescent="0.25">
      <c r="A324" t="s">
        <v>33</v>
      </c>
      <c r="B324" t="s">
        <v>41</v>
      </c>
      <c r="C324">
        <v>2016</v>
      </c>
      <c r="D324">
        <v>127.6</v>
      </c>
      <c r="E324">
        <v>140.30000000000001</v>
      </c>
      <c r="F324">
        <v>133.69999999999999</v>
      </c>
      <c r="G324">
        <v>132.19999999999999</v>
      </c>
      <c r="H324">
        <v>111.8</v>
      </c>
      <c r="I324">
        <v>135.80000000000001</v>
      </c>
      <c r="J324">
        <v>163.5</v>
      </c>
      <c r="K324">
        <v>182.3</v>
      </c>
      <c r="L324">
        <v>114.6</v>
      </c>
      <c r="M324">
        <v>144.6</v>
      </c>
      <c r="N324">
        <v>121.9</v>
      </c>
      <c r="O324">
        <v>138.1</v>
      </c>
      <c r="P324">
        <v>137.6</v>
      </c>
      <c r="Q324">
        <v>128.30000000000001</v>
      </c>
      <c r="R324">
        <v>121.4</v>
      </c>
      <c r="S324">
        <v>127.3</v>
      </c>
      <c r="T324">
        <v>127.3</v>
      </c>
      <c r="U324">
        <v>123.9</v>
      </c>
      <c r="V324">
        <v>121.2</v>
      </c>
      <c r="W324">
        <v>120.9</v>
      </c>
      <c r="X324">
        <v>110.4</v>
      </c>
      <c r="Y324">
        <v>120.6</v>
      </c>
      <c r="Z324">
        <v>143.6</v>
      </c>
      <c r="AA324">
        <v>114.7</v>
      </c>
      <c r="AB324">
        <v>131.5</v>
      </c>
      <c r="AC324">
        <v>119.9</v>
      </c>
      <c r="AD324">
        <v>128.4</v>
      </c>
      <c r="AE324">
        <f>SUM(Table1_1[[#This Row],[Cereals and products]:[Food and beverages]])</f>
        <v>1783.9999999999995</v>
      </c>
      <c r="AF324">
        <f>SUM(Table1_1[[#This Row],[Clothing and footwear]:[Clothing]])</f>
        <v>377</v>
      </c>
      <c r="AG324">
        <f>SUM(Table1_1[[#This Row],[Clothing]:[Education]])</f>
        <v>1491.1</v>
      </c>
      <c r="AH324">
        <f>SUM(Table1_1[[#This Row],[Health]:[Personal care and effects]])</f>
        <v>242.10000000000002</v>
      </c>
      <c r="AI324">
        <f>SUM(Table1_1[[#This Row],[Recreation and amusement]:[Miscellaneous]])</f>
        <v>630.29999999999995</v>
      </c>
      <c r="AJ324">
        <f>SUM(Table1_1[[#This Row],[Fuel and light]])</f>
        <v>114.7</v>
      </c>
      <c r="AK324">
        <f>SUM(Table1_1[[#This Row],[Food]:[Luxury &amp;Other Thing]])</f>
        <v>4524.4999999999991</v>
      </c>
      <c r="AL324">
        <f>SUM(Table1_1[[#This Row],[Food]:[Luxury &amp;Other Thing]])</f>
        <v>4524.4999999999991</v>
      </c>
    </row>
    <row r="325" spans="1:38" x14ac:dyDescent="0.25">
      <c r="A325" t="s">
        <v>34</v>
      </c>
      <c r="B325" t="s">
        <v>41</v>
      </c>
      <c r="C325">
        <v>2016</v>
      </c>
      <c r="D325">
        <v>129.30000000000001</v>
      </c>
      <c r="E325">
        <v>139.30000000000001</v>
      </c>
      <c r="F325">
        <v>131.6</v>
      </c>
      <c r="G325">
        <v>134.1</v>
      </c>
      <c r="H325">
        <v>116.9</v>
      </c>
      <c r="I325">
        <v>138.1</v>
      </c>
      <c r="J325">
        <v>159.1</v>
      </c>
      <c r="K325">
        <v>175.6</v>
      </c>
      <c r="L325">
        <v>112.9</v>
      </c>
      <c r="M325">
        <v>138.1</v>
      </c>
      <c r="N325">
        <v>125.5</v>
      </c>
      <c r="O325">
        <v>139.5</v>
      </c>
      <c r="P325">
        <v>137.9</v>
      </c>
      <c r="Q325">
        <v>134.1</v>
      </c>
      <c r="R325">
        <v>128.19999999999999</v>
      </c>
      <c r="S325">
        <v>133.19999999999999</v>
      </c>
      <c r="T325">
        <v>127.3</v>
      </c>
      <c r="U325">
        <v>127.4</v>
      </c>
      <c r="V325">
        <v>124.8</v>
      </c>
      <c r="W325">
        <v>121.5</v>
      </c>
      <c r="X325">
        <v>113.1</v>
      </c>
      <c r="Y325">
        <v>122.7</v>
      </c>
      <c r="Z325">
        <v>140.19999999999999</v>
      </c>
      <c r="AA325">
        <v>123.6</v>
      </c>
      <c r="AB325">
        <v>131.69999999999999</v>
      </c>
      <c r="AC325">
        <v>122.1</v>
      </c>
      <c r="AD325">
        <v>131.1</v>
      </c>
      <c r="AE325">
        <f>SUM(Table1_1[[#This Row],[Cereals and products]:[Food and beverages]])</f>
        <v>1777.9</v>
      </c>
      <c r="AF325">
        <f>SUM(Table1_1[[#This Row],[Clothing and footwear]:[Clothing]])</f>
        <v>395.49999999999994</v>
      </c>
      <c r="AG325">
        <f>SUM(Table1_1[[#This Row],[Clothing]:[Education]])</f>
        <v>1527.8</v>
      </c>
      <c r="AH325">
        <f>SUM(Table1_1[[#This Row],[Health]:[Personal care and effects]])</f>
        <v>246.3</v>
      </c>
      <c r="AI325">
        <f>SUM(Table1_1[[#This Row],[Recreation and amusement]:[Miscellaneous]])</f>
        <v>640.30000000000007</v>
      </c>
      <c r="AJ325">
        <f>SUM(Table1_1[[#This Row],[Fuel and light]])</f>
        <v>123.6</v>
      </c>
      <c r="AK325">
        <f>SUM(Table1_1[[#This Row],[Food]:[Luxury &amp;Other Thing]])</f>
        <v>4587.8</v>
      </c>
      <c r="AL325">
        <f>SUM(Table1_1[[#This Row],[Food]:[Luxury &amp;Other Thing]])</f>
        <v>4587.8</v>
      </c>
    </row>
    <row r="326" spans="1:38" x14ac:dyDescent="0.25">
      <c r="A326" t="s">
        <v>30</v>
      </c>
      <c r="B326" t="s">
        <v>41</v>
      </c>
      <c r="C326">
        <v>2017</v>
      </c>
      <c r="D326">
        <v>134.80000000000001</v>
      </c>
      <c r="E326">
        <v>143.1</v>
      </c>
      <c r="F326">
        <v>130</v>
      </c>
      <c r="G326">
        <v>139.4</v>
      </c>
      <c r="H326">
        <v>120.5</v>
      </c>
      <c r="I326">
        <v>148</v>
      </c>
      <c r="J326">
        <v>162.9</v>
      </c>
      <c r="K326">
        <v>137.4</v>
      </c>
      <c r="L326">
        <v>120.8</v>
      </c>
      <c r="M326">
        <v>134.69999999999999</v>
      </c>
      <c r="N326">
        <v>131.6</v>
      </c>
      <c r="O326">
        <v>148.69999999999999</v>
      </c>
      <c r="P326">
        <v>140.6</v>
      </c>
      <c r="Q326">
        <v>145.30000000000001</v>
      </c>
      <c r="R326">
        <v>139.19999999999999</v>
      </c>
      <c r="S326">
        <v>144.5</v>
      </c>
      <c r="T326">
        <v>139.5</v>
      </c>
      <c r="U326">
        <v>137.30000000000001</v>
      </c>
      <c r="V326">
        <v>133</v>
      </c>
      <c r="W326">
        <v>125.4</v>
      </c>
      <c r="X326">
        <v>120.3</v>
      </c>
      <c r="Y326">
        <v>131.5</v>
      </c>
      <c r="Z326">
        <v>149</v>
      </c>
      <c r="AA326">
        <v>136.4</v>
      </c>
      <c r="AB326">
        <v>140.19999999999999</v>
      </c>
      <c r="AC326">
        <v>129.69999999999999</v>
      </c>
      <c r="AD326">
        <v>137.80000000000001</v>
      </c>
      <c r="AE326">
        <f>SUM(Table1_1[[#This Row],[Cereals and products]:[Food and beverages]])</f>
        <v>1792.4999999999998</v>
      </c>
      <c r="AF326">
        <f>SUM(Table1_1[[#This Row],[Clothing and footwear]:[Clothing]])</f>
        <v>429</v>
      </c>
      <c r="AG326">
        <f>SUM(Table1_1[[#This Row],[Clothing]:[Education]])</f>
        <v>1641.6000000000001</v>
      </c>
      <c r="AH326">
        <f>SUM(Table1_1[[#This Row],[Health]:[Personal care and effects]])</f>
        <v>258.39999999999998</v>
      </c>
      <c r="AI326">
        <f>SUM(Table1_1[[#This Row],[Recreation and amusement]:[Miscellaneous]])</f>
        <v>686.8</v>
      </c>
      <c r="AJ326">
        <f>SUM(Table1_1[[#This Row],[Fuel and light]])</f>
        <v>136.4</v>
      </c>
      <c r="AK326">
        <f>SUM(Table1_1[[#This Row],[Food]:[Luxury &amp;Other Thing]])</f>
        <v>4808.3</v>
      </c>
      <c r="AL326">
        <f>SUM(Table1_1[[#This Row],[Food]:[Luxury &amp;Other Thing]])</f>
        <v>4808.3</v>
      </c>
    </row>
    <row r="327" spans="1:38" x14ac:dyDescent="0.25">
      <c r="A327" t="s">
        <v>33</v>
      </c>
      <c r="B327" t="s">
        <v>41</v>
      </c>
      <c r="C327">
        <v>2017</v>
      </c>
      <c r="D327">
        <v>133.19999999999999</v>
      </c>
      <c r="E327">
        <v>143.9</v>
      </c>
      <c r="F327">
        <v>128.30000000000001</v>
      </c>
      <c r="G327">
        <v>138.30000000000001</v>
      </c>
      <c r="H327">
        <v>114.1</v>
      </c>
      <c r="I327">
        <v>142.69999999999999</v>
      </c>
      <c r="J327">
        <v>179.8</v>
      </c>
      <c r="K327">
        <v>123.5</v>
      </c>
      <c r="L327">
        <v>122.1</v>
      </c>
      <c r="M327">
        <v>137.5</v>
      </c>
      <c r="N327">
        <v>124.6</v>
      </c>
      <c r="O327">
        <v>144.5</v>
      </c>
      <c r="P327">
        <v>140.5</v>
      </c>
      <c r="Q327">
        <v>132.69999999999999</v>
      </c>
      <c r="R327">
        <v>124.3</v>
      </c>
      <c r="S327">
        <v>131.4</v>
      </c>
      <c r="T327">
        <v>134.4</v>
      </c>
      <c r="U327">
        <v>127.7</v>
      </c>
      <c r="V327">
        <v>125.7</v>
      </c>
      <c r="W327">
        <v>123.3</v>
      </c>
      <c r="X327">
        <v>114.6</v>
      </c>
      <c r="Y327">
        <v>124.1</v>
      </c>
      <c r="Z327">
        <v>152.1</v>
      </c>
      <c r="AA327">
        <v>118.9</v>
      </c>
      <c r="AB327">
        <v>135.69999999999999</v>
      </c>
      <c r="AC327">
        <v>123.8</v>
      </c>
      <c r="AD327">
        <v>132.69999999999999</v>
      </c>
      <c r="AE327">
        <f>SUM(Table1_1[[#This Row],[Cereals and products]:[Food and beverages]])</f>
        <v>1772.9999999999998</v>
      </c>
      <c r="AF327">
        <f>SUM(Table1_1[[#This Row],[Clothing and footwear]:[Clothing]])</f>
        <v>388.4</v>
      </c>
      <c r="AG327">
        <f>SUM(Table1_1[[#This Row],[Clothing]:[Education]])</f>
        <v>1544.9</v>
      </c>
      <c r="AH327">
        <f>SUM(Table1_1[[#This Row],[Health]:[Personal care and effects]])</f>
        <v>249</v>
      </c>
      <c r="AI327">
        <f>SUM(Table1_1[[#This Row],[Recreation and amusement]:[Miscellaneous]])</f>
        <v>654.59999999999991</v>
      </c>
      <c r="AJ327">
        <f>SUM(Table1_1[[#This Row],[Fuel and light]])</f>
        <v>118.9</v>
      </c>
      <c r="AK327">
        <f>SUM(Table1_1[[#This Row],[Food]:[Luxury &amp;Other Thing]])</f>
        <v>4609.8999999999996</v>
      </c>
      <c r="AL327">
        <f>SUM(Table1_1[[#This Row],[Food]:[Luxury &amp;Other Thing]])</f>
        <v>4609.8999999999996</v>
      </c>
    </row>
    <row r="328" spans="1:38" x14ac:dyDescent="0.25">
      <c r="A328" t="s">
        <v>34</v>
      </c>
      <c r="B328" t="s">
        <v>41</v>
      </c>
      <c r="C328">
        <v>2017</v>
      </c>
      <c r="D328">
        <v>134.30000000000001</v>
      </c>
      <c r="E328">
        <v>143.4</v>
      </c>
      <c r="F328">
        <v>129.30000000000001</v>
      </c>
      <c r="G328">
        <v>139</v>
      </c>
      <c r="H328">
        <v>118.1</v>
      </c>
      <c r="I328">
        <v>145.5</v>
      </c>
      <c r="J328">
        <v>168.6</v>
      </c>
      <c r="K328">
        <v>132.69999999999999</v>
      </c>
      <c r="L328">
        <v>121.2</v>
      </c>
      <c r="M328">
        <v>135.6</v>
      </c>
      <c r="N328">
        <v>128.69999999999999</v>
      </c>
      <c r="O328">
        <v>146.80000000000001</v>
      </c>
      <c r="P328">
        <v>140.6</v>
      </c>
      <c r="Q328">
        <v>140.30000000000001</v>
      </c>
      <c r="R328">
        <v>133</v>
      </c>
      <c r="S328">
        <v>139.30000000000001</v>
      </c>
      <c r="T328">
        <v>134.4</v>
      </c>
      <c r="U328">
        <v>132.80000000000001</v>
      </c>
      <c r="V328">
        <v>130.19999999999999</v>
      </c>
      <c r="W328">
        <v>124.5</v>
      </c>
      <c r="X328">
        <v>117.3</v>
      </c>
      <c r="Y328">
        <v>127.3</v>
      </c>
      <c r="Z328">
        <v>149.80000000000001</v>
      </c>
      <c r="AA328">
        <v>129.80000000000001</v>
      </c>
      <c r="AB328">
        <v>137.6</v>
      </c>
      <c r="AC328">
        <v>126.8</v>
      </c>
      <c r="AD328">
        <v>135.4</v>
      </c>
      <c r="AE328">
        <f>SUM(Table1_1[[#This Row],[Cereals and products]:[Food and beverages]])</f>
        <v>1783.8</v>
      </c>
      <c r="AF328">
        <f>SUM(Table1_1[[#This Row],[Clothing and footwear]:[Clothing]])</f>
        <v>412.6</v>
      </c>
      <c r="AG328">
        <f>SUM(Table1_1[[#This Row],[Clothing]:[Education]])</f>
        <v>1596.2999999999997</v>
      </c>
      <c r="AH328">
        <f>SUM(Table1_1[[#This Row],[Health]:[Personal care and effects]])</f>
        <v>254.7</v>
      </c>
      <c r="AI328">
        <f>SUM(Table1_1[[#This Row],[Recreation and amusement]:[Miscellaneous]])</f>
        <v>671.3</v>
      </c>
      <c r="AJ328">
        <f>SUM(Table1_1[[#This Row],[Fuel and light]])</f>
        <v>129.80000000000001</v>
      </c>
      <c r="AK328">
        <f>SUM(Table1_1[[#This Row],[Food]:[Luxury &amp;Other Thing]])</f>
        <v>4718.7</v>
      </c>
      <c r="AL328">
        <f>SUM(Table1_1[[#This Row],[Food]:[Luxury &amp;Other Thing]])</f>
        <v>4718.7</v>
      </c>
    </row>
    <row r="329" spans="1:38" x14ac:dyDescent="0.25">
      <c r="A329" t="s">
        <v>30</v>
      </c>
      <c r="B329" t="s">
        <v>41</v>
      </c>
      <c r="C329">
        <v>2018</v>
      </c>
      <c r="D329">
        <v>139.19999999999999</v>
      </c>
      <c r="E329">
        <v>148.80000000000001</v>
      </c>
      <c r="F329">
        <v>139.1</v>
      </c>
      <c r="G329">
        <v>143.5</v>
      </c>
      <c r="H329">
        <v>125</v>
      </c>
      <c r="I329">
        <v>154.4</v>
      </c>
      <c r="J329">
        <v>156.30000000000001</v>
      </c>
      <c r="K329">
        <v>126.8</v>
      </c>
      <c r="L329">
        <v>115.4</v>
      </c>
      <c r="M329">
        <v>138.6</v>
      </c>
      <c r="N329">
        <v>133.80000000000001</v>
      </c>
      <c r="O329">
        <v>155.19999999999999</v>
      </c>
      <c r="P329">
        <v>142.69999999999999</v>
      </c>
      <c r="Q329">
        <v>152.1</v>
      </c>
      <c r="R329">
        <v>145.80000000000001</v>
      </c>
      <c r="S329">
        <v>151.30000000000001</v>
      </c>
      <c r="T329">
        <v>139.5</v>
      </c>
      <c r="U329">
        <v>143.80000000000001</v>
      </c>
      <c r="V329">
        <v>139.4</v>
      </c>
      <c r="W329">
        <v>131.30000000000001</v>
      </c>
      <c r="X329">
        <v>128.30000000000001</v>
      </c>
      <c r="Y329">
        <v>138.6</v>
      </c>
      <c r="Z329">
        <v>156.4</v>
      </c>
      <c r="AA329">
        <v>147.69999999999999</v>
      </c>
      <c r="AB329">
        <v>146.9</v>
      </c>
      <c r="AC329">
        <v>136.6</v>
      </c>
      <c r="AD329">
        <v>142.5</v>
      </c>
      <c r="AE329">
        <f>SUM(Table1_1[[#This Row],[Cereals and products]:[Food and beverages]])</f>
        <v>1818.8</v>
      </c>
      <c r="AF329">
        <f>SUM(Table1_1[[#This Row],[Clothing and footwear]:[Clothing]])</f>
        <v>449.2</v>
      </c>
      <c r="AG329">
        <f>SUM(Table1_1[[#This Row],[Clothing]:[Education]])</f>
        <v>1721.1000000000001</v>
      </c>
      <c r="AH329">
        <f>SUM(Table1_1[[#This Row],[Health]:[Personal care and effects]])</f>
        <v>270.70000000000005</v>
      </c>
      <c r="AI329">
        <f>SUM(Table1_1[[#This Row],[Recreation and amusement]:[Miscellaneous]])</f>
        <v>726.2</v>
      </c>
      <c r="AJ329">
        <f>SUM(Table1_1[[#This Row],[Fuel and light]])</f>
        <v>147.69999999999999</v>
      </c>
      <c r="AK329">
        <f>SUM(Table1_1[[#This Row],[Food]:[Luxury &amp;Other Thing]])</f>
        <v>4986</v>
      </c>
      <c r="AL329">
        <f>SUM(Table1_1[[#This Row],[Food]:[Luxury &amp;Other Thing]])</f>
        <v>4986</v>
      </c>
    </row>
    <row r="330" spans="1:38" x14ac:dyDescent="0.25">
      <c r="A330" t="s">
        <v>33</v>
      </c>
      <c r="B330" t="s">
        <v>41</v>
      </c>
      <c r="C330">
        <v>2018</v>
      </c>
      <c r="D330">
        <v>136.5</v>
      </c>
      <c r="E330">
        <v>146.4</v>
      </c>
      <c r="F330">
        <v>136.6</v>
      </c>
      <c r="G330">
        <v>141.19999999999999</v>
      </c>
      <c r="H330">
        <v>117.4</v>
      </c>
      <c r="I330">
        <v>146.30000000000001</v>
      </c>
      <c r="J330">
        <v>157.30000000000001</v>
      </c>
      <c r="K330">
        <v>113.6</v>
      </c>
      <c r="L330">
        <v>113.3</v>
      </c>
      <c r="M330">
        <v>141.1</v>
      </c>
      <c r="N330">
        <v>127.4</v>
      </c>
      <c r="O330">
        <v>150.4</v>
      </c>
      <c r="P330">
        <v>140.1</v>
      </c>
      <c r="Q330">
        <v>140</v>
      </c>
      <c r="R330">
        <v>129</v>
      </c>
      <c r="S330">
        <v>138.30000000000001</v>
      </c>
      <c r="T330">
        <v>144.6</v>
      </c>
      <c r="U330">
        <v>134.4</v>
      </c>
      <c r="V330">
        <v>134.9</v>
      </c>
      <c r="W330">
        <v>128.30000000000001</v>
      </c>
      <c r="X330">
        <v>120.7</v>
      </c>
      <c r="Y330">
        <v>129.80000000000001</v>
      </c>
      <c r="Z330">
        <v>162.1</v>
      </c>
      <c r="AA330">
        <v>129.80000000000001</v>
      </c>
      <c r="AB330">
        <v>145.30000000000001</v>
      </c>
      <c r="AC330">
        <v>131</v>
      </c>
      <c r="AD330">
        <v>138</v>
      </c>
      <c r="AE330">
        <f>SUM(Table1_1[[#This Row],[Cereals and products]:[Food and beverages]])</f>
        <v>1767.6</v>
      </c>
      <c r="AF330">
        <f>SUM(Table1_1[[#This Row],[Clothing and footwear]:[Clothing]])</f>
        <v>407.3</v>
      </c>
      <c r="AG330">
        <f>SUM(Table1_1[[#This Row],[Clothing]:[Education]])</f>
        <v>1637.1999999999998</v>
      </c>
      <c r="AH330">
        <f>SUM(Table1_1[[#This Row],[Health]:[Personal care and effects]])</f>
        <v>263.20000000000005</v>
      </c>
      <c r="AI330">
        <f>SUM(Table1_1[[#This Row],[Recreation and amusement]:[Miscellaneous]])</f>
        <v>698</v>
      </c>
      <c r="AJ330">
        <f>SUM(Table1_1[[#This Row],[Fuel and light]])</f>
        <v>129.80000000000001</v>
      </c>
      <c r="AK330">
        <f>SUM(Table1_1[[#This Row],[Food]:[Luxury &amp;Other Thing]])</f>
        <v>4773.3</v>
      </c>
      <c r="AL330">
        <f>SUM(Table1_1[[#This Row],[Food]:[Luxury &amp;Other Thing]])</f>
        <v>4773.3</v>
      </c>
    </row>
    <row r="331" spans="1:38" x14ac:dyDescent="0.25">
      <c r="A331" t="s">
        <v>34</v>
      </c>
      <c r="B331" t="s">
        <v>41</v>
      </c>
      <c r="C331">
        <v>2018</v>
      </c>
      <c r="D331">
        <v>138.30000000000001</v>
      </c>
      <c r="E331">
        <v>148</v>
      </c>
      <c r="F331">
        <v>138.1</v>
      </c>
      <c r="G331">
        <v>142.6</v>
      </c>
      <c r="H331">
        <v>122.2</v>
      </c>
      <c r="I331">
        <v>150.6</v>
      </c>
      <c r="J331">
        <v>156.6</v>
      </c>
      <c r="K331">
        <v>122.4</v>
      </c>
      <c r="L331">
        <v>114.7</v>
      </c>
      <c r="M331">
        <v>139.4</v>
      </c>
      <c r="N331">
        <v>131.1</v>
      </c>
      <c r="O331">
        <v>153</v>
      </c>
      <c r="P331">
        <v>141.69999999999999</v>
      </c>
      <c r="Q331">
        <v>147.30000000000001</v>
      </c>
      <c r="R331">
        <v>138.80000000000001</v>
      </c>
      <c r="S331">
        <v>146.1</v>
      </c>
      <c r="T331">
        <v>144.6</v>
      </c>
      <c r="U331">
        <v>139.4</v>
      </c>
      <c r="V331">
        <v>137.69999999999999</v>
      </c>
      <c r="W331">
        <v>130.1</v>
      </c>
      <c r="X331">
        <v>124.3</v>
      </c>
      <c r="Y331">
        <v>133.6</v>
      </c>
      <c r="Z331">
        <v>157.9</v>
      </c>
      <c r="AA331">
        <v>140.9</v>
      </c>
      <c r="AB331">
        <v>146</v>
      </c>
      <c r="AC331">
        <v>133.9</v>
      </c>
      <c r="AD331">
        <v>140.4</v>
      </c>
      <c r="AE331">
        <f>SUM(Table1_1[[#This Row],[Cereals and products]:[Food and beverages]])</f>
        <v>1798.7000000000003</v>
      </c>
      <c r="AF331">
        <f>SUM(Table1_1[[#This Row],[Clothing and footwear]:[Clothing]])</f>
        <v>432.20000000000005</v>
      </c>
      <c r="AG331">
        <f>SUM(Table1_1[[#This Row],[Clothing]:[Education]])</f>
        <v>1686.7000000000003</v>
      </c>
      <c r="AH331">
        <f>SUM(Table1_1[[#This Row],[Health]:[Personal care and effects]])</f>
        <v>267.79999999999995</v>
      </c>
      <c r="AI331">
        <f>SUM(Table1_1[[#This Row],[Recreation and amusement]:[Miscellaneous]])</f>
        <v>712.3</v>
      </c>
      <c r="AJ331">
        <f>SUM(Table1_1[[#This Row],[Fuel and light]])</f>
        <v>140.9</v>
      </c>
      <c r="AK331">
        <f>SUM(Table1_1[[#This Row],[Food]:[Luxury &amp;Other Thing]])</f>
        <v>4897.7000000000007</v>
      </c>
      <c r="AL331">
        <f>SUM(Table1_1[[#This Row],[Food]:[Luxury &amp;Other Thing]])</f>
        <v>4897.7000000000007</v>
      </c>
    </row>
    <row r="332" spans="1:38" x14ac:dyDescent="0.25">
      <c r="A332" t="s">
        <v>30</v>
      </c>
      <c r="B332" t="s">
        <v>41</v>
      </c>
      <c r="C332">
        <v>2019</v>
      </c>
      <c r="D332">
        <v>139.19999999999999</v>
      </c>
      <c r="E332">
        <v>161.9</v>
      </c>
      <c r="F332">
        <v>137.1</v>
      </c>
      <c r="G332">
        <v>144.6</v>
      </c>
      <c r="H332">
        <v>124.7</v>
      </c>
      <c r="I332">
        <v>145.5</v>
      </c>
      <c r="J332">
        <v>156.19999999999999</v>
      </c>
      <c r="K332">
        <v>131.5</v>
      </c>
      <c r="L332">
        <v>111.7</v>
      </c>
      <c r="M332">
        <v>142.69999999999999</v>
      </c>
      <c r="N332">
        <v>138.5</v>
      </c>
      <c r="O332">
        <v>156.9</v>
      </c>
      <c r="P332">
        <v>144</v>
      </c>
      <c r="Q332">
        <v>151.80000000000001</v>
      </c>
      <c r="R332">
        <v>146.6</v>
      </c>
      <c r="S332">
        <v>151.1</v>
      </c>
      <c r="T332">
        <v>139.5</v>
      </c>
      <c r="U332">
        <v>150.19999999999999</v>
      </c>
      <c r="V332">
        <v>152.69999999999999</v>
      </c>
      <c r="W332">
        <v>138.80000000000001</v>
      </c>
      <c r="X332">
        <v>131.4</v>
      </c>
      <c r="Y332">
        <v>148</v>
      </c>
      <c r="Z332">
        <v>165.1</v>
      </c>
      <c r="AA332">
        <v>146.4</v>
      </c>
      <c r="AB332">
        <v>159.69999999999999</v>
      </c>
      <c r="AC332">
        <v>144.9</v>
      </c>
      <c r="AD332">
        <v>145.69999999999999</v>
      </c>
      <c r="AE332">
        <f>SUM(Table1_1[[#This Row],[Cereals and products]:[Food and beverages]])</f>
        <v>1834.5000000000002</v>
      </c>
      <c r="AF332">
        <f>SUM(Table1_1[[#This Row],[Clothing and footwear]:[Clothing]])</f>
        <v>449.5</v>
      </c>
      <c r="AG332">
        <f>SUM(Table1_1[[#This Row],[Clothing]:[Education]])</f>
        <v>1781.3000000000002</v>
      </c>
      <c r="AH332">
        <f>SUM(Table1_1[[#This Row],[Health]:[Personal care and effects]])</f>
        <v>291.5</v>
      </c>
      <c r="AI332">
        <f>SUM(Table1_1[[#This Row],[Recreation and amusement]:[Miscellaneous]])</f>
        <v>764.1</v>
      </c>
      <c r="AJ332">
        <f>SUM(Table1_1[[#This Row],[Fuel and light]])</f>
        <v>146.4</v>
      </c>
      <c r="AK332">
        <f>SUM(Table1_1[[#This Row],[Food]:[Luxury &amp;Other Thing]])</f>
        <v>5120.9000000000005</v>
      </c>
      <c r="AL332">
        <f>SUM(Table1_1[[#This Row],[Food]:[Luxury &amp;Other Thing]])</f>
        <v>5120.9000000000005</v>
      </c>
    </row>
    <row r="333" spans="1:38" x14ac:dyDescent="0.25">
      <c r="A333" t="s">
        <v>33</v>
      </c>
      <c r="B333" t="s">
        <v>41</v>
      </c>
      <c r="C333">
        <v>2019</v>
      </c>
      <c r="D333">
        <v>142.1</v>
      </c>
      <c r="E333">
        <v>158.30000000000001</v>
      </c>
      <c r="F333">
        <v>140.80000000000001</v>
      </c>
      <c r="G333">
        <v>144.9</v>
      </c>
      <c r="H333">
        <v>119.9</v>
      </c>
      <c r="I333">
        <v>153.9</v>
      </c>
      <c r="J333">
        <v>189.1</v>
      </c>
      <c r="K333">
        <v>129.80000000000001</v>
      </c>
      <c r="L333">
        <v>112.7</v>
      </c>
      <c r="M333">
        <v>142.5</v>
      </c>
      <c r="N333">
        <v>129.80000000000001</v>
      </c>
      <c r="O333">
        <v>156.19999999999999</v>
      </c>
      <c r="P333">
        <v>149.1</v>
      </c>
      <c r="Q333">
        <v>145</v>
      </c>
      <c r="R333">
        <v>132.19999999999999</v>
      </c>
      <c r="S333">
        <v>143</v>
      </c>
      <c r="T333">
        <v>151.6</v>
      </c>
      <c r="U333">
        <v>138.1</v>
      </c>
      <c r="V333">
        <v>141.5</v>
      </c>
      <c r="W333">
        <v>137.80000000000001</v>
      </c>
      <c r="X333">
        <v>120.8</v>
      </c>
      <c r="Y333">
        <v>135.4</v>
      </c>
      <c r="Z333">
        <v>167.9</v>
      </c>
      <c r="AA333">
        <v>125.5</v>
      </c>
      <c r="AB333">
        <v>151.5</v>
      </c>
      <c r="AC333">
        <v>135.30000000000001</v>
      </c>
      <c r="AD333">
        <v>144.19999999999999</v>
      </c>
      <c r="AE333">
        <f>SUM(Table1_1[[#This Row],[Cereals and products]:[Food and beverages]])</f>
        <v>1869.1</v>
      </c>
      <c r="AF333">
        <f>SUM(Table1_1[[#This Row],[Clothing and footwear]:[Clothing]])</f>
        <v>420.2</v>
      </c>
      <c r="AG333">
        <f>SUM(Table1_1[[#This Row],[Clothing]:[Education]])</f>
        <v>1690.3000000000002</v>
      </c>
      <c r="AH333">
        <f>SUM(Table1_1[[#This Row],[Health]:[Personal care and effects]])</f>
        <v>279.3</v>
      </c>
      <c r="AI333">
        <f>SUM(Table1_1[[#This Row],[Recreation and amusement]:[Miscellaneous]])</f>
        <v>715.59999999999991</v>
      </c>
      <c r="AJ333">
        <f>SUM(Table1_1[[#This Row],[Fuel and light]])</f>
        <v>125.5</v>
      </c>
      <c r="AK333">
        <f>SUM(Table1_1[[#This Row],[Food]:[Luxury &amp;Other Thing]])</f>
        <v>4974.5</v>
      </c>
      <c r="AL333">
        <f>SUM(Table1_1[[#This Row],[Food]:[Luxury &amp;Other Thing]])</f>
        <v>4974.5</v>
      </c>
    </row>
    <row r="334" spans="1:38" x14ac:dyDescent="0.25">
      <c r="A334" t="s">
        <v>34</v>
      </c>
      <c r="B334" t="s">
        <v>41</v>
      </c>
      <c r="C334">
        <v>2019</v>
      </c>
      <c r="D334">
        <v>140.1</v>
      </c>
      <c r="E334">
        <v>160.6</v>
      </c>
      <c r="F334">
        <v>138.5</v>
      </c>
      <c r="G334">
        <v>144.69999999999999</v>
      </c>
      <c r="H334">
        <v>122.9</v>
      </c>
      <c r="I334">
        <v>149.4</v>
      </c>
      <c r="J334">
        <v>167.4</v>
      </c>
      <c r="K334">
        <v>130.9</v>
      </c>
      <c r="L334">
        <v>112</v>
      </c>
      <c r="M334">
        <v>142.6</v>
      </c>
      <c r="N334">
        <v>134.9</v>
      </c>
      <c r="O334">
        <v>156.6</v>
      </c>
      <c r="P334">
        <v>145.9</v>
      </c>
      <c r="Q334">
        <v>149.1</v>
      </c>
      <c r="R334">
        <v>140.6</v>
      </c>
      <c r="S334">
        <v>147.9</v>
      </c>
      <c r="T334">
        <v>151.6</v>
      </c>
      <c r="U334">
        <v>144.5</v>
      </c>
      <c r="V334">
        <v>148.5</v>
      </c>
      <c r="W334">
        <v>138.4</v>
      </c>
      <c r="X334">
        <v>125.8</v>
      </c>
      <c r="Y334">
        <v>140.9</v>
      </c>
      <c r="Z334">
        <v>165.8</v>
      </c>
      <c r="AA334">
        <v>138.5</v>
      </c>
      <c r="AB334">
        <v>154.9</v>
      </c>
      <c r="AC334">
        <v>140.19999999999999</v>
      </c>
      <c r="AD334">
        <v>145</v>
      </c>
      <c r="AE334">
        <f>SUM(Table1_1[[#This Row],[Cereals and products]:[Food and beverages]])</f>
        <v>1846.5</v>
      </c>
      <c r="AF334">
        <f>SUM(Table1_1[[#This Row],[Clothing and footwear]:[Clothing]])</f>
        <v>437.6</v>
      </c>
      <c r="AG334">
        <f>SUM(Table1_1[[#This Row],[Clothing]:[Education]])</f>
        <v>1746.5000000000002</v>
      </c>
      <c r="AH334">
        <f>SUM(Table1_1[[#This Row],[Health]:[Personal care and effects]])</f>
        <v>286.89999999999998</v>
      </c>
      <c r="AI334">
        <f>SUM(Table1_1[[#This Row],[Recreation and amusement]:[Miscellaneous]])</f>
        <v>740.3</v>
      </c>
      <c r="AJ334">
        <f>SUM(Table1_1[[#This Row],[Fuel and light]])</f>
        <v>138.5</v>
      </c>
      <c r="AK334">
        <f>SUM(Table1_1[[#This Row],[Food]:[Luxury &amp;Other Thing]])</f>
        <v>5057.8</v>
      </c>
      <c r="AL334">
        <f>SUM(Table1_1[[#This Row],[Food]:[Luxury &amp;Other Thing]])</f>
        <v>5057.8</v>
      </c>
    </row>
    <row r="335" spans="1:38" x14ac:dyDescent="0.25">
      <c r="A335" t="s">
        <v>30</v>
      </c>
      <c r="B335" t="s">
        <v>41</v>
      </c>
      <c r="C335">
        <v>2020</v>
      </c>
      <c r="D335">
        <v>147.6</v>
      </c>
      <c r="E335">
        <v>187.2</v>
      </c>
      <c r="F335">
        <v>148.4</v>
      </c>
      <c r="G335">
        <v>153.30000000000001</v>
      </c>
      <c r="H335">
        <v>139.80000000000001</v>
      </c>
      <c r="I335">
        <v>146.9</v>
      </c>
      <c r="J335">
        <v>171</v>
      </c>
      <c r="K335">
        <v>149.9</v>
      </c>
      <c r="L335">
        <v>114.2</v>
      </c>
      <c r="M335">
        <v>160</v>
      </c>
      <c r="N335">
        <v>143.5</v>
      </c>
      <c r="O335">
        <v>161.5</v>
      </c>
      <c r="P335">
        <v>155.30000000000001</v>
      </c>
      <c r="Q335">
        <v>155.1</v>
      </c>
      <c r="R335">
        <v>149.30000000000001</v>
      </c>
      <c r="S335">
        <v>154.30000000000001</v>
      </c>
      <c r="T335">
        <v>139.5</v>
      </c>
      <c r="U335">
        <v>151.9</v>
      </c>
      <c r="V335">
        <v>158.80000000000001</v>
      </c>
      <c r="W335">
        <v>153.6</v>
      </c>
      <c r="X335">
        <v>143.6</v>
      </c>
      <c r="Y335">
        <v>152.19999999999999</v>
      </c>
      <c r="Z335">
        <v>180.9</v>
      </c>
      <c r="AA335">
        <v>145.80000000000001</v>
      </c>
      <c r="AB335">
        <v>162.69999999999999</v>
      </c>
      <c r="AC335">
        <v>153</v>
      </c>
      <c r="AD335">
        <v>154.69999999999999</v>
      </c>
      <c r="AE335">
        <f>SUM(Table1_1[[#This Row],[Cereals and products]:[Food and beverages]])</f>
        <v>1978.6</v>
      </c>
      <c r="AF335">
        <f>SUM(Table1_1[[#This Row],[Clothing and footwear]:[Clothing]])</f>
        <v>458.7</v>
      </c>
      <c r="AG335">
        <f>SUM(Table1_1[[#This Row],[Clothing]:[Education]])</f>
        <v>1847.7</v>
      </c>
      <c r="AH335">
        <f>SUM(Table1_1[[#This Row],[Health]:[Personal care and effects]])</f>
        <v>312.39999999999998</v>
      </c>
      <c r="AI335">
        <f>SUM(Table1_1[[#This Row],[Recreation and amusement]:[Miscellaneous]])</f>
        <v>794.6</v>
      </c>
      <c r="AJ335">
        <f>SUM(Table1_1[[#This Row],[Fuel and light]])</f>
        <v>145.80000000000001</v>
      </c>
      <c r="AK335">
        <f>SUM(Table1_1[[#This Row],[Food]:[Luxury &amp;Other Thing]])</f>
        <v>5392</v>
      </c>
      <c r="AL335">
        <f>SUM(Table1_1[[#This Row],[Food]:[Luxury &amp;Other Thing]])</f>
        <v>5392</v>
      </c>
    </row>
    <row r="336" spans="1:38" x14ac:dyDescent="0.25">
      <c r="A336" t="s">
        <v>33</v>
      </c>
      <c r="B336" t="s">
        <v>41</v>
      </c>
      <c r="C336">
        <v>2020</v>
      </c>
      <c r="D336">
        <v>151.6</v>
      </c>
      <c r="E336">
        <v>197.8</v>
      </c>
      <c r="F336">
        <v>154.5</v>
      </c>
      <c r="G336">
        <v>153.4</v>
      </c>
      <c r="H336">
        <v>133.4</v>
      </c>
      <c r="I336">
        <v>154.5</v>
      </c>
      <c r="J336">
        <v>191.9</v>
      </c>
      <c r="K336">
        <v>151.30000000000001</v>
      </c>
      <c r="L336">
        <v>116.8</v>
      </c>
      <c r="M336">
        <v>160</v>
      </c>
      <c r="N336">
        <v>136.5</v>
      </c>
      <c r="O336">
        <v>163.30000000000001</v>
      </c>
      <c r="P336">
        <v>159.9</v>
      </c>
      <c r="Q336">
        <v>150</v>
      </c>
      <c r="R336">
        <v>135.19999999999999</v>
      </c>
      <c r="S336">
        <v>147.80000000000001</v>
      </c>
      <c r="T336">
        <v>155.5</v>
      </c>
      <c r="U336">
        <v>144.5</v>
      </c>
      <c r="V336">
        <v>148.69999999999999</v>
      </c>
      <c r="W336">
        <v>155.19999999999999</v>
      </c>
      <c r="X336">
        <v>133.9</v>
      </c>
      <c r="Y336">
        <v>141.19999999999999</v>
      </c>
      <c r="Z336">
        <v>187.2</v>
      </c>
      <c r="AA336">
        <v>138.30000000000001</v>
      </c>
      <c r="AB336">
        <v>155.5</v>
      </c>
      <c r="AC336">
        <v>144.80000000000001</v>
      </c>
      <c r="AD336">
        <v>152.9</v>
      </c>
      <c r="AE336">
        <f>SUM(Table1_1[[#This Row],[Cereals and products]:[Food and beverages]])</f>
        <v>2024.8999999999999</v>
      </c>
      <c r="AF336">
        <f>SUM(Table1_1[[#This Row],[Clothing and footwear]:[Clothing]])</f>
        <v>433</v>
      </c>
      <c r="AG336">
        <f>SUM(Table1_1[[#This Row],[Clothing]:[Education]])</f>
        <v>1793.0000000000002</v>
      </c>
      <c r="AH336">
        <f>SUM(Table1_1[[#This Row],[Health]:[Personal care and effects]])</f>
        <v>303.89999999999998</v>
      </c>
      <c r="AI336">
        <f>SUM(Table1_1[[#This Row],[Recreation and amusement]:[Miscellaneous]])</f>
        <v>767</v>
      </c>
      <c r="AJ336">
        <f>SUM(Table1_1[[#This Row],[Fuel and light]])</f>
        <v>138.30000000000001</v>
      </c>
      <c r="AK336">
        <f>SUM(Table1_1[[#This Row],[Food]:[Luxury &amp;Other Thing]])</f>
        <v>5321.7999999999993</v>
      </c>
      <c r="AL336">
        <f>SUM(Table1_1[[#This Row],[Food]:[Luxury &amp;Other Thing]])</f>
        <v>5321.7999999999993</v>
      </c>
    </row>
    <row r="337" spans="1:38" x14ac:dyDescent="0.25">
      <c r="A337" t="s">
        <v>34</v>
      </c>
      <c r="B337" t="s">
        <v>41</v>
      </c>
      <c r="C337">
        <v>2020</v>
      </c>
      <c r="D337">
        <v>148.9</v>
      </c>
      <c r="E337">
        <v>190.9</v>
      </c>
      <c r="F337">
        <v>150.80000000000001</v>
      </c>
      <c r="G337">
        <v>153.30000000000001</v>
      </c>
      <c r="H337">
        <v>137.4</v>
      </c>
      <c r="I337">
        <v>150.4</v>
      </c>
      <c r="J337">
        <v>178.1</v>
      </c>
      <c r="K337">
        <v>150.4</v>
      </c>
      <c r="L337">
        <v>115.1</v>
      </c>
      <c r="M337">
        <v>160</v>
      </c>
      <c r="N337">
        <v>140.6</v>
      </c>
      <c r="O337">
        <v>162.30000000000001</v>
      </c>
      <c r="P337">
        <v>157</v>
      </c>
      <c r="Q337">
        <v>153.1</v>
      </c>
      <c r="R337">
        <v>143.4</v>
      </c>
      <c r="S337">
        <v>151.69999999999999</v>
      </c>
      <c r="T337">
        <v>155.5</v>
      </c>
      <c r="U337">
        <v>148.4</v>
      </c>
      <c r="V337">
        <v>155</v>
      </c>
      <c r="W337">
        <v>154.30000000000001</v>
      </c>
      <c r="X337">
        <v>138.5</v>
      </c>
      <c r="Y337">
        <v>146</v>
      </c>
      <c r="Z337">
        <v>182.6</v>
      </c>
      <c r="AA337">
        <v>143</v>
      </c>
      <c r="AB337">
        <v>158.5</v>
      </c>
      <c r="AC337">
        <v>149</v>
      </c>
      <c r="AD337">
        <v>153.9</v>
      </c>
      <c r="AE337">
        <f>SUM(Table1_1[[#This Row],[Cereals and products]:[Food and beverages]])</f>
        <v>1995.1999999999998</v>
      </c>
      <c r="AF337">
        <f>SUM(Table1_1[[#This Row],[Clothing and footwear]:[Clothing]])</f>
        <v>448.2</v>
      </c>
      <c r="AG337">
        <f>SUM(Table1_1[[#This Row],[Clothing]:[Education]])</f>
        <v>1830</v>
      </c>
      <c r="AH337">
        <f>SUM(Table1_1[[#This Row],[Health]:[Personal care and effects]])</f>
        <v>309.3</v>
      </c>
      <c r="AI337">
        <f>SUM(Table1_1[[#This Row],[Recreation and amusement]:[Miscellaneous]])</f>
        <v>779.1</v>
      </c>
      <c r="AJ337">
        <f>SUM(Table1_1[[#This Row],[Fuel and light]])</f>
        <v>143</v>
      </c>
      <c r="AK337">
        <f>SUM(Table1_1[[#This Row],[Food]:[Luxury &amp;Other Thing]])</f>
        <v>5361.8</v>
      </c>
      <c r="AL337">
        <f>SUM(Table1_1[[#This Row],[Food]:[Luxury &amp;Other Thing]])</f>
        <v>5361.8</v>
      </c>
    </row>
    <row r="338" spans="1:38" x14ac:dyDescent="0.25">
      <c r="A338" t="s">
        <v>30</v>
      </c>
      <c r="B338" t="s">
        <v>41</v>
      </c>
      <c r="C338">
        <v>2021</v>
      </c>
      <c r="D338">
        <v>144.9</v>
      </c>
      <c r="E338">
        <v>202.3</v>
      </c>
      <c r="F338">
        <v>176.5</v>
      </c>
      <c r="G338">
        <v>157.5</v>
      </c>
      <c r="H338">
        <v>190.9</v>
      </c>
      <c r="I338">
        <v>155.69999999999999</v>
      </c>
      <c r="J338">
        <v>153.9</v>
      </c>
      <c r="K338">
        <v>162.80000000000001</v>
      </c>
      <c r="L338">
        <v>115.2</v>
      </c>
      <c r="M338">
        <v>169.8</v>
      </c>
      <c r="N338">
        <v>167.6</v>
      </c>
      <c r="O338">
        <v>171.9</v>
      </c>
      <c r="P338">
        <v>161.80000000000001</v>
      </c>
      <c r="Q338">
        <v>167</v>
      </c>
      <c r="R338">
        <v>162.6</v>
      </c>
      <c r="S338">
        <v>166.3</v>
      </c>
      <c r="T338">
        <v>139.5</v>
      </c>
      <c r="U338">
        <v>160.9</v>
      </c>
      <c r="V338">
        <v>171.1</v>
      </c>
      <c r="W338">
        <v>160.30000000000001</v>
      </c>
      <c r="X338">
        <v>157.69999999999999</v>
      </c>
      <c r="Y338">
        <v>161.1</v>
      </c>
      <c r="Z338">
        <v>190.2</v>
      </c>
      <c r="AA338">
        <v>163.1</v>
      </c>
      <c r="AB338">
        <v>167.5</v>
      </c>
      <c r="AC338">
        <v>163.30000000000001</v>
      </c>
      <c r="AD338">
        <v>163.6</v>
      </c>
      <c r="AE338">
        <f>SUM(Table1_1[[#This Row],[Cereals and products]:[Food and beverages]])</f>
        <v>2130.8000000000002</v>
      </c>
      <c r="AF338">
        <f>SUM(Table1_1[[#This Row],[Clothing and footwear]:[Clothing]])</f>
        <v>495.90000000000003</v>
      </c>
      <c r="AG338">
        <f>SUM(Table1_1[[#This Row],[Clothing]:[Education]])</f>
        <v>1967.3</v>
      </c>
      <c r="AH338">
        <f>SUM(Table1_1[[#This Row],[Health]:[Personal care and effects]])</f>
        <v>331.4</v>
      </c>
      <c r="AI338">
        <f>SUM(Table1_1[[#This Row],[Recreation and amusement]:[Miscellaneous]])</f>
        <v>845.2</v>
      </c>
      <c r="AJ338">
        <f>SUM(Table1_1[[#This Row],[Fuel and light]])</f>
        <v>163.1</v>
      </c>
      <c r="AK338">
        <f>SUM(Table1_1[[#This Row],[Food]:[Luxury &amp;Other Thing]])</f>
        <v>5770.5999999999995</v>
      </c>
      <c r="AL338">
        <f>SUM(Table1_1[[#This Row],[Food]:[Luxury &amp;Other Thing]])</f>
        <v>5770.5999999999995</v>
      </c>
    </row>
    <row r="339" spans="1:38" x14ac:dyDescent="0.25">
      <c r="A339" t="s">
        <v>33</v>
      </c>
      <c r="B339" t="s">
        <v>41</v>
      </c>
      <c r="C339">
        <v>2021</v>
      </c>
      <c r="D339">
        <v>149.30000000000001</v>
      </c>
      <c r="E339">
        <v>207.4</v>
      </c>
      <c r="F339">
        <v>174.1</v>
      </c>
      <c r="G339">
        <v>159.19999999999999</v>
      </c>
      <c r="H339">
        <v>175</v>
      </c>
      <c r="I339">
        <v>161.30000000000001</v>
      </c>
      <c r="J339">
        <v>183.3</v>
      </c>
      <c r="K339">
        <v>164.5</v>
      </c>
      <c r="L339">
        <v>120.4</v>
      </c>
      <c r="M339">
        <v>166.2</v>
      </c>
      <c r="N339">
        <v>154.80000000000001</v>
      </c>
      <c r="O339">
        <v>175.1</v>
      </c>
      <c r="P339">
        <v>167.3</v>
      </c>
      <c r="Q339">
        <v>159.80000000000001</v>
      </c>
      <c r="R339">
        <v>143.6</v>
      </c>
      <c r="S339">
        <v>157.30000000000001</v>
      </c>
      <c r="T339">
        <v>162.1</v>
      </c>
      <c r="U339">
        <v>153.19999999999999</v>
      </c>
      <c r="V339">
        <v>162.80000000000001</v>
      </c>
      <c r="W339">
        <v>159.6</v>
      </c>
      <c r="X339">
        <v>150.4</v>
      </c>
      <c r="Y339">
        <v>153.69999999999999</v>
      </c>
      <c r="Z339">
        <v>196.5</v>
      </c>
      <c r="AA339">
        <v>160.69999999999999</v>
      </c>
      <c r="AB339">
        <v>160.4</v>
      </c>
      <c r="AC339">
        <v>156</v>
      </c>
      <c r="AD339">
        <v>162.30000000000001</v>
      </c>
      <c r="AE339">
        <f>SUM(Table1_1[[#This Row],[Cereals and products]:[Food and beverages]])</f>
        <v>2157.9</v>
      </c>
      <c r="AF339">
        <f>SUM(Table1_1[[#This Row],[Clothing and footwear]:[Clothing]])</f>
        <v>460.7</v>
      </c>
      <c r="AG339">
        <f>SUM(Table1_1[[#This Row],[Clothing]:[Education]])</f>
        <v>1920.1000000000001</v>
      </c>
      <c r="AH339">
        <f>SUM(Table1_1[[#This Row],[Health]:[Personal care and effects]])</f>
        <v>322.39999999999998</v>
      </c>
      <c r="AI339">
        <f>SUM(Table1_1[[#This Row],[Recreation and amusement]:[Miscellaneous]])</f>
        <v>827.3</v>
      </c>
      <c r="AJ339">
        <f>SUM(Table1_1[[#This Row],[Fuel and light]])</f>
        <v>160.69999999999999</v>
      </c>
      <c r="AK339">
        <f>SUM(Table1_1[[#This Row],[Food]:[Luxury &amp;Other Thing]])</f>
        <v>5688.4</v>
      </c>
      <c r="AL339">
        <f>SUM(Table1_1[[#This Row],[Food]:[Luxury &amp;Other Thing]])</f>
        <v>5688.4</v>
      </c>
    </row>
    <row r="340" spans="1:38" x14ac:dyDescent="0.25">
      <c r="A340" t="s">
        <v>34</v>
      </c>
      <c r="B340" t="s">
        <v>41</v>
      </c>
      <c r="C340">
        <v>2021</v>
      </c>
      <c r="D340">
        <v>146.6</v>
      </c>
      <c r="E340">
        <v>204</v>
      </c>
      <c r="F340">
        <v>172.8</v>
      </c>
      <c r="G340">
        <v>158.4</v>
      </c>
      <c r="H340">
        <v>188</v>
      </c>
      <c r="I340">
        <v>156.80000000000001</v>
      </c>
      <c r="J340">
        <v>162.19999999999999</v>
      </c>
      <c r="K340">
        <v>164.1</v>
      </c>
      <c r="L340">
        <v>119.7</v>
      </c>
      <c r="M340">
        <v>168.8</v>
      </c>
      <c r="N340">
        <v>162.69999999999999</v>
      </c>
      <c r="O340">
        <v>173.9</v>
      </c>
      <c r="P340">
        <v>164</v>
      </c>
      <c r="Q340">
        <v>164.5</v>
      </c>
      <c r="R340">
        <v>155.30000000000001</v>
      </c>
      <c r="S340">
        <v>163.19999999999999</v>
      </c>
      <c r="T340">
        <v>162.1</v>
      </c>
      <c r="U340">
        <v>157.5</v>
      </c>
      <c r="V340">
        <v>168.4</v>
      </c>
      <c r="W340">
        <v>160</v>
      </c>
      <c r="X340">
        <v>154</v>
      </c>
      <c r="Y340">
        <v>157.6</v>
      </c>
      <c r="Z340">
        <v>192.1</v>
      </c>
      <c r="AA340">
        <v>162.6</v>
      </c>
      <c r="AB340">
        <v>163.80000000000001</v>
      </c>
      <c r="AC340">
        <v>160</v>
      </c>
      <c r="AD340">
        <v>163.19999999999999</v>
      </c>
      <c r="AE340">
        <f>SUM(Table1_1[[#This Row],[Cereals and products]:[Food and beverages]])</f>
        <v>2142</v>
      </c>
      <c r="AF340">
        <f>SUM(Table1_1[[#This Row],[Clothing and footwear]:[Clothing]])</f>
        <v>483</v>
      </c>
      <c r="AG340">
        <f>SUM(Table1_1[[#This Row],[Clothing]:[Education]])</f>
        <v>1961.0999999999997</v>
      </c>
      <c r="AH340">
        <f>SUM(Table1_1[[#This Row],[Health]:[Personal care and effects]])</f>
        <v>328.4</v>
      </c>
      <c r="AI340">
        <f>SUM(Table1_1[[#This Row],[Recreation and amusement]:[Miscellaneous]])</f>
        <v>836.09999999999991</v>
      </c>
      <c r="AJ340">
        <f>SUM(Table1_1[[#This Row],[Fuel and light]])</f>
        <v>162.6</v>
      </c>
      <c r="AK340">
        <f>SUM(Table1_1[[#This Row],[Food]:[Luxury &amp;Other Thing]])</f>
        <v>5750.5999999999985</v>
      </c>
      <c r="AL340">
        <f>SUM(Table1_1[[#This Row],[Food]:[Luxury &amp;Other Thing]])</f>
        <v>5750.5999999999985</v>
      </c>
    </row>
    <row r="341" spans="1:38" x14ac:dyDescent="0.25">
      <c r="A341" t="s">
        <v>30</v>
      </c>
      <c r="B341" t="s">
        <v>41</v>
      </c>
      <c r="C341">
        <v>2022</v>
      </c>
      <c r="D341">
        <v>159.5</v>
      </c>
      <c r="E341">
        <v>204.1</v>
      </c>
      <c r="F341">
        <v>168.3</v>
      </c>
      <c r="G341">
        <v>167.9</v>
      </c>
      <c r="H341">
        <v>198.1</v>
      </c>
      <c r="I341">
        <v>169.2</v>
      </c>
      <c r="J341">
        <v>173.1</v>
      </c>
      <c r="K341">
        <v>167.1</v>
      </c>
      <c r="L341">
        <v>120.2</v>
      </c>
      <c r="M341">
        <v>195.6</v>
      </c>
      <c r="N341">
        <v>174.8</v>
      </c>
      <c r="O341">
        <v>184</v>
      </c>
      <c r="P341">
        <v>173.9</v>
      </c>
      <c r="Q341">
        <v>183.2</v>
      </c>
      <c r="R341">
        <v>181.7</v>
      </c>
      <c r="S341">
        <v>183</v>
      </c>
      <c r="T341">
        <v>139.5</v>
      </c>
      <c r="U341">
        <v>172.3</v>
      </c>
      <c r="V341">
        <v>179.4</v>
      </c>
      <c r="W341">
        <v>171.1</v>
      </c>
      <c r="X341">
        <v>166.6</v>
      </c>
      <c r="Y341">
        <v>169.3</v>
      </c>
      <c r="Z341">
        <v>193.7</v>
      </c>
      <c r="AA341">
        <v>179.1</v>
      </c>
      <c r="AB341">
        <v>175.7</v>
      </c>
      <c r="AC341">
        <v>172.6</v>
      </c>
      <c r="AD341">
        <v>175.3</v>
      </c>
      <c r="AE341">
        <f>SUM(Table1_1[[#This Row],[Cereals and products]:[Food and beverages]])</f>
        <v>2255.7999999999997</v>
      </c>
      <c r="AF341">
        <f>SUM(Table1_1[[#This Row],[Clothing and footwear]:[Clothing]])</f>
        <v>547.9</v>
      </c>
      <c r="AG341">
        <f>SUM(Table1_1[[#This Row],[Clothing]:[Education]])</f>
        <v>2094.6</v>
      </c>
      <c r="AH341">
        <f>SUM(Table1_1[[#This Row],[Health]:[Personal care and effects]])</f>
        <v>350.5</v>
      </c>
      <c r="AI341">
        <f>SUM(Table1_1[[#This Row],[Recreation and amusement]:[Miscellaneous]])</f>
        <v>890.4</v>
      </c>
      <c r="AJ341">
        <f>SUM(Table1_1[[#This Row],[Fuel and light]])</f>
        <v>179.1</v>
      </c>
      <c r="AK341">
        <f>SUM(Table1_1[[#This Row],[Food]:[Luxury &amp;Other Thing]])</f>
        <v>6139.1999999999989</v>
      </c>
      <c r="AL341">
        <f>SUM(Table1_1[[#This Row],[Food]:[Luxury &amp;Other Thing]])</f>
        <v>6139.1999999999989</v>
      </c>
    </row>
    <row r="342" spans="1:38" x14ac:dyDescent="0.25">
      <c r="A342" t="s">
        <v>33</v>
      </c>
      <c r="B342" t="s">
        <v>41</v>
      </c>
      <c r="C342">
        <v>2022</v>
      </c>
      <c r="D342">
        <v>162.1</v>
      </c>
      <c r="E342">
        <v>210.9</v>
      </c>
      <c r="F342">
        <v>170.6</v>
      </c>
      <c r="G342">
        <v>168.4</v>
      </c>
      <c r="H342">
        <v>182.5</v>
      </c>
      <c r="I342">
        <v>177.1</v>
      </c>
      <c r="J342">
        <v>213.1</v>
      </c>
      <c r="K342">
        <v>167.3</v>
      </c>
      <c r="L342">
        <v>122.2</v>
      </c>
      <c r="M342">
        <v>189.7</v>
      </c>
      <c r="N342">
        <v>160.5</v>
      </c>
      <c r="O342">
        <v>188.9</v>
      </c>
      <c r="P342">
        <v>180.4</v>
      </c>
      <c r="Q342">
        <v>173.7</v>
      </c>
      <c r="R342">
        <v>160</v>
      </c>
      <c r="S342">
        <v>171.6</v>
      </c>
      <c r="T342">
        <v>169</v>
      </c>
      <c r="U342">
        <v>164.2</v>
      </c>
      <c r="V342">
        <v>172.6</v>
      </c>
      <c r="W342">
        <v>171.4</v>
      </c>
      <c r="X342">
        <v>157.69999999999999</v>
      </c>
      <c r="Y342">
        <v>165.1</v>
      </c>
      <c r="Z342">
        <v>198.7</v>
      </c>
      <c r="AA342">
        <v>178.4</v>
      </c>
      <c r="AB342">
        <v>169.9</v>
      </c>
      <c r="AC342">
        <v>165.4</v>
      </c>
      <c r="AD342">
        <v>173.1</v>
      </c>
      <c r="AE342">
        <f>SUM(Table1_1[[#This Row],[Cereals and products]:[Food and beverages]])</f>
        <v>2293.6999999999998</v>
      </c>
      <c r="AF342">
        <f>SUM(Table1_1[[#This Row],[Clothing and footwear]:[Clothing]])</f>
        <v>505.29999999999995</v>
      </c>
      <c r="AG342">
        <f>SUM(Table1_1[[#This Row],[Clothing]:[Education]])</f>
        <v>2052.3000000000002</v>
      </c>
      <c r="AH342">
        <f>SUM(Table1_1[[#This Row],[Health]:[Personal care and effects]])</f>
        <v>344</v>
      </c>
      <c r="AI342">
        <f>SUM(Table1_1[[#This Row],[Recreation and amusement]:[Miscellaneous]])</f>
        <v>877.49999999999989</v>
      </c>
      <c r="AJ342">
        <f>SUM(Table1_1[[#This Row],[Fuel and light]])</f>
        <v>178.4</v>
      </c>
      <c r="AK342">
        <f>SUM(Table1_1[[#This Row],[Food]:[Luxury &amp;Other Thing]])</f>
        <v>6072.8</v>
      </c>
      <c r="AL342">
        <f>SUM(Table1_1[[#This Row],[Food]:[Luxury &amp;Other Thing]])</f>
        <v>6072.8</v>
      </c>
    </row>
    <row r="343" spans="1:38" x14ac:dyDescent="0.25">
      <c r="A343" t="s">
        <v>34</v>
      </c>
      <c r="B343" t="s">
        <v>41</v>
      </c>
      <c r="C343">
        <v>2022</v>
      </c>
      <c r="D343">
        <v>160.30000000000001</v>
      </c>
      <c r="E343">
        <v>206.5</v>
      </c>
      <c r="F343">
        <v>169.2</v>
      </c>
      <c r="G343">
        <v>168.1</v>
      </c>
      <c r="H343">
        <v>192.4</v>
      </c>
      <c r="I343">
        <v>172.9</v>
      </c>
      <c r="J343">
        <v>186.7</v>
      </c>
      <c r="K343">
        <v>167.2</v>
      </c>
      <c r="L343">
        <v>120.9</v>
      </c>
      <c r="M343">
        <v>193.6</v>
      </c>
      <c r="N343">
        <v>168.8</v>
      </c>
      <c r="O343">
        <v>186.3</v>
      </c>
      <c r="P343">
        <v>176.3</v>
      </c>
      <c r="Q343">
        <v>179.5</v>
      </c>
      <c r="R343">
        <v>172.7</v>
      </c>
      <c r="S343">
        <v>178.5</v>
      </c>
      <c r="T343">
        <v>169</v>
      </c>
      <c r="U343">
        <v>168.5</v>
      </c>
      <c r="V343">
        <v>176.8</v>
      </c>
      <c r="W343">
        <v>171.2</v>
      </c>
      <c r="X343">
        <v>161.9</v>
      </c>
      <c r="Y343">
        <v>166.9</v>
      </c>
      <c r="Z343">
        <v>195</v>
      </c>
      <c r="AA343">
        <v>178.8</v>
      </c>
      <c r="AB343">
        <v>172.3</v>
      </c>
      <c r="AC343">
        <v>169.1</v>
      </c>
      <c r="AD343">
        <v>174.3</v>
      </c>
      <c r="AE343">
        <f>SUM(Table1_1[[#This Row],[Cereals and products]:[Food and beverages]])</f>
        <v>2269.2000000000003</v>
      </c>
      <c r="AF343">
        <f>SUM(Table1_1[[#This Row],[Clothing and footwear]:[Clothing]])</f>
        <v>530.70000000000005</v>
      </c>
      <c r="AG343">
        <f>SUM(Table1_1[[#This Row],[Clothing]:[Education]])</f>
        <v>2091.1000000000004</v>
      </c>
      <c r="AH343">
        <f>SUM(Table1_1[[#This Row],[Health]:[Personal care and effects]])</f>
        <v>348</v>
      </c>
      <c r="AI343">
        <f>SUM(Table1_1[[#This Row],[Recreation and amusement]:[Miscellaneous]])</f>
        <v>882.1</v>
      </c>
      <c r="AJ343">
        <f>SUM(Table1_1[[#This Row],[Fuel and light]])</f>
        <v>178.8</v>
      </c>
      <c r="AK343">
        <f>SUM(Table1_1[[#This Row],[Food]:[Luxury &amp;Other Thing]])</f>
        <v>6121.1000000000013</v>
      </c>
      <c r="AL343">
        <f>SUM(Table1_1[[#This Row],[Food]:[Luxury &amp;Other Thing]])</f>
        <v>6121.1000000000013</v>
      </c>
    </row>
    <row r="344" spans="1:38" x14ac:dyDescent="0.25">
      <c r="A344" t="s">
        <v>30</v>
      </c>
      <c r="B344" t="s">
        <v>37</v>
      </c>
      <c r="C344">
        <v>2013</v>
      </c>
      <c r="D344">
        <v>110.2</v>
      </c>
      <c r="E344">
        <v>109.5</v>
      </c>
      <c r="F344">
        <v>106.9</v>
      </c>
      <c r="G344">
        <v>106.3</v>
      </c>
      <c r="H344">
        <v>105.7</v>
      </c>
      <c r="I344">
        <v>108.3</v>
      </c>
      <c r="J344">
        <v>103.4</v>
      </c>
      <c r="K344">
        <v>105.7</v>
      </c>
      <c r="L344">
        <v>104.2</v>
      </c>
      <c r="M344">
        <v>103.2</v>
      </c>
      <c r="N344">
        <v>106.5</v>
      </c>
      <c r="O344">
        <v>108.8</v>
      </c>
      <c r="P344">
        <v>107.1</v>
      </c>
      <c r="Q344">
        <v>108.1</v>
      </c>
      <c r="R344">
        <v>107.4</v>
      </c>
      <c r="S344">
        <v>108</v>
      </c>
      <c r="T344">
        <v>139.5</v>
      </c>
      <c r="U344">
        <v>106.1</v>
      </c>
      <c r="V344">
        <v>105.1</v>
      </c>
      <c r="W344">
        <v>102.7</v>
      </c>
      <c r="X344">
        <v>104.4</v>
      </c>
      <c r="Y344">
        <v>104.5</v>
      </c>
      <c r="Z344">
        <v>107.1</v>
      </c>
      <c r="AA344">
        <v>106.5</v>
      </c>
      <c r="AB344">
        <v>104.8</v>
      </c>
      <c r="AC344">
        <v>104.6</v>
      </c>
      <c r="AD344">
        <v>106.4</v>
      </c>
      <c r="AE344">
        <f>SUM(Table1_1[[#This Row],[Cereals and products]:[Food and beverages]])</f>
        <v>1385.8</v>
      </c>
      <c r="AF344">
        <f>SUM(Table1_1[[#This Row],[Clothing and footwear]:[Clothing]])</f>
        <v>323.5</v>
      </c>
      <c r="AG344">
        <f>SUM(Table1_1[[#This Row],[Clothing]:[Education]])</f>
        <v>1304.2</v>
      </c>
      <c r="AH344">
        <f>SUM(Table1_1[[#This Row],[Health]:[Personal care and effects]])</f>
        <v>207.8</v>
      </c>
      <c r="AI344">
        <f>SUM(Table1_1[[#This Row],[Recreation and amusement]:[Miscellaneous]])</f>
        <v>527.5</v>
      </c>
      <c r="AJ344">
        <f>SUM(Table1_1[[#This Row],[Fuel and light]])</f>
        <v>106.5</v>
      </c>
      <c r="AK344">
        <f>SUM(Table1_1[[#This Row],[Food]:[Luxury &amp;Other Thing]])</f>
        <v>3748.8</v>
      </c>
      <c r="AL344">
        <f>SUM(Table1_1[[#This Row],[Food]:[Luxury &amp;Other Thing]])</f>
        <v>3748.8</v>
      </c>
    </row>
    <row r="345" spans="1:38" x14ac:dyDescent="0.25">
      <c r="A345" t="s">
        <v>33</v>
      </c>
      <c r="B345" t="s">
        <v>37</v>
      </c>
      <c r="C345">
        <v>2013</v>
      </c>
      <c r="D345">
        <v>114.6</v>
      </c>
      <c r="E345">
        <v>113.4</v>
      </c>
      <c r="F345">
        <v>106</v>
      </c>
      <c r="G345">
        <v>104.7</v>
      </c>
      <c r="H345">
        <v>102.1</v>
      </c>
      <c r="I345">
        <v>109.5</v>
      </c>
      <c r="J345">
        <v>109.7</v>
      </c>
      <c r="K345">
        <v>104.6</v>
      </c>
      <c r="L345">
        <v>102</v>
      </c>
      <c r="M345">
        <v>103.5</v>
      </c>
      <c r="N345">
        <v>108.2</v>
      </c>
      <c r="O345">
        <v>110.6</v>
      </c>
      <c r="P345">
        <v>108.8</v>
      </c>
      <c r="Q345">
        <v>107.9</v>
      </c>
      <c r="R345">
        <v>106.4</v>
      </c>
      <c r="S345">
        <v>107.7</v>
      </c>
      <c r="T345">
        <v>100.5</v>
      </c>
      <c r="U345">
        <v>106.5</v>
      </c>
      <c r="V345">
        <v>105.7</v>
      </c>
      <c r="W345">
        <v>103.2</v>
      </c>
      <c r="X345">
        <v>105</v>
      </c>
      <c r="Y345">
        <v>104</v>
      </c>
      <c r="Z345">
        <v>108.5</v>
      </c>
      <c r="AA345">
        <v>106.4</v>
      </c>
      <c r="AB345">
        <v>105.2</v>
      </c>
      <c r="AC345">
        <v>105.1</v>
      </c>
      <c r="AD345">
        <v>105.7</v>
      </c>
      <c r="AE345">
        <f>SUM(Table1_1[[#This Row],[Cereals and products]:[Food and beverages]])</f>
        <v>1397.6999999999998</v>
      </c>
      <c r="AF345">
        <f>SUM(Table1_1[[#This Row],[Clothing and footwear]:[Clothing]])</f>
        <v>322</v>
      </c>
      <c r="AG345">
        <f>SUM(Table1_1[[#This Row],[Clothing]:[Education]])</f>
        <v>1267.0000000000002</v>
      </c>
      <c r="AH345">
        <f>SUM(Table1_1[[#This Row],[Health]:[Personal care and effects]])</f>
        <v>208.9</v>
      </c>
      <c r="AI345">
        <f>SUM(Table1_1[[#This Row],[Recreation and amusement]:[Miscellaneous]])</f>
        <v>529.19999999999993</v>
      </c>
      <c r="AJ345">
        <f>SUM(Table1_1[[#This Row],[Fuel and light]])</f>
        <v>106.4</v>
      </c>
      <c r="AK345">
        <f>SUM(Table1_1[[#This Row],[Food]:[Luxury &amp;Other Thing]])</f>
        <v>3724.7999999999997</v>
      </c>
      <c r="AL345">
        <f>SUM(Table1_1[[#This Row],[Food]:[Luxury &amp;Other Thing]])</f>
        <v>3724.7999999999997</v>
      </c>
    </row>
    <row r="346" spans="1:38" x14ac:dyDescent="0.25">
      <c r="A346" t="s">
        <v>34</v>
      </c>
      <c r="B346" t="s">
        <v>37</v>
      </c>
      <c r="C346">
        <v>2013</v>
      </c>
      <c r="D346">
        <v>111.6</v>
      </c>
      <c r="E346">
        <v>110.9</v>
      </c>
      <c r="F346">
        <v>106.6</v>
      </c>
      <c r="G346">
        <v>105.7</v>
      </c>
      <c r="H346">
        <v>104.4</v>
      </c>
      <c r="I346">
        <v>108.9</v>
      </c>
      <c r="J346">
        <v>105.5</v>
      </c>
      <c r="K346">
        <v>105.3</v>
      </c>
      <c r="L346">
        <v>103.5</v>
      </c>
      <c r="M346">
        <v>103.3</v>
      </c>
      <c r="N346">
        <v>107.2</v>
      </c>
      <c r="O346">
        <v>109.6</v>
      </c>
      <c r="P346">
        <v>107.7</v>
      </c>
      <c r="Q346">
        <v>108</v>
      </c>
      <c r="R346">
        <v>107</v>
      </c>
      <c r="S346">
        <v>107.9</v>
      </c>
      <c r="T346">
        <v>100.5</v>
      </c>
      <c r="U346">
        <v>106.3</v>
      </c>
      <c r="V346">
        <v>105.3</v>
      </c>
      <c r="W346">
        <v>102.9</v>
      </c>
      <c r="X346">
        <v>104.7</v>
      </c>
      <c r="Y346">
        <v>104.2</v>
      </c>
      <c r="Z346">
        <v>107.5</v>
      </c>
      <c r="AA346">
        <v>106.5</v>
      </c>
      <c r="AB346">
        <v>105</v>
      </c>
      <c r="AC346">
        <v>104.8</v>
      </c>
      <c r="AD346">
        <v>106.1</v>
      </c>
      <c r="AE346">
        <f>SUM(Table1_1[[#This Row],[Cereals and products]:[Food and beverages]])</f>
        <v>1390.2</v>
      </c>
      <c r="AF346">
        <f>SUM(Table1_1[[#This Row],[Clothing and footwear]:[Clothing]])</f>
        <v>322.89999999999998</v>
      </c>
      <c r="AG346">
        <f>SUM(Table1_1[[#This Row],[Clothing]:[Education]])</f>
        <v>1265.8</v>
      </c>
      <c r="AH346">
        <f>SUM(Table1_1[[#This Row],[Health]:[Personal care and effects]])</f>
        <v>208.2</v>
      </c>
      <c r="AI346">
        <f>SUM(Table1_1[[#This Row],[Recreation and amusement]:[Miscellaneous]])</f>
        <v>528</v>
      </c>
      <c r="AJ346">
        <f>SUM(Table1_1[[#This Row],[Fuel and light]])</f>
        <v>106.5</v>
      </c>
      <c r="AK346">
        <f>SUM(Table1_1[[#This Row],[Food]:[Luxury &amp;Other Thing]])</f>
        <v>3715.0999999999995</v>
      </c>
      <c r="AL346">
        <f>SUM(Table1_1[[#This Row],[Food]:[Luxury &amp;Other Thing]])</f>
        <v>3715.0999999999995</v>
      </c>
    </row>
    <row r="347" spans="1:38" x14ac:dyDescent="0.25">
      <c r="A347" t="s">
        <v>30</v>
      </c>
      <c r="B347" t="s">
        <v>37</v>
      </c>
      <c r="C347">
        <v>2014</v>
      </c>
      <c r="D347">
        <v>120.2</v>
      </c>
      <c r="E347">
        <v>118.9</v>
      </c>
      <c r="F347">
        <v>118.1</v>
      </c>
      <c r="G347">
        <v>117</v>
      </c>
      <c r="H347">
        <v>109.7</v>
      </c>
      <c r="I347">
        <v>125.5</v>
      </c>
      <c r="J347">
        <v>120.5</v>
      </c>
      <c r="K347">
        <v>111</v>
      </c>
      <c r="L347">
        <v>102.6</v>
      </c>
      <c r="M347">
        <v>111.2</v>
      </c>
      <c r="N347">
        <v>113.5</v>
      </c>
      <c r="O347">
        <v>118.7</v>
      </c>
      <c r="P347">
        <v>117.2</v>
      </c>
      <c r="Q347">
        <v>118.1</v>
      </c>
      <c r="R347">
        <v>116.1</v>
      </c>
      <c r="S347">
        <v>117.8</v>
      </c>
      <c r="T347">
        <v>139.5</v>
      </c>
      <c r="U347">
        <v>113.7</v>
      </c>
      <c r="V347">
        <v>111.8</v>
      </c>
      <c r="W347">
        <v>108.9</v>
      </c>
      <c r="X347">
        <v>111.2</v>
      </c>
      <c r="Y347">
        <v>110.5</v>
      </c>
      <c r="Z347">
        <v>115.4</v>
      </c>
      <c r="AA347">
        <v>113.4</v>
      </c>
      <c r="AB347">
        <v>113</v>
      </c>
      <c r="AC347">
        <v>111.5</v>
      </c>
      <c r="AD347">
        <v>115.4</v>
      </c>
      <c r="AE347">
        <f>SUM(Table1_1[[#This Row],[Cereals and products]:[Food and beverages]])</f>
        <v>1504.1000000000001</v>
      </c>
      <c r="AF347">
        <f>SUM(Table1_1[[#This Row],[Clothing and footwear]:[Clothing]])</f>
        <v>352</v>
      </c>
      <c r="AG347">
        <f>SUM(Table1_1[[#This Row],[Clothing]:[Education]])</f>
        <v>1389.4</v>
      </c>
      <c r="AH347">
        <f>SUM(Table1_1[[#This Row],[Health]:[Personal care and effects]])</f>
        <v>220.7</v>
      </c>
      <c r="AI347">
        <f>SUM(Table1_1[[#This Row],[Recreation and amusement]:[Miscellaneous]])</f>
        <v>563.79999999999995</v>
      </c>
      <c r="AJ347">
        <f>SUM(Table1_1[[#This Row],[Fuel and light]])</f>
        <v>113.4</v>
      </c>
      <c r="AK347">
        <f>SUM(Table1_1[[#This Row],[Food]:[Luxury &amp;Other Thing]])</f>
        <v>4030</v>
      </c>
      <c r="AL347">
        <f>SUM(Table1_1[[#This Row],[Food]:[Luxury &amp;Other Thing]])</f>
        <v>4030</v>
      </c>
    </row>
    <row r="348" spans="1:38" x14ac:dyDescent="0.25">
      <c r="A348" t="s">
        <v>33</v>
      </c>
      <c r="B348" t="s">
        <v>37</v>
      </c>
      <c r="C348">
        <v>2014</v>
      </c>
      <c r="D348">
        <v>122.5</v>
      </c>
      <c r="E348">
        <v>121.7</v>
      </c>
      <c r="F348">
        <v>113.3</v>
      </c>
      <c r="G348">
        <v>117</v>
      </c>
      <c r="H348">
        <v>103.1</v>
      </c>
      <c r="I348">
        <v>126.7</v>
      </c>
      <c r="J348">
        <v>121.2</v>
      </c>
      <c r="K348">
        <v>111</v>
      </c>
      <c r="L348">
        <v>100.3</v>
      </c>
      <c r="M348">
        <v>115.3</v>
      </c>
      <c r="N348">
        <v>112.7</v>
      </c>
      <c r="O348">
        <v>121</v>
      </c>
      <c r="P348">
        <v>118.2</v>
      </c>
      <c r="Q348">
        <v>116.3</v>
      </c>
      <c r="R348">
        <v>112.5</v>
      </c>
      <c r="S348">
        <v>115.7</v>
      </c>
      <c r="T348">
        <v>113.9</v>
      </c>
      <c r="U348">
        <v>113.4</v>
      </c>
      <c r="V348">
        <v>111</v>
      </c>
      <c r="W348">
        <v>109.1</v>
      </c>
      <c r="X348">
        <v>111.2</v>
      </c>
      <c r="Y348">
        <v>111.2</v>
      </c>
      <c r="Z348">
        <v>117.6</v>
      </c>
      <c r="AA348">
        <v>110.9</v>
      </c>
      <c r="AB348">
        <v>112.5</v>
      </c>
      <c r="AC348">
        <v>111.4</v>
      </c>
      <c r="AD348">
        <v>114.7</v>
      </c>
      <c r="AE348">
        <f>SUM(Table1_1[[#This Row],[Cereals and products]:[Food and beverages]])</f>
        <v>1504.0000000000002</v>
      </c>
      <c r="AF348">
        <f>SUM(Table1_1[[#This Row],[Clothing and footwear]:[Clothing]])</f>
        <v>344.5</v>
      </c>
      <c r="AG348">
        <f>SUM(Table1_1[[#This Row],[Clothing]:[Education]])</f>
        <v>1355.3000000000002</v>
      </c>
      <c r="AH348">
        <f>SUM(Table1_1[[#This Row],[Health]:[Personal care and effects]])</f>
        <v>220.1</v>
      </c>
      <c r="AI348">
        <f>SUM(Table1_1[[#This Row],[Recreation and amusement]:[Miscellaneous]])</f>
        <v>563.6</v>
      </c>
      <c r="AJ348">
        <f>SUM(Table1_1[[#This Row],[Fuel and light]])</f>
        <v>110.9</v>
      </c>
      <c r="AK348">
        <f>SUM(Table1_1[[#This Row],[Food]:[Luxury &amp;Other Thing]])</f>
        <v>3987.5</v>
      </c>
      <c r="AL348">
        <f>SUM(Table1_1[[#This Row],[Food]:[Luxury &amp;Other Thing]])</f>
        <v>3987.5</v>
      </c>
    </row>
    <row r="349" spans="1:38" x14ac:dyDescent="0.25">
      <c r="A349" t="s">
        <v>34</v>
      </c>
      <c r="B349" t="s">
        <v>37</v>
      </c>
      <c r="C349">
        <v>2014</v>
      </c>
      <c r="D349">
        <v>120.9</v>
      </c>
      <c r="E349">
        <v>119.9</v>
      </c>
      <c r="F349">
        <v>116.2</v>
      </c>
      <c r="G349">
        <v>117</v>
      </c>
      <c r="H349">
        <v>107.3</v>
      </c>
      <c r="I349">
        <v>126.1</v>
      </c>
      <c r="J349">
        <v>120.7</v>
      </c>
      <c r="K349">
        <v>111</v>
      </c>
      <c r="L349">
        <v>101.8</v>
      </c>
      <c r="M349">
        <v>112.6</v>
      </c>
      <c r="N349">
        <v>113.2</v>
      </c>
      <c r="O349">
        <v>119.8</v>
      </c>
      <c r="P349">
        <v>117.6</v>
      </c>
      <c r="Q349">
        <v>117.4</v>
      </c>
      <c r="R349">
        <v>114.6</v>
      </c>
      <c r="S349">
        <v>117</v>
      </c>
      <c r="T349">
        <v>113.9</v>
      </c>
      <c r="U349">
        <v>113.6</v>
      </c>
      <c r="V349">
        <v>111.5</v>
      </c>
      <c r="W349">
        <v>109</v>
      </c>
      <c r="X349">
        <v>111.2</v>
      </c>
      <c r="Y349">
        <v>110.9</v>
      </c>
      <c r="Z349">
        <v>116</v>
      </c>
      <c r="AA349">
        <v>112.5</v>
      </c>
      <c r="AB349">
        <v>112.7</v>
      </c>
      <c r="AC349">
        <v>111.5</v>
      </c>
      <c r="AD349">
        <v>115.1</v>
      </c>
      <c r="AE349">
        <f>SUM(Table1_1[[#This Row],[Cereals and products]:[Food and beverages]])</f>
        <v>1504.1</v>
      </c>
      <c r="AF349">
        <f>SUM(Table1_1[[#This Row],[Clothing and footwear]:[Clothing]])</f>
        <v>349</v>
      </c>
      <c r="AG349">
        <f>SUM(Table1_1[[#This Row],[Clothing]:[Education]])</f>
        <v>1360.3</v>
      </c>
      <c r="AH349">
        <f>SUM(Table1_1[[#This Row],[Health]:[Personal care and effects]])</f>
        <v>220.5</v>
      </c>
      <c r="AI349">
        <f>SUM(Table1_1[[#This Row],[Recreation and amusement]:[Miscellaneous]])</f>
        <v>563.59999999999991</v>
      </c>
      <c r="AJ349">
        <f>SUM(Table1_1[[#This Row],[Fuel and light]])</f>
        <v>112.5</v>
      </c>
      <c r="AK349">
        <f>SUM(Table1_1[[#This Row],[Food]:[Luxury &amp;Other Thing]])</f>
        <v>3997.4999999999995</v>
      </c>
      <c r="AL349">
        <f>SUM(Table1_1[[#This Row],[Food]:[Luxury &amp;Other Thing]])</f>
        <v>3997.4999999999995</v>
      </c>
    </row>
    <row r="350" spans="1:38" x14ac:dyDescent="0.25">
      <c r="A350" t="s">
        <v>30</v>
      </c>
      <c r="B350" t="s">
        <v>37</v>
      </c>
      <c r="C350">
        <v>2015</v>
      </c>
      <c r="D350">
        <v>123.3</v>
      </c>
      <c r="E350">
        <v>125.5</v>
      </c>
      <c r="F350">
        <v>117.2</v>
      </c>
      <c r="G350">
        <v>126.8</v>
      </c>
      <c r="H350">
        <v>111.9</v>
      </c>
      <c r="I350">
        <v>134.19999999999999</v>
      </c>
      <c r="J350">
        <v>127.5</v>
      </c>
      <c r="K350">
        <v>121.5</v>
      </c>
      <c r="L350">
        <v>97.8</v>
      </c>
      <c r="M350">
        <v>119.8</v>
      </c>
      <c r="N350">
        <v>119.4</v>
      </c>
      <c r="O350">
        <v>128.69999999999999</v>
      </c>
      <c r="P350">
        <v>123.6</v>
      </c>
      <c r="Q350">
        <v>126.4</v>
      </c>
      <c r="R350">
        <v>123.3</v>
      </c>
      <c r="S350">
        <v>126</v>
      </c>
      <c r="T350">
        <v>139.5</v>
      </c>
      <c r="U350">
        <v>120.9</v>
      </c>
      <c r="V350">
        <v>118.6</v>
      </c>
      <c r="W350">
        <v>111.6</v>
      </c>
      <c r="X350">
        <v>111.9</v>
      </c>
      <c r="Y350">
        <v>116.2</v>
      </c>
      <c r="Z350">
        <v>125.7</v>
      </c>
      <c r="AA350">
        <v>121.2</v>
      </c>
      <c r="AB350">
        <v>119.9</v>
      </c>
      <c r="AC350">
        <v>116</v>
      </c>
      <c r="AD350">
        <v>121.5</v>
      </c>
      <c r="AE350">
        <f>SUM(Table1_1[[#This Row],[Cereals and products]:[Food and beverages]])</f>
        <v>1577.2</v>
      </c>
      <c r="AF350">
        <f>SUM(Table1_1[[#This Row],[Clothing and footwear]:[Clothing]])</f>
        <v>375.7</v>
      </c>
      <c r="AG350">
        <f>SUM(Table1_1[[#This Row],[Clothing]:[Education]])</f>
        <v>1461.2000000000003</v>
      </c>
      <c r="AH350">
        <f>SUM(Table1_1[[#This Row],[Health]:[Personal care and effects]])</f>
        <v>230.2</v>
      </c>
      <c r="AI350">
        <f>SUM(Table1_1[[#This Row],[Recreation and amusement]:[Miscellaneous]])</f>
        <v>599</v>
      </c>
      <c r="AJ350">
        <f>SUM(Table1_1[[#This Row],[Fuel and light]])</f>
        <v>121.2</v>
      </c>
      <c r="AK350">
        <f>SUM(Table1_1[[#This Row],[Food]:[Luxury &amp;Other Thing]])</f>
        <v>4243.3</v>
      </c>
      <c r="AL350">
        <f>SUM(Table1_1[[#This Row],[Food]:[Luxury &amp;Other Thing]])</f>
        <v>4243.3</v>
      </c>
    </row>
    <row r="351" spans="1:38" x14ac:dyDescent="0.25">
      <c r="A351" t="s">
        <v>33</v>
      </c>
      <c r="B351" t="s">
        <v>37</v>
      </c>
      <c r="C351">
        <v>2015</v>
      </c>
      <c r="D351">
        <v>123.8</v>
      </c>
      <c r="E351">
        <v>128.19999999999999</v>
      </c>
      <c r="F351">
        <v>110</v>
      </c>
      <c r="G351">
        <v>126.3</v>
      </c>
      <c r="H351">
        <v>104.5</v>
      </c>
      <c r="I351">
        <v>130.6</v>
      </c>
      <c r="J351">
        <v>130.80000000000001</v>
      </c>
      <c r="K351">
        <v>131.30000000000001</v>
      </c>
      <c r="L351">
        <v>91.6</v>
      </c>
      <c r="M351">
        <v>127.7</v>
      </c>
      <c r="N351">
        <v>117.2</v>
      </c>
      <c r="O351">
        <v>129.5</v>
      </c>
      <c r="P351">
        <v>124.6</v>
      </c>
      <c r="Q351">
        <v>122.1</v>
      </c>
      <c r="R351">
        <v>117.2</v>
      </c>
      <c r="S351">
        <v>121.3</v>
      </c>
      <c r="T351">
        <v>119.2</v>
      </c>
      <c r="U351">
        <v>118.4</v>
      </c>
      <c r="V351">
        <v>114.6</v>
      </c>
      <c r="W351">
        <v>111.8</v>
      </c>
      <c r="X351">
        <v>108.4</v>
      </c>
      <c r="Y351">
        <v>115.6</v>
      </c>
      <c r="Z351">
        <v>130.1</v>
      </c>
      <c r="AA351">
        <v>114.7</v>
      </c>
      <c r="AB351">
        <v>121.7</v>
      </c>
      <c r="AC351">
        <v>114.2</v>
      </c>
      <c r="AD351">
        <v>119.7</v>
      </c>
      <c r="AE351">
        <f>SUM(Table1_1[[#This Row],[Cereals and products]:[Food and beverages]])</f>
        <v>1576.1</v>
      </c>
      <c r="AF351">
        <f>SUM(Table1_1[[#This Row],[Clothing and footwear]:[Clothing]])</f>
        <v>360.6</v>
      </c>
      <c r="AG351">
        <f>SUM(Table1_1[[#This Row],[Clothing]:[Education]])</f>
        <v>1415.1</v>
      </c>
      <c r="AH351">
        <f>SUM(Table1_1[[#This Row],[Health]:[Personal care and effects]])</f>
        <v>226.39999999999998</v>
      </c>
      <c r="AI351">
        <f>SUM(Table1_1[[#This Row],[Recreation and amusement]:[Miscellaneous]])</f>
        <v>596.29999999999995</v>
      </c>
      <c r="AJ351">
        <f>SUM(Table1_1[[#This Row],[Fuel and light]])</f>
        <v>114.7</v>
      </c>
      <c r="AK351">
        <f>SUM(Table1_1[[#This Row],[Food]:[Luxury &amp;Other Thing]])</f>
        <v>4174.5</v>
      </c>
      <c r="AL351">
        <f>SUM(Table1_1[[#This Row],[Food]:[Luxury &amp;Other Thing]])</f>
        <v>4174.5</v>
      </c>
    </row>
    <row r="352" spans="1:38" x14ac:dyDescent="0.25">
      <c r="A352" t="s">
        <v>34</v>
      </c>
      <c r="B352" t="s">
        <v>37</v>
      </c>
      <c r="C352">
        <v>2015</v>
      </c>
      <c r="D352">
        <v>123.5</v>
      </c>
      <c r="E352">
        <v>126.4</v>
      </c>
      <c r="F352">
        <v>114.4</v>
      </c>
      <c r="G352">
        <v>126.6</v>
      </c>
      <c r="H352">
        <v>109.2</v>
      </c>
      <c r="I352">
        <v>132.5</v>
      </c>
      <c r="J352">
        <v>128.6</v>
      </c>
      <c r="K352">
        <v>124.8</v>
      </c>
      <c r="L352">
        <v>95.7</v>
      </c>
      <c r="M352">
        <v>122.4</v>
      </c>
      <c r="N352">
        <v>118.5</v>
      </c>
      <c r="O352">
        <v>129.1</v>
      </c>
      <c r="P352">
        <v>124</v>
      </c>
      <c r="Q352">
        <v>124.7</v>
      </c>
      <c r="R352">
        <v>120.8</v>
      </c>
      <c r="S352">
        <v>124.1</v>
      </c>
      <c r="T352">
        <v>119.2</v>
      </c>
      <c r="U352">
        <v>119.7</v>
      </c>
      <c r="V352">
        <v>117.1</v>
      </c>
      <c r="W352">
        <v>111.7</v>
      </c>
      <c r="X352">
        <v>110.1</v>
      </c>
      <c r="Y352">
        <v>115.9</v>
      </c>
      <c r="Z352">
        <v>126.9</v>
      </c>
      <c r="AA352">
        <v>118.7</v>
      </c>
      <c r="AB352">
        <v>121</v>
      </c>
      <c r="AC352">
        <v>115.1</v>
      </c>
      <c r="AD352">
        <v>120.7</v>
      </c>
      <c r="AE352">
        <f>SUM(Table1_1[[#This Row],[Cereals and products]:[Food and beverages]])</f>
        <v>1575.7</v>
      </c>
      <c r="AF352">
        <f>SUM(Table1_1[[#This Row],[Clothing and footwear]:[Clothing]])</f>
        <v>369.6</v>
      </c>
      <c r="AG352">
        <f>SUM(Table1_1[[#This Row],[Clothing]:[Education]])</f>
        <v>1429.9000000000003</v>
      </c>
      <c r="AH352">
        <f>SUM(Table1_1[[#This Row],[Health]:[Personal care and effects]])</f>
        <v>228.8</v>
      </c>
      <c r="AI352">
        <f>SUM(Table1_1[[#This Row],[Recreation and amusement]:[Miscellaneous]])</f>
        <v>597.6</v>
      </c>
      <c r="AJ352">
        <f>SUM(Table1_1[[#This Row],[Fuel and light]])</f>
        <v>118.7</v>
      </c>
      <c r="AK352">
        <f>SUM(Table1_1[[#This Row],[Food]:[Luxury &amp;Other Thing]])</f>
        <v>4201.6000000000013</v>
      </c>
      <c r="AL352">
        <f>SUM(Table1_1[[#This Row],[Food]:[Luxury &amp;Other Thing]])</f>
        <v>4201.6000000000013</v>
      </c>
    </row>
    <row r="353" spans="1:38" x14ac:dyDescent="0.25">
      <c r="A353" t="s">
        <v>30</v>
      </c>
      <c r="B353" t="s">
        <v>37</v>
      </c>
      <c r="C353">
        <v>2016</v>
      </c>
      <c r="D353">
        <v>127.4</v>
      </c>
      <c r="E353">
        <v>135.4</v>
      </c>
      <c r="F353">
        <v>123.4</v>
      </c>
      <c r="G353">
        <v>131.30000000000001</v>
      </c>
      <c r="H353">
        <v>118.2</v>
      </c>
      <c r="I353">
        <v>138.1</v>
      </c>
      <c r="J353">
        <v>134.1</v>
      </c>
      <c r="K353">
        <v>162.69999999999999</v>
      </c>
      <c r="L353">
        <v>105</v>
      </c>
      <c r="M353">
        <v>131.4</v>
      </c>
      <c r="N353">
        <v>125.4</v>
      </c>
      <c r="O353">
        <v>137.4</v>
      </c>
      <c r="P353">
        <v>131.80000000000001</v>
      </c>
      <c r="Q353">
        <v>135</v>
      </c>
      <c r="R353">
        <v>130.6</v>
      </c>
      <c r="S353">
        <v>134.4</v>
      </c>
      <c r="T353">
        <v>139.5</v>
      </c>
      <c r="U353">
        <v>128</v>
      </c>
      <c r="V353">
        <v>125.2</v>
      </c>
      <c r="W353">
        <v>118.4</v>
      </c>
      <c r="X353">
        <v>114.4</v>
      </c>
      <c r="Y353">
        <v>123.2</v>
      </c>
      <c r="Z353">
        <v>135.5</v>
      </c>
      <c r="AA353">
        <v>127</v>
      </c>
      <c r="AB353">
        <v>127.9</v>
      </c>
      <c r="AC353">
        <v>121.7</v>
      </c>
      <c r="AD353">
        <v>129</v>
      </c>
      <c r="AE353">
        <f>SUM(Table1_1[[#This Row],[Cereals and products]:[Food and beverages]])</f>
        <v>1701.6000000000004</v>
      </c>
      <c r="AF353">
        <f>SUM(Table1_1[[#This Row],[Clothing and footwear]:[Clothing]])</f>
        <v>400</v>
      </c>
      <c r="AG353">
        <f>SUM(Table1_1[[#This Row],[Clothing]:[Education]])</f>
        <v>1539.1000000000001</v>
      </c>
      <c r="AH353">
        <f>SUM(Table1_1[[#This Row],[Health]:[Personal care and effects]])</f>
        <v>243.60000000000002</v>
      </c>
      <c r="AI353">
        <f>SUM(Table1_1[[#This Row],[Recreation and amusement]:[Miscellaneous]])</f>
        <v>635.30000000000007</v>
      </c>
      <c r="AJ353">
        <f>SUM(Table1_1[[#This Row],[Fuel and light]])</f>
        <v>127</v>
      </c>
      <c r="AK353">
        <f>SUM(Table1_1[[#This Row],[Food]:[Luxury &amp;Other Thing]])</f>
        <v>4519.6000000000004</v>
      </c>
      <c r="AL353">
        <f>SUM(Table1_1[[#This Row],[Food]:[Luxury &amp;Other Thing]])</f>
        <v>4519.6000000000004</v>
      </c>
    </row>
    <row r="354" spans="1:38" x14ac:dyDescent="0.25">
      <c r="A354" t="s">
        <v>33</v>
      </c>
      <c r="B354" t="s">
        <v>37</v>
      </c>
      <c r="C354">
        <v>2016</v>
      </c>
      <c r="D354">
        <v>124.9</v>
      </c>
      <c r="E354">
        <v>139.30000000000001</v>
      </c>
      <c r="F354">
        <v>119.9</v>
      </c>
      <c r="G354">
        <v>130.19999999999999</v>
      </c>
      <c r="H354">
        <v>108.9</v>
      </c>
      <c r="I354">
        <v>131.1</v>
      </c>
      <c r="J354">
        <v>136.80000000000001</v>
      </c>
      <c r="K354">
        <v>176.9</v>
      </c>
      <c r="L354">
        <v>109.1</v>
      </c>
      <c r="M354">
        <v>140.4</v>
      </c>
      <c r="N354">
        <v>121.1</v>
      </c>
      <c r="O354">
        <v>135.9</v>
      </c>
      <c r="P354">
        <v>131.80000000000001</v>
      </c>
      <c r="Q354">
        <v>126.8</v>
      </c>
      <c r="R354">
        <v>120.5</v>
      </c>
      <c r="S354">
        <v>125.8</v>
      </c>
      <c r="T354">
        <v>125.6</v>
      </c>
      <c r="U354">
        <v>122.8</v>
      </c>
      <c r="V354">
        <v>120</v>
      </c>
      <c r="W354">
        <v>117.6</v>
      </c>
      <c r="X354">
        <v>110</v>
      </c>
      <c r="Y354">
        <v>119.5</v>
      </c>
      <c r="Z354">
        <v>141.5</v>
      </c>
      <c r="AA354">
        <v>114.6</v>
      </c>
      <c r="AB354">
        <v>127.6</v>
      </c>
      <c r="AC354">
        <v>118.2</v>
      </c>
      <c r="AD354">
        <v>125.3</v>
      </c>
      <c r="AE354">
        <f>SUM(Table1_1[[#This Row],[Cereals and products]:[Food and beverages]])</f>
        <v>1706.3</v>
      </c>
      <c r="AF354">
        <f>SUM(Table1_1[[#This Row],[Clothing and footwear]:[Clothing]])</f>
        <v>373.1</v>
      </c>
      <c r="AG354">
        <f>SUM(Table1_1[[#This Row],[Clothing]:[Education]])</f>
        <v>1472.2999999999997</v>
      </c>
      <c r="AH354">
        <f>SUM(Table1_1[[#This Row],[Health]:[Personal care and effects]])</f>
        <v>237.6</v>
      </c>
      <c r="AI354">
        <f>SUM(Table1_1[[#This Row],[Recreation and amusement]:[Miscellaneous]])</f>
        <v>621.40000000000009</v>
      </c>
      <c r="AJ354">
        <f>SUM(Table1_1[[#This Row],[Fuel and light]])</f>
        <v>114.6</v>
      </c>
      <c r="AK354">
        <f>SUM(Table1_1[[#This Row],[Food]:[Luxury &amp;Other Thing]])</f>
        <v>4410.7</v>
      </c>
      <c r="AL354">
        <f>SUM(Table1_1[[#This Row],[Food]:[Luxury &amp;Other Thing]])</f>
        <v>4410.7</v>
      </c>
    </row>
    <row r="355" spans="1:38" x14ac:dyDescent="0.25">
      <c r="A355" t="s">
        <v>34</v>
      </c>
      <c r="B355" t="s">
        <v>37</v>
      </c>
      <c r="C355">
        <v>2016</v>
      </c>
      <c r="D355">
        <v>126.6</v>
      </c>
      <c r="E355">
        <v>136.80000000000001</v>
      </c>
      <c r="F355">
        <v>122</v>
      </c>
      <c r="G355">
        <v>130.9</v>
      </c>
      <c r="H355">
        <v>114.8</v>
      </c>
      <c r="I355">
        <v>134.80000000000001</v>
      </c>
      <c r="J355">
        <v>135</v>
      </c>
      <c r="K355">
        <v>167.5</v>
      </c>
      <c r="L355">
        <v>106.4</v>
      </c>
      <c r="M355">
        <v>134.4</v>
      </c>
      <c r="N355">
        <v>123.6</v>
      </c>
      <c r="O355">
        <v>136.69999999999999</v>
      </c>
      <c r="P355">
        <v>131.80000000000001</v>
      </c>
      <c r="Q355">
        <v>131.80000000000001</v>
      </c>
      <c r="R355">
        <v>126.4</v>
      </c>
      <c r="S355">
        <v>131</v>
      </c>
      <c r="T355">
        <v>125.6</v>
      </c>
      <c r="U355">
        <v>125.5</v>
      </c>
      <c r="V355">
        <v>123.2</v>
      </c>
      <c r="W355">
        <v>118.1</v>
      </c>
      <c r="X355">
        <v>112.1</v>
      </c>
      <c r="Y355">
        <v>121.1</v>
      </c>
      <c r="Z355">
        <v>137.1</v>
      </c>
      <c r="AA355">
        <v>122.3</v>
      </c>
      <c r="AB355">
        <v>127.7</v>
      </c>
      <c r="AC355">
        <v>120</v>
      </c>
      <c r="AD355">
        <v>127.3</v>
      </c>
      <c r="AE355">
        <f>SUM(Table1_1[[#This Row],[Cereals and products]:[Food and beverages]])</f>
        <v>1701.3</v>
      </c>
      <c r="AF355">
        <f>SUM(Table1_1[[#This Row],[Clothing and footwear]:[Clothing]])</f>
        <v>389.20000000000005</v>
      </c>
      <c r="AG355">
        <f>SUM(Table1_1[[#This Row],[Clothing]:[Education]])</f>
        <v>1501.9</v>
      </c>
      <c r="AH355">
        <f>SUM(Table1_1[[#This Row],[Health]:[Personal care and effects]])</f>
        <v>241.3</v>
      </c>
      <c r="AI355">
        <f>SUM(Table1_1[[#This Row],[Recreation and amusement]:[Miscellaneous]])</f>
        <v>628.20000000000005</v>
      </c>
      <c r="AJ355">
        <f>SUM(Table1_1[[#This Row],[Fuel and light]])</f>
        <v>122.3</v>
      </c>
      <c r="AK355">
        <f>SUM(Table1_1[[#This Row],[Food]:[Luxury &amp;Other Thing]])</f>
        <v>4461.9000000000005</v>
      </c>
      <c r="AL355">
        <f>SUM(Table1_1[[#This Row],[Food]:[Luxury &amp;Other Thing]])</f>
        <v>4461.9000000000005</v>
      </c>
    </row>
    <row r="356" spans="1:38" x14ac:dyDescent="0.25">
      <c r="A356" t="s">
        <v>30</v>
      </c>
      <c r="B356" t="s">
        <v>37</v>
      </c>
      <c r="C356">
        <v>2017</v>
      </c>
      <c r="D356">
        <v>133.19999999999999</v>
      </c>
      <c r="E356">
        <v>138.69999999999999</v>
      </c>
      <c r="F356">
        <v>127.1</v>
      </c>
      <c r="G356">
        <v>137.69999999999999</v>
      </c>
      <c r="H356">
        <v>121.3</v>
      </c>
      <c r="I356">
        <v>141.80000000000001</v>
      </c>
      <c r="J356">
        <v>121.5</v>
      </c>
      <c r="K356">
        <v>144.5</v>
      </c>
      <c r="L356">
        <v>117.4</v>
      </c>
      <c r="M356">
        <v>134.1</v>
      </c>
      <c r="N356">
        <v>130</v>
      </c>
      <c r="O356">
        <v>145.5</v>
      </c>
      <c r="P356">
        <v>133.5</v>
      </c>
      <c r="Q356">
        <v>142.4</v>
      </c>
      <c r="R356">
        <v>136.80000000000001</v>
      </c>
      <c r="S356">
        <v>141.6</v>
      </c>
      <c r="T356">
        <v>139.5</v>
      </c>
      <c r="U356">
        <v>134.30000000000001</v>
      </c>
      <c r="V356">
        <v>131</v>
      </c>
      <c r="W356">
        <v>123.7</v>
      </c>
      <c r="X356">
        <v>119.2</v>
      </c>
      <c r="Y356">
        <v>128.30000000000001</v>
      </c>
      <c r="Z356">
        <v>144.4</v>
      </c>
      <c r="AA356">
        <v>135</v>
      </c>
      <c r="AB356">
        <v>135.69999999999999</v>
      </c>
      <c r="AC356">
        <v>127.5</v>
      </c>
      <c r="AD356">
        <v>132.9</v>
      </c>
      <c r="AE356">
        <f>SUM(Table1_1[[#This Row],[Cereals and products]:[Food and beverages]])</f>
        <v>1726.3</v>
      </c>
      <c r="AF356">
        <f>SUM(Table1_1[[#This Row],[Clothing and footwear]:[Clothing]])</f>
        <v>420.80000000000007</v>
      </c>
      <c r="AG356">
        <f>SUM(Table1_1[[#This Row],[Clothing]:[Education]])</f>
        <v>1611.9000000000003</v>
      </c>
      <c r="AH356">
        <f>SUM(Table1_1[[#This Row],[Health]:[Personal care and effects]])</f>
        <v>254.7</v>
      </c>
      <c r="AI356">
        <f>SUM(Table1_1[[#This Row],[Recreation and amusement]:[Miscellaneous]])</f>
        <v>670.90000000000009</v>
      </c>
      <c r="AJ356">
        <f>SUM(Table1_1[[#This Row],[Fuel and light]])</f>
        <v>135</v>
      </c>
      <c r="AK356">
        <f>SUM(Table1_1[[#This Row],[Food]:[Luxury &amp;Other Thing]])</f>
        <v>4684.6000000000004</v>
      </c>
      <c r="AL356">
        <f>SUM(Table1_1[[#This Row],[Food]:[Luxury &amp;Other Thing]])</f>
        <v>4684.6000000000004</v>
      </c>
    </row>
    <row r="357" spans="1:38" x14ac:dyDescent="0.25">
      <c r="A357" t="s">
        <v>33</v>
      </c>
      <c r="B357" t="s">
        <v>37</v>
      </c>
      <c r="C357">
        <v>2017</v>
      </c>
      <c r="D357">
        <v>132.69999999999999</v>
      </c>
      <c r="E357">
        <v>140.6</v>
      </c>
      <c r="F357">
        <v>124.5</v>
      </c>
      <c r="G357">
        <v>136.30000000000001</v>
      </c>
      <c r="H357">
        <v>113.5</v>
      </c>
      <c r="I357">
        <v>137.69999999999999</v>
      </c>
      <c r="J357">
        <v>127.1</v>
      </c>
      <c r="K357">
        <v>133.80000000000001</v>
      </c>
      <c r="L357">
        <v>120.8</v>
      </c>
      <c r="M357">
        <v>141.30000000000001</v>
      </c>
      <c r="N357">
        <v>123.8</v>
      </c>
      <c r="O357">
        <v>142.6</v>
      </c>
      <c r="P357">
        <v>133.4</v>
      </c>
      <c r="Q357">
        <v>131.19999999999999</v>
      </c>
      <c r="R357">
        <v>123</v>
      </c>
      <c r="S357">
        <v>130</v>
      </c>
      <c r="T357">
        <v>131.69999999999999</v>
      </c>
      <c r="U357">
        <v>126</v>
      </c>
      <c r="V357">
        <v>123.4</v>
      </c>
      <c r="W357">
        <v>122.2</v>
      </c>
      <c r="X357">
        <v>114.3</v>
      </c>
      <c r="Y357">
        <v>122.6</v>
      </c>
      <c r="Z357">
        <v>148</v>
      </c>
      <c r="AA357">
        <v>121.4</v>
      </c>
      <c r="AB357">
        <v>133.6</v>
      </c>
      <c r="AC357">
        <v>122.5</v>
      </c>
      <c r="AD357">
        <v>129.1</v>
      </c>
      <c r="AE357">
        <f>SUM(Table1_1[[#This Row],[Cereals and products]:[Food and beverages]])</f>
        <v>1708.1</v>
      </c>
      <c r="AF357">
        <f>SUM(Table1_1[[#This Row],[Clothing and footwear]:[Clothing]])</f>
        <v>384.2</v>
      </c>
      <c r="AG357">
        <f>SUM(Table1_1[[#This Row],[Clothing]:[Education]])</f>
        <v>1527.3999999999999</v>
      </c>
      <c r="AH357">
        <f>SUM(Table1_1[[#This Row],[Health]:[Personal care and effects]])</f>
        <v>245.60000000000002</v>
      </c>
      <c r="AI357">
        <f>SUM(Table1_1[[#This Row],[Recreation and amusement]:[Miscellaneous]])</f>
        <v>648.1</v>
      </c>
      <c r="AJ357">
        <f>SUM(Table1_1[[#This Row],[Fuel and light]])</f>
        <v>121.4</v>
      </c>
      <c r="AK357">
        <f>SUM(Table1_1[[#This Row],[Food]:[Luxury &amp;Other Thing]])</f>
        <v>4513.3999999999996</v>
      </c>
      <c r="AL357">
        <f>SUM(Table1_1[[#This Row],[Food]:[Luxury &amp;Other Thing]])</f>
        <v>4513.3999999999996</v>
      </c>
    </row>
    <row r="358" spans="1:38" x14ac:dyDescent="0.25">
      <c r="A358" t="s">
        <v>34</v>
      </c>
      <c r="B358" t="s">
        <v>37</v>
      </c>
      <c r="C358">
        <v>2017</v>
      </c>
      <c r="D358">
        <v>133</v>
      </c>
      <c r="E358">
        <v>139.4</v>
      </c>
      <c r="F358">
        <v>126.1</v>
      </c>
      <c r="G358">
        <v>137.19999999999999</v>
      </c>
      <c r="H358">
        <v>118.4</v>
      </c>
      <c r="I358">
        <v>139.9</v>
      </c>
      <c r="J358">
        <v>123.4</v>
      </c>
      <c r="K358">
        <v>140.9</v>
      </c>
      <c r="L358">
        <v>118.5</v>
      </c>
      <c r="M358">
        <v>136.5</v>
      </c>
      <c r="N358">
        <v>127.4</v>
      </c>
      <c r="O358">
        <v>144.19999999999999</v>
      </c>
      <c r="P358">
        <v>133.5</v>
      </c>
      <c r="Q358">
        <v>138</v>
      </c>
      <c r="R358">
        <v>131.1</v>
      </c>
      <c r="S358">
        <v>137</v>
      </c>
      <c r="T358">
        <v>131.69999999999999</v>
      </c>
      <c r="U358">
        <v>130.4</v>
      </c>
      <c r="V358">
        <v>128.1</v>
      </c>
      <c r="W358">
        <v>123.1</v>
      </c>
      <c r="X358">
        <v>116.6</v>
      </c>
      <c r="Y358">
        <v>125.1</v>
      </c>
      <c r="Z358">
        <v>145.4</v>
      </c>
      <c r="AA358">
        <v>129.80000000000001</v>
      </c>
      <c r="AB358">
        <v>134.5</v>
      </c>
      <c r="AC358">
        <v>125.1</v>
      </c>
      <c r="AD358">
        <v>131.1</v>
      </c>
      <c r="AE358">
        <f>SUM(Table1_1[[#This Row],[Cereals and products]:[Food and beverages]])</f>
        <v>1718.4</v>
      </c>
      <c r="AF358">
        <f>SUM(Table1_1[[#This Row],[Clothing and footwear]:[Clothing]])</f>
        <v>406.1</v>
      </c>
      <c r="AG358">
        <f>SUM(Table1_1[[#This Row],[Clothing]:[Education]])</f>
        <v>1570.8</v>
      </c>
      <c r="AH358">
        <f>SUM(Table1_1[[#This Row],[Health]:[Personal care and effects]])</f>
        <v>251.2</v>
      </c>
      <c r="AI358">
        <f>SUM(Table1_1[[#This Row],[Recreation and amusement]:[Miscellaneous]])</f>
        <v>659.9</v>
      </c>
      <c r="AJ358">
        <f>SUM(Table1_1[[#This Row],[Fuel and light]])</f>
        <v>129.80000000000001</v>
      </c>
      <c r="AK358">
        <f>SUM(Table1_1[[#This Row],[Food]:[Luxury &amp;Other Thing]])</f>
        <v>4606.3999999999996</v>
      </c>
      <c r="AL358">
        <f>SUM(Table1_1[[#This Row],[Food]:[Luxury &amp;Other Thing]])</f>
        <v>4606.3999999999996</v>
      </c>
    </row>
    <row r="359" spans="1:38" x14ac:dyDescent="0.25">
      <c r="A359" t="s">
        <v>30</v>
      </c>
      <c r="B359" t="s">
        <v>37</v>
      </c>
      <c r="C359">
        <v>2018</v>
      </c>
      <c r="D359">
        <v>137.1</v>
      </c>
      <c r="E359">
        <v>144.5</v>
      </c>
      <c r="F359">
        <v>135.9</v>
      </c>
      <c r="G359">
        <v>142.4</v>
      </c>
      <c r="H359">
        <v>123.5</v>
      </c>
      <c r="I359">
        <v>156.4</v>
      </c>
      <c r="J359">
        <v>135.1</v>
      </c>
      <c r="K359">
        <v>128.4</v>
      </c>
      <c r="L359">
        <v>115.2</v>
      </c>
      <c r="M359">
        <v>137.19999999999999</v>
      </c>
      <c r="N359">
        <v>131.9</v>
      </c>
      <c r="O359">
        <v>153.80000000000001</v>
      </c>
      <c r="P359">
        <v>138.6</v>
      </c>
      <c r="Q359">
        <v>150.1</v>
      </c>
      <c r="R359">
        <v>143.30000000000001</v>
      </c>
      <c r="S359">
        <v>149.1</v>
      </c>
      <c r="T359">
        <v>139.5</v>
      </c>
      <c r="U359">
        <v>140.9</v>
      </c>
      <c r="V359">
        <v>137.6</v>
      </c>
      <c r="W359">
        <v>130.4</v>
      </c>
      <c r="X359">
        <v>125.3</v>
      </c>
      <c r="Y359">
        <v>136</v>
      </c>
      <c r="Z359">
        <v>156.1</v>
      </c>
      <c r="AA359">
        <v>143.80000000000001</v>
      </c>
      <c r="AB359">
        <v>143.69999999999999</v>
      </c>
      <c r="AC359">
        <v>134.19999999999999</v>
      </c>
      <c r="AD359">
        <v>139.1</v>
      </c>
      <c r="AE359">
        <f>SUM(Table1_1[[#This Row],[Cereals and products]:[Food and beverages]])</f>
        <v>1780</v>
      </c>
      <c r="AF359">
        <f>SUM(Table1_1[[#This Row],[Clothing and footwear]:[Clothing]])</f>
        <v>442.5</v>
      </c>
      <c r="AG359">
        <f>SUM(Table1_1[[#This Row],[Clothing]:[Education]])</f>
        <v>1695.8</v>
      </c>
      <c r="AH359">
        <f>SUM(Table1_1[[#This Row],[Health]:[Personal care and effects]])</f>
        <v>268</v>
      </c>
      <c r="AI359">
        <f>SUM(Table1_1[[#This Row],[Recreation and amusement]:[Miscellaneous]])</f>
        <v>713.8</v>
      </c>
      <c r="AJ359">
        <f>SUM(Table1_1[[#This Row],[Fuel and light]])</f>
        <v>143.80000000000001</v>
      </c>
      <c r="AK359">
        <f>SUM(Table1_1[[#This Row],[Food]:[Luxury &amp;Other Thing]])</f>
        <v>4900.1000000000004</v>
      </c>
      <c r="AL359">
        <f>SUM(Table1_1[[#This Row],[Food]:[Luxury &amp;Other Thing]])</f>
        <v>4900.1000000000004</v>
      </c>
    </row>
    <row r="360" spans="1:38" x14ac:dyDescent="0.25">
      <c r="A360" t="s">
        <v>33</v>
      </c>
      <c r="B360" t="s">
        <v>37</v>
      </c>
      <c r="C360">
        <v>2018</v>
      </c>
      <c r="D360">
        <v>135</v>
      </c>
      <c r="E360">
        <v>144.30000000000001</v>
      </c>
      <c r="F360">
        <v>130.80000000000001</v>
      </c>
      <c r="G360">
        <v>140.30000000000001</v>
      </c>
      <c r="H360">
        <v>116.6</v>
      </c>
      <c r="I360">
        <v>150.1</v>
      </c>
      <c r="J360">
        <v>127.6</v>
      </c>
      <c r="K360">
        <v>114</v>
      </c>
      <c r="L360">
        <v>110.6</v>
      </c>
      <c r="M360">
        <v>140.19999999999999</v>
      </c>
      <c r="N360">
        <v>126.5</v>
      </c>
      <c r="O360">
        <v>148.30000000000001</v>
      </c>
      <c r="P360">
        <v>135.69999999999999</v>
      </c>
      <c r="Q360">
        <v>137.80000000000001</v>
      </c>
      <c r="R360">
        <v>127.4</v>
      </c>
      <c r="S360">
        <v>136.19999999999999</v>
      </c>
      <c r="T360">
        <v>142.9</v>
      </c>
      <c r="U360">
        <v>131.80000000000001</v>
      </c>
      <c r="V360">
        <v>131.30000000000001</v>
      </c>
      <c r="W360">
        <v>127.6</v>
      </c>
      <c r="X360">
        <v>118.9</v>
      </c>
      <c r="Y360">
        <v>127.6</v>
      </c>
      <c r="Z360">
        <v>159.19999999999999</v>
      </c>
      <c r="AA360">
        <v>124.6</v>
      </c>
      <c r="AB360">
        <v>139.69999999999999</v>
      </c>
      <c r="AC360">
        <v>128.19999999999999</v>
      </c>
      <c r="AD360">
        <v>134.80000000000001</v>
      </c>
      <c r="AE360">
        <f>SUM(Table1_1[[#This Row],[Cereals and products]:[Food and beverages]])</f>
        <v>1720.0000000000002</v>
      </c>
      <c r="AF360">
        <f>SUM(Table1_1[[#This Row],[Clothing and footwear]:[Clothing]])</f>
        <v>401.40000000000003</v>
      </c>
      <c r="AG360">
        <f>SUM(Table1_1[[#This Row],[Clothing]:[Education]])</f>
        <v>1605</v>
      </c>
      <c r="AH360">
        <f>SUM(Table1_1[[#This Row],[Health]:[Personal care and effects]])</f>
        <v>258.89999999999998</v>
      </c>
      <c r="AI360">
        <f>SUM(Table1_1[[#This Row],[Recreation and amusement]:[Miscellaneous]])</f>
        <v>679.3</v>
      </c>
      <c r="AJ360">
        <f>SUM(Table1_1[[#This Row],[Fuel and light]])</f>
        <v>124.6</v>
      </c>
      <c r="AK360">
        <f>SUM(Table1_1[[#This Row],[Food]:[Luxury &amp;Other Thing]])</f>
        <v>4664.6000000000004</v>
      </c>
      <c r="AL360">
        <f>SUM(Table1_1[[#This Row],[Food]:[Luxury &amp;Other Thing]])</f>
        <v>4664.6000000000004</v>
      </c>
    </row>
    <row r="361" spans="1:38" x14ac:dyDescent="0.25">
      <c r="A361" t="s">
        <v>34</v>
      </c>
      <c r="B361" t="s">
        <v>37</v>
      </c>
      <c r="C361">
        <v>2018</v>
      </c>
      <c r="D361">
        <v>136.4</v>
      </c>
      <c r="E361">
        <v>144.4</v>
      </c>
      <c r="F361">
        <v>133.9</v>
      </c>
      <c r="G361">
        <v>141.6</v>
      </c>
      <c r="H361">
        <v>121</v>
      </c>
      <c r="I361">
        <v>153.5</v>
      </c>
      <c r="J361">
        <v>132.6</v>
      </c>
      <c r="K361">
        <v>123.5</v>
      </c>
      <c r="L361">
        <v>113.7</v>
      </c>
      <c r="M361">
        <v>138.19999999999999</v>
      </c>
      <c r="N361">
        <v>129.6</v>
      </c>
      <c r="O361">
        <v>151.19999999999999</v>
      </c>
      <c r="P361">
        <v>137.5</v>
      </c>
      <c r="Q361">
        <v>145.30000000000001</v>
      </c>
      <c r="R361">
        <v>136.69999999999999</v>
      </c>
      <c r="S361">
        <v>144</v>
      </c>
      <c r="T361">
        <v>142.9</v>
      </c>
      <c r="U361">
        <v>136.6</v>
      </c>
      <c r="V361">
        <v>135.19999999999999</v>
      </c>
      <c r="W361">
        <v>129.19999999999999</v>
      </c>
      <c r="X361">
        <v>121.9</v>
      </c>
      <c r="Y361">
        <v>131.30000000000001</v>
      </c>
      <c r="Z361">
        <v>156.9</v>
      </c>
      <c r="AA361">
        <v>136.5</v>
      </c>
      <c r="AB361">
        <v>141.4</v>
      </c>
      <c r="AC361">
        <v>131.30000000000001</v>
      </c>
      <c r="AD361">
        <v>137.1</v>
      </c>
      <c r="AE361">
        <f>SUM(Table1_1[[#This Row],[Cereals and products]:[Food and beverages]])</f>
        <v>1757.1000000000001</v>
      </c>
      <c r="AF361">
        <f>SUM(Table1_1[[#This Row],[Clothing and footwear]:[Clothing]])</f>
        <v>426</v>
      </c>
      <c r="AG361">
        <f>SUM(Table1_1[[#This Row],[Clothing]:[Education]])</f>
        <v>1657.9000000000003</v>
      </c>
      <c r="AH361">
        <f>SUM(Table1_1[[#This Row],[Health]:[Personal care and effects]])</f>
        <v>264.39999999999998</v>
      </c>
      <c r="AI361">
        <f>SUM(Table1_1[[#This Row],[Recreation and amusement]:[Miscellaneous]])</f>
        <v>697.40000000000009</v>
      </c>
      <c r="AJ361">
        <f>SUM(Table1_1[[#This Row],[Fuel and light]])</f>
        <v>136.5</v>
      </c>
      <c r="AK361">
        <f>SUM(Table1_1[[#This Row],[Food]:[Luxury &amp;Other Thing]])</f>
        <v>4802.8000000000011</v>
      </c>
      <c r="AL361">
        <f>SUM(Table1_1[[#This Row],[Food]:[Luxury &amp;Other Thing]])</f>
        <v>4802.8000000000011</v>
      </c>
    </row>
    <row r="362" spans="1:38" x14ac:dyDescent="0.25">
      <c r="A362" t="s">
        <v>30</v>
      </c>
      <c r="B362" t="s">
        <v>37</v>
      </c>
      <c r="C362">
        <v>2020</v>
      </c>
      <c r="D362">
        <v>147.19999999999999</v>
      </c>
      <c r="E362">
        <v>167.1</v>
      </c>
      <c r="F362">
        <v>146.9</v>
      </c>
      <c r="G362">
        <v>155.6</v>
      </c>
      <c r="H362">
        <v>137.1</v>
      </c>
      <c r="I362">
        <v>147.30000000000001</v>
      </c>
      <c r="J362">
        <v>162.69999999999999</v>
      </c>
      <c r="K362">
        <v>150.19999999999999</v>
      </c>
      <c r="L362">
        <v>119.8</v>
      </c>
      <c r="M362">
        <v>158.69999999999999</v>
      </c>
      <c r="N362">
        <v>139.19999999999999</v>
      </c>
      <c r="O362" s="24">
        <v>159.56666666666669</v>
      </c>
      <c r="P362" s="24">
        <v>150.1</v>
      </c>
      <c r="Q362" s="24">
        <v>150.76666666666668</v>
      </c>
      <c r="R362" s="24">
        <v>141.1</v>
      </c>
      <c r="S362" s="24">
        <v>149.30000000000001</v>
      </c>
      <c r="T362" s="24">
        <v>149.5</v>
      </c>
      <c r="U362" s="24">
        <v>146.23333333333335</v>
      </c>
      <c r="V362" s="24">
        <v>154.30000000000001</v>
      </c>
      <c r="W362" s="24">
        <v>145.19999999999999</v>
      </c>
      <c r="X362" s="24">
        <v>130.1</v>
      </c>
      <c r="Y362" s="24">
        <v>144.26666666666668</v>
      </c>
      <c r="Z362" s="24">
        <v>171.66666666666666</v>
      </c>
      <c r="AA362" s="24">
        <v>147.9</v>
      </c>
      <c r="AB362" s="24">
        <v>156.6</v>
      </c>
      <c r="AC362" s="24">
        <v>143.69999999999999</v>
      </c>
      <c r="AD362" s="24">
        <v>148.56666666666669</v>
      </c>
      <c r="AE362" s="24">
        <f>SUM(Table1_1[[#This Row],[Cereals and products]:[Food and beverages]])</f>
        <v>1941.4666666666667</v>
      </c>
      <c r="AF362" s="24">
        <f>SUM(Table1_1[[#This Row],[Clothing and footwear]:[Clothing]])</f>
        <v>441.16666666666669</v>
      </c>
      <c r="AG362" s="24">
        <f>SUM(Table1_1[[#This Row],[Clothing]:[Education]])</f>
        <v>1786.9333333333334</v>
      </c>
      <c r="AH362" s="24">
        <f>SUM(Table1_1[[#This Row],[Health]:[Personal care and effects]])</f>
        <v>299.5</v>
      </c>
      <c r="AI362" s="24">
        <f>SUM(Table1_1[[#This Row],[Recreation and amusement]:[Miscellaneous]])</f>
        <v>764.13333333333344</v>
      </c>
      <c r="AJ362" s="24">
        <f>SUM(Table1_1[[#This Row],[Fuel and light]])</f>
        <v>147.9</v>
      </c>
      <c r="AK362" s="24">
        <f>SUM(Table1_1[[#This Row],[Food]:[Luxury &amp;Other Thing]])</f>
        <v>5233.2</v>
      </c>
      <c r="AL362">
        <f>SUM(Table1_1[[#This Row],[Food]:[Luxury &amp;Other Thing]])</f>
        <v>5233.2</v>
      </c>
    </row>
    <row r="363" spans="1:38" x14ac:dyDescent="0.25">
      <c r="A363" t="s">
        <v>33</v>
      </c>
      <c r="B363" t="s">
        <v>37</v>
      </c>
      <c r="C363">
        <v>2020</v>
      </c>
      <c r="D363">
        <v>151.80000000000001</v>
      </c>
      <c r="E363">
        <v>167.20000000000002</v>
      </c>
      <c r="F363">
        <v>151.9</v>
      </c>
      <c r="G363">
        <v>155.5</v>
      </c>
      <c r="H363">
        <v>131.6</v>
      </c>
      <c r="I363">
        <v>152.9</v>
      </c>
      <c r="J363">
        <v>180</v>
      </c>
      <c r="K363">
        <v>150.80000000000001</v>
      </c>
      <c r="L363">
        <v>121.2</v>
      </c>
      <c r="M363">
        <v>154</v>
      </c>
      <c r="N363">
        <v>133.5</v>
      </c>
      <c r="O363" s="24">
        <v>159.42222222222222</v>
      </c>
      <c r="P363" s="24">
        <v>153.5</v>
      </c>
      <c r="Q363" s="24">
        <v>149.88888888888889</v>
      </c>
      <c r="R363" s="24">
        <v>138.93333333333337</v>
      </c>
      <c r="S363" s="24">
        <v>148.23333333333332</v>
      </c>
      <c r="T363" s="24">
        <v>152.83333333333334</v>
      </c>
      <c r="U363" s="24">
        <v>144.47777777777779</v>
      </c>
      <c r="V363" s="24">
        <v>144.80000000000001</v>
      </c>
      <c r="W363" s="24">
        <v>145.23333333333332</v>
      </c>
      <c r="X363" s="24">
        <v>128.20000000000002</v>
      </c>
      <c r="Y363" s="24">
        <v>141.95555555555555</v>
      </c>
      <c r="Z363" s="24">
        <v>172.05555555555554</v>
      </c>
      <c r="AA363" s="24">
        <v>146.06666666666669</v>
      </c>
      <c r="AB363" s="24">
        <v>155.06666666666669</v>
      </c>
      <c r="AC363" s="24">
        <v>142.06666666666666</v>
      </c>
      <c r="AD363" s="24">
        <v>148.15555555555557</v>
      </c>
      <c r="AE363" s="24">
        <f>SUM(Table1_1[[#This Row],[Cereals and products]:[Food and beverages]])</f>
        <v>1963.3222222222223</v>
      </c>
      <c r="AF363" s="24">
        <f>SUM(Table1_1[[#This Row],[Clothing and footwear]:[Clothing]])</f>
        <v>437.05555555555554</v>
      </c>
      <c r="AG363" s="24">
        <f>SUM(Table1_1[[#This Row],[Clothing]:[Education]])</f>
        <v>1767.7444444444445</v>
      </c>
      <c r="AH363" s="24">
        <f>SUM(Table1_1[[#This Row],[Health]:[Personal care and effects]])</f>
        <v>290.0333333333333</v>
      </c>
      <c r="AI363" s="24">
        <f>SUM(Table1_1[[#This Row],[Recreation and amusement]:[Miscellaneous]])</f>
        <v>757.21111111111122</v>
      </c>
      <c r="AJ363" s="24">
        <f>SUM(Table1_1[[#This Row],[Fuel and light]])</f>
        <v>146.06666666666669</v>
      </c>
      <c r="AK363" s="24">
        <f>SUM(Table1_1[[#This Row],[Food]:[Luxury &amp;Other Thing]])</f>
        <v>5215.3666666666668</v>
      </c>
      <c r="AL363">
        <f>SUM(Table1_1[[#This Row],[Food]:[Luxury &amp;Other Thing]])</f>
        <v>5215.3666666666668</v>
      </c>
    </row>
    <row r="364" spans="1:38" x14ac:dyDescent="0.25">
      <c r="A364" t="s">
        <v>34</v>
      </c>
      <c r="B364" t="s">
        <v>37</v>
      </c>
      <c r="C364">
        <v>2020</v>
      </c>
      <c r="D364">
        <v>148.69999999999999</v>
      </c>
      <c r="E364">
        <v>167.10000000000002</v>
      </c>
      <c r="F364">
        <v>148.80000000000001</v>
      </c>
      <c r="G364">
        <v>155.6</v>
      </c>
      <c r="H364">
        <v>135.1</v>
      </c>
      <c r="I364">
        <v>149.9</v>
      </c>
      <c r="J364">
        <v>168.6</v>
      </c>
      <c r="K364">
        <v>150.4</v>
      </c>
      <c r="L364">
        <v>120.3</v>
      </c>
      <c r="M364">
        <v>157.1</v>
      </c>
      <c r="N364">
        <v>136.80000000000001</v>
      </c>
      <c r="O364" s="24">
        <v>159.52962962962962</v>
      </c>
      <c r="P364" s="24">
        <v>151.4</v>
      </c>
      <c r="Q364" s="24">
        <v>150.61851851851853</v>
      </c>
      <c r="R364" s="24">
        <v>140.64444444444447</v>
      </c>
      <c r="S364" s="24">
        <v>149.11111111111111</v>
      </c>
      <c r="T364" s="24">
        <v>152.2777777777778</v>
      </c>
      <c r="U364" s="24">
        <v>145.7037037037037</v>
      </c>
      <c r="V364" s="24">
        <v>150.69999999999999</v>
      </c>
      <c r="W364" s="24">
        <v>145.21111111111111</v>
      </c>
      <c r="X364" s="24">
        <v>129.4</v>
      </c>
      <c r="Y364" s="24">
        <v>143.3074074074074</v>
      </c>
      <c r="Z364" s="24">
        <v>171.64074074074074</v>
      </c>
      <c r="AA364" s="24">
        <v>147.62222222222223</v>
      </c>
      <c r="AB364" s="24">
        <v>155.92222222222222</v>
      </c>
      <c r="AC364" s="24">
        <v>143.1888888888889</v>
      </c>
      <c r="AD364" s="24">
        <v>148.44074074074075</v>
      </c>
      <c r="AE364" s="24">
        <f>SUM(Table1_1[[#This Row],[Cereals and products]:[Food and beverages]])</f>
        <v>1949.3296296296296</v>
      </c>
      <c r="AF364" s="24">
        <f>SUM(Table1_1[[#This Row],[Clothing and footwear]:[Clothing]])</f>
        <v>440.37407407407409</v>
      </c>
      <c r="AG364" s="24">
        <f>SUM(Table1_1[[#This Row],[Clothing]:[Education]])</f>
        <v>1782.1592592592597</v>
      </c>
      <c r="AH364" s="24">
        <f>SUM(Table1_1[[#This Row],[Health]:[Personal care and effects]])</f>
        <v>295.9111111111111</v>
      </c>
      <c r="AI364" s="24">
        <f>SUM(Table1_1[[#This Row],[Recreation and amusement]:[Miscellaneous]])</f>
        <v>761.68148148148146</v>
      </c>
      <c r="AJ364" s="24">
        <f>SUM(Table1_1[[#This Row],[Fuel and light]])</f>
        <v>147.62222222222223</v>
      </c>
      <c r="AK364" s="24">
        <f>SUM(Table1_1[[#This Row],[Food]:[Luxury &amp;Other Thing]])</f>
        <v>5229.4555555555562</v>
      </c>
      <c r="AL364">
        <f>SUM(Table1_1[[#This Row],[Food]:[Luxury &amp;Other Thing]])</f>
        <v>5229.4555555555562</v>
      </c>
    </row>
    <row r="365" spans="1:38" x14ac:dyDescent="0.25">
      <c r="A365" t="s">
        <v>30</v>
      </c>
      <c r="B365" t="s">
        <v>37</v>
      </c>
      <c r="C365">
        <v>2021</v>
      </c>
      <c r="D365">
        <v>142.69999999999999</v>
      </c>
      <c r="E365">
        <v>195.5</v>
      </c>
      <c r="F365">
        <v>163.4</v>
      </c>
      <c r="G365">
        <v>155</v>
      </c>
      <c r="H365">
        <v>175.2</v>
      </c>
      <c r="I365">
        <v>160.6</v>
      </c>
      <c r="J365">
        <v>135.1</v>
      </c>
      <c r="K365">
        <v>161.1</v>
      </c>
      <c r="L365">
        <v>112.2</v>
      </c>
      <c r="M365">
        <v>164.4</v>
      </c>
      <c r="N365">
        <v>161.9</v>
      </c>
      <c r="O365">
        <v>166.8</v>
      </c>
      <c r="P365">
        <v>155.6</v>
      </c>
      <c r="Q365">
        <v>160.69999999999999</v>
      </c>
      <c r="R365">
        <v>155.1</v>
      </c>
      <c r="S365">
        <v>159.9</v>
      </c>
      <c r="T365">
        <v>139.5</v>
      </c>
      <c r="U365">
        <v>155.5</v>
      </c>
      <c r="V365">
        <v>165.3</v>
      </c>
      <c r="W365">
        <v>154.6</v>
      </c>
      <c r="X365">
        <v>151.69999999999999</v>
      </c>
      <c r="Y365">
        <v>158.6</v>
      </c>
      <c r="Z365">
        <v>186.8</v>
      </c>
      <c r="AA365">
        <v>156</v>
      </c>
      <c r="AB365">
        <v>164.1</v>
      </c>
      <c r="AC365">
        <v>158</v>
      </c>
      <c r="AD365">
        <v>157.6</v>
      </c>
      <c r="AE365">
        <f>SUM(Table1_1[[#This Row],[Cereals and products]:[Food and beverages]])</f>
        <v>2049.5</v>
      </c>
      <c r="AF365">
        <f>SUM(Table1_1[[#This Row],[Clothing and footwear]:[Clothing]])</f>
        <v>475.69999999999993</v>
      </c>
      <c r="AG365">
        <f>SUM(Table1_1[[#This Row],[Clothing]:[Education]])</f>
        <v>1907.7999999999997</v>
      </c>
      <c r="AH365">
        <f>SUM(Table1_1[[#This Row],[Health]:[Personal care and effects]])</f>
        <v>319.89999999999998</v>
      </c>
      <c r="AI365">
        <f>SUM(Table1_1[[#This Row],[Recreation and amusement]:[Miscellaneous]])</f>
        <v>823.5</v>
      </c>
      <c r="AJ365">
        <f>SUM(Table1_1[[#This Row],[Fuel and light]])</f>
        <v>156</v>
      </c>
      <c r="AK365">
        <f>SUM(Table1_1[[#This Row],[Food]:[Luxury &amp;Other Thing]])</f>
        <v>5576.4</v>
      </c>
      <c r="AL365">
        <f>SUM(Table1_1[[#This Row],[Food]:[Luxury &amp;Other Thing]])</f>
        <v>5576.4</v>
      </c>
    </row>
    <row r="366" spans="1:38" x14ac:dyDescent="0.25">
      <c r="A366" t="s">
        <v>33</v>
      </c>
      <c r="B366" t="s">
        <v>37</v>
      </c>
      <c r="C366">
        <v>2021</v>
      </c>
      <c r="D366">
        <v>147.6</v>
      </c>
      <c r="E366">
        <v>202.5</v>
      </c>
      <c r="F366">
        <v>166.4</v>
      </c>
      <c r="G366">
        <v>156</v>
      </c>
      <c r="H366">
        <v>161.4</v>
      </c>
      <c r="I366">
        <v>168.8</v>
      </c>
      <c r="J366">
        <v>161.6</v>
      </c>
      <c r="K366">
        <v>162.80000000000001</v>
      </c>
      <c r="L366">
        <v>114.8</v>
      </c>
      <c r="M366">
        <v>162.80000000000001</v>
      </c>
      <c r="N366">
        <v>151.5</v>
      </c>
      <c r="O366">
        <v>171.4</v>
      </c>
      <c r="P366">
        <v>162</v>
      </c>
      <c r="Q366">
        <v>155.9</v>
      </c>
      <c r="R366">
        <v>139.30000000000001</v>
      </c>
      <c r="S366">
        <v>153.4</v>
      </c>
      <c r="T366">
        <v>161.4</v>
      </c>
      <c r="U366">
        <v>147.6</v>
      </c>
      <c r="V366">
        <v>157.5</v>
      </c>
      <c r="W366">
        <v>156.6</v>
      </c>
      <c r="X366">
        <v>142.1</v>
      </c>
      <c r="Y366">
        <v>149.1</v>
      </c>
      <c r="Z366">
        <v>194.4</v>
      </c>
      <c r="AA366">
        <v>154.9</v>
      </c>
      <c r="AB366">
        <v>157.6</v>
      </c>
      <c r="AC366">
        <v>150.5</v>
      </c>
      <c r="AD366">
        <v>158</v>
      </c>
      <c r="AE366">
        <f>SUM(Table1_1[[#This Row],[Cereals and products]:[Food and beverages]])</f>
        <v>2089.6</v>
      </c>
      <c r="AF366">
        <f>SUM(Table1_1[[#This Row],[Clothing and footwear]:[Clothing]])</f>
        <v>448.6</v>
      </c>
      <c r="AG366">
        <f>SUM(Table1_1[[#This Row],[Clothing]:[Education]])</f>
        <v>1869.8</v>
      </c>
      <c r="AH366">
        <f>SUM(Table1_1[[#This Row],[Health]:[Personal care and effects]])</f>
        <v>314.10000000000002</v>
      </c>
      <c r="AI366">
        <f>SUM(Table1_1[[#This Row],[Recreation and amusement]:[Miscellaneous]])</f>
        <v>806.5</v>
      </c>
      <c r="AJ366">
        <f>SUM(Table1_1[[#This Row],[Fuel and light]])</f>
        <v>154.9</v>
      </c>
      <c r="AK366">
        <f>SUM(Table1_1[[#This Row],[Food]:[Luxury &amp;Other Thing]])</f>
        <v>5528.6</v>
      </c>
      <c r="AL366">
        <f>SUM(Table1_1[[#This Row],[Food]:[Luxury &amp;Other Thing]])</f>
        <v>5528.6</v>
      </c>
    </row>
    <row r="367" spans="1:38" x14ac:dyDescent="0.25">
      <c r="A367" t="s">
        <v>34</v>
      </c>
      <c r="B367" t="s">
        <v>37</v>
      </c>
      <c r="C367">
        <v>2021</v>
      </c>
      <c r="D367">
        <v>144.30000000000001</v>
      </c>
      <c r="E367">
        <v>198</v>
      </c>
      <c r="F367">
        <v>164.6</v>
      </c>
      <c r="G367">
        <v>155.4</v>
      </c>
      <c r="H367">
        <v>170.1</v>
      </c>
      <c r="I367">
        <v>164.4</v>
      </c>
      <c r="J367">
        <v>144.1</v>
      </c>
      <c r="K367">
        <v>161.69999999999999</v>
      </c>
      <c r="L367">
        <v>113.1</v>
      </c>
      <c r="M367">
        <v>163.9</v>
      </c>
      <c r="N367">
        <v>157.6</v>
      </c>
      <c r="O367">
        <v>168.9</v>
      </c>
      <c r="P367">
        <v>158</v>
      </c>
      <c r="Q367">
        <v>158.80000000000001</v>
      </c>
      <c r="R367">
        <v>148.5</v>
      </c>
      <c r="S367">
        <v>157.30000000000001</v>
      </c>
      <c r="T367">
        <v>161.4</v>
      </c>
      <c r="U367">
        <v>151.80000000000001</v>
      </c>
      <c r="V367">
        <v>162.30000000000001</v>
      </c>
      <c r="W367">
        <v>155.4</v>
      </c>
      <c r="X367">
        <v>146.6</v>
      </c>
      <c r="Y367">
        <v>153.19999999999999</v>
      </c>
      <c r="Z367">
        <v>188.8</v>
      </c>
      <c r="AA367">
        <v>155.6</v>
      </c>
      <c r="AB367">
        <v>160.30000000000001</v>
      </c>
      <c r="AC367">
        <v>154.4</v>
      </c>
      <c r="AD367">
        <v>157.80000000000001</v>
      </c>
      <c r="AE367">
        <f>SUM(Table1_1[[#This Row],[Cereals and products]:[Food and beverages]])</f>
        <v>2064.1</v>
      </c>
      <c r="AF367">
        <f>SUM(Table1_1[[#This Row],[Clothing and footwear]:[Clothing]])</f>
        <v>464.6</v>
      </c>
      <c r="AG367">
        <f>SUM(Table1_1[[#This Row],[Clothing]:[Education]])</f>
        <v>1899.9999999999998</v>
      </c>
      <c r="AH367">
        <f>SUM(Table1_1[[#This Row],[Health]:[Personal care and effects]])</f>
        <v>317.70000000000005</v>
      </c>
      <c r="AI367">
        <f>SUM(Table1_1[[#This Row],[Recreation and amusement]:[Miscellaneous]])</f>
        <v>812.30000000000007</v>
      </c>
      <c r="AJ367">
        <f>SUM(Table1_1[[#This Row],[Fuel and light]])</f>
        <v>155.6</v>
      </c>
      <c r="AK367">
        <f>SUM(Table1_1[[#This Row],[Food]:[Luxury &amp;Other Thing]])</f>
        <v>5558.7</v>
      </c>
      <c r="AL367">
        <f>SUM(Table1_1[[#This Row],[Food]:[Luxury &amp;Other Thing]])</f>
        <v>5558.7</v>
      </c>
    </row>
    <row r="368" spans="1:38" x14ac:dyDescent="0.25">
      <c r="A368" t="s">
        <v>30</v>
      </c>
      <c r="B368" t="s">
        <v>37</v>
      </c>
      <c r="C368">
        <v>2022</v>
      </c>
      <c r="D368">
        <v>151.80000000000001</v>
      </c>
      <c r="E368">
        <v>209.7</v>
      </c>
      <c r="F368">
        <v>164.5</v>
      </c>
      <c r="G368">
        <v>163.80000000000001</v>
      </c>
      <c r="H368">
        <v>207.4</v>
      </c>
      <c r="I368">
        <v>169.7</v>
      </c>
      <c r="J368">
        <v>153.6</v>
      </c>
      <c r="K368">
        <v>165.1</v>
      </c>
      <c r="L368">
        <v>118.2</v>
      </c>
      <c r="M368">
        <v>182.9</v>
      </c>
      <c r="N368">
        <v>172.4</v>
      </c>
      <c r="O368">
        <v>178.9</v>
      </c>
      <c r="P368">
        <v>168.6</v>
      </c>
      <c r="Q368">
        <v>177.5</v>
      </c>
      <c r="R368">
        <v>175.1</v>
      </c>
      <c r="S368">
        <v>177.1</v>
      </c>
      <c r="T368">
        <v>139.5</v>
      </c>
      <c r="U368">
        <v>167.7</v>
      </c>
      <c r="V368">
        <v>177</v>
      </c>
      <c r="W368">
        <v>169</v>
      </c>
      <c r="X368">
        <v>166.2</v>
      </c>
      <c r="Y368">
        <v>167.2</v>
      </c>
      <c r="Z368">
        <v>192.8</v>
      </c>
      <c r="AA368">
        <v>173.3</v>
      </c>
      <c r="AB368">
        <v>170.9</v>
      </c>
      <c r="AC368">
        <v>170.2</v>
      </c>
      <c r="AD368">
        <v>170.8</v>
      </c>
      <c r="AE368">
        <f>SUM(Table1_1[[#This Row],[Cereals and products]:[Food and beverages]])</f>
        <v>2206.6</v>
      </c>
      <c r="AF368">
        <f>SUM(Table1_1[[#This Row],[Clothing and footwear]:[Clothing]])</f>
        <v>529.70000000000005</v>
      </c>
      <c r="AG368">
        <f>SUM(Table1_1[[#This Row],[Clothing]:[Education]])</f>
        <v>2053.3000000000002</v>
      </c>
      <c r="AH368">
        <f>SUM(Table1_1[[#This Row],[Health]:[Personal care and effects]])</f>
        <v>346</v>
      </c>
      <c r="AI368">
        <f>SUM(Table1_1[[#This Row],[Recreation and amusement]:[Miscellaneous]])</f>
        <v>874.39999999999986</v>
      </c>
      <c r="AJ368">
        <f>SUM(Table1_1[[#This Row],[Fuel and light]])</f>
        <v>173.3</v>
      </c>
      <c r="AK368">
        <f>SUM(Table1_1[[#This Row],[Food]:[Luxury &amp;Other Thing]])</f>
        <v>6010</v>
      </c>
      <c r="AL368">
        <f>SUM(Table1_1[[#This Row],[Food]:[Luxury &amp;Other Thing]])</f>
        <v>6010</v>
      </c>
    </row>
    <row r="369" spans="1:38" x14ac:dyDescent="0.25">
      <c r="A369" t="s">
        <v>33</v>
      </c>
      <c r="B369" t="s">
        <v>37</v>
      </c>
      <c r="C369">
        <v>2022</v>
      </c>
      <c r="D369">
        <v>155.4</v>
      </c>
      <c r="E369">
        <v>215.8</v>
      </c>
      <c r="F369">
        <v>164.6</v>
      </c>
      <c r="G369">
        <v>164.2</v>
      </c>
      <c r="H369">
        <v>186</v>
      </c>
      <c r="I369">
        <v>175.9</v>
      </c>
      <c r="J369">
        <v>190.7</v>
      </c>
      <c r="K369">
        <v>164</v>
      </c>
      <c r="L369">
        <v>120.5</v>
      </c>
      <c r="M369">
        <v>178</v>
      </c>
      <c r="N369">
        <v>157.5</v>
      </c>
      <c r="O369">
        <v>183.3</v>
      </c>
      <c r="P369">
        <v>174.5</v>
      </c>
      <c r="Q369">
        <v>168.4</v>
      </c>
      <c r="R369">
        <v>154.5</v>
      </c>
      <c r="S369">
        <v>166.3</v>
      </c>
      <c r="T369">
        <v>167</v>
      </c>
      <c r="U369">
        <v>159.80000000000001</v>
      </c>
      <c r="V369">
        <v>169</v>
      </c>
      <c r="W369">
        <v>168.4</v>
      </c>
      <c r="X369">
        <v>159.30000000000001</v>
      </c>
      <c r="Y369">
        <v>162.19999999999999</v>
      </c>
      <c r="Z369">
        <v>197.1</v>
      </c>
      <c r="AA369">
        <v>170.5</v>
      </c>
      <c r="AB369">
        <v>164</v>
      </c>
      <c r="AC369">
        <v>163.1</v>
      </c>
      <c r="AD369">
        <v>169.2</v>
      </c>
      <c r="AE369">
        <f>SUM(Table1_1[[#This Row],[Cereals and products]:[Food and beverages]])</f>
        <v>2230.4</v>
      </c>
      <c r="AF369">
        <f>SUM(Table1_1[[#This Row],[Clothing and footwear]:[Clothing]])</f>
        <v>489.2</v>
      </c>
      <c r="AG369">
        <f>SUM(Table1_1[[#This Row],[Clothing]:[Education]])</f>
        <v>2006.5</v>
      </c>
      <c r="AH369">
        <f>SUM(Table1_1[[#This Row],[Health]:[Personal care and effects]])</f>
        <v>337.4</v>
      </c>
      <c r="AI369">
        <f>SUM(Table1_1[[#This Row],[Recreation and amusement]:[Miscellaneous]])</f>
        <v>856.9</v>
      </c>
      <c r="AJ369">
        <f>SUM(Table1_1[[#This Row],[Fuel and light]])</f>
        <v>170.5</v>
      </c>
      <c r="AK369">
        <f>SUM(Table1_1[[#This Row],[Food]:[Luxury &amp;Other Thing]])</f>
        <v>5920.4</v>
      </c>
      <c r="AL369">
        <f>SUM(Table1_1[[#This Row],[Food]:[Luxury &amp;Other Thing]])</f>
        <v>5920.4</v>
      </c>
    </row>
    <row r="370" spans="1:38" x14ac:dyDescent="0.25">
      <c r="A370" t="s">
        <v>34</v>
      </c>
      <c r="B370" t="s">
        <v>37</v>
      </c>
      <c r="C370">
        <v>2022</v>
      </c>
      <c r="D370">
        <v>152.9</v>
      </c>
      <c r="E370">
        <v>211.8</v>
      </c>
      <c r="F370">
        <v>164.5</v>
      </c>
      <c r="G370">
        <v>163.9</v>
      </c>
      <c r="H370">
        <v>199.5</v>
      </c>
      <c r="I370">
        <v>172.6</v>
      </c>
      <c r="J370">
        <v>166.2</v>
      </c>
      <c r="K370">
        <v>164.7</v>
      </c>
      <c r="L370">
        <v>119</v>
      </c>
      <c r="M370">
        <v>181.3</v>
      </c>
      <c r="N370">
        <v>166.2</v>
      </c>
      <c r="O370">
        <v>180.9</v>
      </c>
      <c r="P370">
        <v>170.8</v>
      </c>
      <c r="Q370">
        <v>173.9</v>
      </c>
      <c r="R370">
        <v>166.5</v>
      </c>
      <c r="S370">
        <v>172.8</v>
      </c>
      <c r="T370">
        <v>167</v>
      </c>
      <c r="U370">
        <v>164</v>
      </c>
      <c r="V370">
        <v>174</v>
      </c>
      <c r="W370">
        <v>168.8</v>
      </c>
      <c r="X370">
        <v>162.6</v>
      </c>
      <c r="Y370">
        <v>164.4</v>
      </c>
      <c r="Z370">
        <v>193.9</v>
      </c>
      <c r="AA370">
        <v>172.2</v>
      </c>
      <c r="AB370">
        <v>166.9</v>
      </c>
      <c r="AC370">
        <v>166.8</v>
      </c>
      <c r="AD370">
        <v>170.1</v>
      </c>
      <c r="AE370">
        <f>SUM(Table1_1[[#This Row],[Cereals and products]:[Food and beverages]])</f>
        <v>2214.3000000000002</v>
      </c>
      <c r="AF370">
        <f>SUM(Table1_1[[#This Row],[Clothing and footwear]:[Clothing]])</f>
        <v>513.20000000000005</v>
      </c>
      <c r="AG370">
        <f>SUM(Table1_1[[#This Row],[Clothing]:[Education]])</f>
        <v>2047.0000000000002</v>
      </c>
      <c r="AH370">
        <f>SUM(Table1_1[[#This Row],[Health]:[Personal care and effects]])</f>
        <v>342.8</v>
      </c>
      <c r="AI370">
        <f>SUM(Table1_1[[#This Row],[Recreation and amusement]:[Miscellaneous]])</f>
        <v>864.2</v>
      </c>
      <c r="AJ370">
        <f>SUM(Table1_1[[#This Row],[Fuel and light]])</f>
        <v>172.2</v>
      </c>
      <c r="AK370">
        <f>SUM(Table1_1[[#This Row],[Food]:[Luxury &amp;Other Thing]])</f>
        <v>5981.5</v>
      </c>
      <c r="AL370">
        <f>SUM(Table1_1[[#This Row],[Food]:[Luxury &amp;Other Thing]])</f>
        <v>5981.5</v>
      </c>
    </row>
    <row r="371" spans="1:38" x14ac:dyDescent="0.25">
      <c r="A371" t="s">
        <v>30</v>
      </c>
      <c r="B371" t="s">
        <v>37</v>
      </c>
      <c r="C371">
        <v>2023</v>
      </c>
      <c r="D371">
        <v>173.3</v>
      </c>
      <c r="E371">
        <v>206.9</v>
      </c>
      <c r="F371">
        <v>167.9</v>
      </c>
      <c r="G371">
        <v>178.2</v>
      </c>
      <c r="H371">
        <v>178.5</v>
      </c>
      <c r="I371">
        <v>173.7</v>
      </c>
      <c r="J371">
        <v>142.80000000000001</v>
      </c>
      <c r="K371">
        <v>172.8</v>
      </c>
      <c r="L371">
        <v>120.4</v>
      </c>
      <c r="M371">
        <v>215.5</v>
      </c>
      <c r="N371">
        <v>178.2</v>
      </c>
      <c r="O371">
        <v>190.5</v>
      </c>
      <c r="P371">
        <v>175.5</v>
      </c>
      <c r="Q371">
        <v>190.7</v>
      </c>
      <c r="R371">
        <v>187.3</v>
      </c>
      <c r="S371">
        <v>190.2</v>
      </c>
      <c r="T371">
        <v>139.5</v>
      </c>
      <c r="U371">
        <v>179.1</v>
      </c>
      <c r="V371">
        <v>187.2</v>
      </c>
      <c r="W371">
        <v>183.8</v>
      </c>
      <c r="X371">
        <v>169.4</v>
      </c>
      <c r="Y371">
        <v>173.2</v>
      </c>
      <c r="Z371">
        <v>199.5</v>
      </c>
      <c r="AA371">
        <v>181.5</v>
      </c>
      <c r="AB371">
        <v>179.4</v>
      </c>
      <c r="AC371">
        <v>178.9</v>
      </c>
      <c r="AD371">
        <v>178.8</v>
      </c>
      <c r="AE371">
        <f>SUM(Table1_1[[#This Row],[Cereals and products]:[Food and beverages]])</f>
        <v>2274.1999999999998</v>
      </c>
      <c r="AF371">
        <f>SUM(Table1_1[[#This Row],[Clothing and footwear]:[Clothing]])</f>
        <v>568.20000000000005</v>
      </c>
      <c r="AG371">
        <f>SUM(Table1_1[[#This Row],[Clothing]:[Education]])</f>
        <v>2160.8000000000002</v>
      </c>
      <c r="AH371">
        <f>SUM(Table1_1[[#This Row],[Health]:[Personal care and effects]])</f>
        <v>371</v>
      </c>
      <c r="AI371">
        <f>SUM(Table1_1[[#This Row],[Recreation and amusement]:[Miscellaneous]])</f>
        <v>912.5</v>
      </c>
      <c r="AJ371">
        <f>SUM(Table1_1[[#This Row],[Fuel and light]])</f>
        <v>181.5</v>
      </c>
      <c r="AK371">
        <f>SUM(Table1_1[[#This Row],[Food]:[Luxury &amp;Other Thing]])</f>
        <v>6286.7</v>
      </c>
      <c r="AL371">
        <f>SUM(Table1_1[[#This Row],[Food]:[Luxury &amp;Other Thing]])</f>
        <v>6286.7</v>
      </c>
    </row>
    <row r="372" spans="1:38" x14ac:dyDescent="0.25">
      <c r="A372" t="s">
        <v>33</v>
      </c>
      <c r="B372" t="s">
        <v>37</v>
      </c>
      <c r="C372">
        <v>2023</v>
      </c>
      <c r="D372">
        <v>174.8</v>
      </c>
      <c r="E372">
        <v>213.7</v>
      </c>
      <c r="F372">
        <v>172.4</v>
      </c>
      <c r="G372">
        <v>178.8</v>
      </c>
      <c r="H372">
        <v>168.7</v>
      </c>
      <c r="I372">
        <v>179.2</v>
      </c>
      <c r="J372">
        <v>179.9</v>
      </c>
      <c r="K372">
        <v>174.7</v>
      </c>
      <c r="L372">
        <v>123.1</v>
      </c>
      <c r="M372">
        <v>207.8</v>
      </c>
      <c r="N372">
        <v>165.5</v>
      </c>
      <c r="O372">
        <v>197</v>
      </c>
      <c r="P372">
        <v>182.1</v>
      </c>
      <c r="Q372">
        <v>181</v>
      </c>
      <c r="R372">
        <v>167.7</v>
      </c>
      <c r="S372">
        <v>178.9</v>
      </c>
      <c r="T372">
        <v>175.2</v>
      </c>
      <c r="U372">
        <v>169.6</v>
      </c>
      <c r="V372">
        <v>181.5</v>
      </c>
      <c r="W372">
        <v>184.4</v>
      </c>
      <c r="X372">
        <v>160.1</v>
      </c>
      <c r="Y372">
        <v>168.8</v>
      </c>
      <c r="Z372">
        <v>203.5</v>
      </c>
      <c r="AA372">
        <v>182.1</v>
      </c>
      <c r="AB372">
        <v>174.2</v>
      </c>
      <c r="AC372">
        <v>170.9</v>
      </c>
      <c r="AD372">
        <v>177.4</v>
      </c>
      <c r="AE372">
        <f>SUM(Table1_1[[#This Row],[Cereals and products]:[Food and beverages]])</f>
        <v>2317.7000000000003</v>
      </c>
      <c r="AF372">
        <f>SUM(Table1_1[[#This Row],[Clothing and footwear]:[Clothing]])</f>
        <v>527.6</v>
      </c>
      <c r="AG372">
        <f>SUM(Table1_1[[#This Row],[Clothing]:[Education]])</f>
        <v>2127</v>
      </c>
      <c r="AH372">
        <f>SUM(Table1_1[[#This Row],[Health]:[Personal care and effects]])</f>
        <v>365.9</v>
      </c>
      <c r="AI372">
        <f>SUM(Table1_1[[#This Row],[Recreation and amusement]:[Miscellaneous]])</f>
        <v>899.49999999999989</v>
      </c>
      <c r="AJ372">
        <f>SUM(Table1_1[[#This Row],[Fuel and light]])</f>
        <v>182.1</v>
      </c>
      <c r="AK372">
        <f>SUM(Table1_1[[#This Row],[Food]:[Luxury &amp;Other Thing]])</f>
        <v>6237.7</v>
      </c>
      <c r="AL372">
        <f>SUM(Table1_1[[#This Row],[Food]:[Luxury &amp;Other Thing]])</f>
        <v>6237.7</v>
      </c>
    </row>
    <row r="373" spans="1:38" x14ac:dyDescent="0.25">
      <c r="A373" t="s">
        <v>34</v>
      </c>
      <c r="B373" t="s">
        <v>37</v>
      </c>
      <c r="C373">
        <v>2023</v>
      </c>
      <c r="D373">
        <v>173.8</v>
      </c>
      <c r="E373">
        <v>209.3</v>
      </c>
      <c r="F373">
        <v>169.6</v>
      </c>
      <c r="G373">
        <v>178.4</v>
      </c>
      <c r="H373">
        <v>174.9</v>
      </c>
      <c r="I373">
        <v>176.3</v>
      </c>
      <c r="J373">
        <v>155.4</v>
      </c>
      <c r="K373">
        <v>173.4</v>
      </c>
      <c r="L373">
        <v>121.3</v>
      </c>
      <c r="M373">
        <v>212.9</v>
      </c>
      <c r="N373">
        <v>172.9</v>
      </c>
      <c r="O373">
        <v>193.5</v>
      </c>
      <c r="P373">
        <v>177.9</v>
      </c>
      <c r="Q373">
        <v>186.9</v>
      </c>
      <c r="R373">
        <v>179.2</v>
      </c>
      <c r="S373">
        <v>185.7</v>
      </c>
      <c r="T373">
        <v>175.2</v>
      </c>
      <c r="U373">
        <v>174.6</v>
      </c>
      <c r="V373">
        <v>185</v>
      </c>
      <c r="W373">
        <v>184</v>
      </c>
      <c r="X373">
        <v>164.5</v>
      </c>
      <c r="Y373">
        <v>170.7</v>
      </c>
      <c r="Z373">
        <v>200.6</v>
      </c>
      <c r="AA373">
        <v>181.7</v>
      </c>
      <c r="AB373">
        <v>176.4</v>
      </c>
      <c r="AC373">
        <v>175</v>
      </c>
      <c r="AD373">
        <v>178.1</v>
      </c>
      <c r="AE373">
        <f>SUM(Table1_1[[#This Row],[Cereals and products]:[Food and beverages]])</f>
        <v>2289.6000000000004</v>
      </c>
      <c r="AF373">
        <f>SUM(Table1_1[[#This Row],[Clothing and footwear]:[Clothing]])</f>
        <v>551.79999999999995</v>
      </c>
      <c r="AG373">
        <f>SUM(Table1_1[[#This Row],[Clothing]:[Education]])</f>
        <v>2164.5</v>
      </c>
      <c r="AH373">
        <f>SUM(Table1_1[[#This Row],[Health]:[Personal care and effects]])</f>
        <v>369</v>
      </c>
      <c r="AI373">
        <f>SUM(Table1_1[[#This Row],[Recreation and amusement]:[Miscellaneous]])</f>
        <v>904.4</v>
      </c>
      <c r="AJ373">
        <f>SUM(Table1_1[[#This Row],[Fuel and light]])</f>
        <v>181.7</v>
      </c>
      <c r="AK373">
        <f>SUM(Table1_1[[#This Row],[Food]:[Luxury &amp;Other Thing]])</f>
        <v>6279.3</v>
      </c>
      <c r="AL373">
        <f>SUM(Table1_1[[#This Row],[Food]:[Luxury &amp;Other Thing]])</f>
        <v>6279.3</v>
      </c>
    </row>
  </sheetData>
  <phoneticPr fontId="20"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6FBE-9D9C-4300-864A-36CC031F3BC7}">
  <dimension ref="A2:CA59"/>
  <sheetViews>
    <sheetView showGridLines="0" topLeftCell="S1" zoomScaleNormal="100" workbookViewId="0">
      <selection activeCell="BX17" sqref="BX17"/>
    </sheetView>
  </sheetViews>
  <sheetFormatPr defaultRowHeight="15" x14ac:dyDescent="0.25"/>
  <cols>
    <col min="1" max="1" width="15.5703125" customWidth="1"/>
    <col min="2" max="2" width="26.42578125" bestFit="1" customWidth="1"/>
    <col min="3" max="3" width="23.42578125" bestFit="1" customWidth="1"/>
    <col min="4" max="4" width="14.85546875" bestFit="1" customWidth="1"/>
    <col min="5" max="5" width="17.42578125" bestFit="1" customWidth="1"/>
    <col min="6" max="6" width="26.42578125" bestFit="1" customWidth="1"/>
    <col min="7" max="7" width="18.28515625" bestFit="1" customWidth="1"/>
    <col min="8" max="8" width="9.7109375" bestFit="1" customWidth="1"/>
    <col min="9" max="9" width="22.140625" bestFit="1" customWidth="1"/>
    <col min="10" max="10" width="16.85546875" bestFit="1" customWidth="1"/>
    <col min="11" max="11" width="10.85546875" bestFit="1" customWidth="1"/>
    <col min="12" max="12" width="16" bestFit="1" customWidth="1"/>
    <col min="13" max="13" width="23.85546875" bestFit="1" customWidth="1"/>
    <col min="14" max="14" width="38.42578125" bestFit="1" customWidth="1"/>
    <col min="15" max="15" width="28" bestFit="1" customWidth="1"/>
    <col min="16" max="16" width="11.42578125" bestFit="1" customWidth="1"/>
    <col min="17" max="17" width="28.28515625" bestFit="1" customWidth="1"/>
    <col min="18" max="18" width="24" bestFit="1" customWidth="1"/>
    <col min="19" max="19" width="16" customWidth="1"/>
    <col min="20" max="20" width="17" customWidth="1"/>
    <col min="21" max="21" width="6" bestFit="1" customWidth="1"/>
    <col min="22" max="22" width="14.5703125" bestFit="1" customWidth="1"/>
    <col min="23" max="23" width="19.5703125" customWidth="1"/>
    <col min="24" max="24" width="16.140625" customWidth="1"/>
    <col min="25" max="25" width="7.85546875" customWidth="1"/>
    <col min="26" max="26" width="13.5703125" customWidth="1"/>
    <col min="27" max="27" width="11.7109375" customWidth="1"/>
    <col min="28" max="28" width="8" customWidth="1"/>
    <col min="29" max="29" width="10" customWidth="1"/>
    <col min="30" max="30" width="16.140625" customWidth="1"/>
    <col min="31" max="31" width="21.28515625" customWidth="1"/>
    <col min="32" max="32" width="20.7109375" customWidth="1"/>
    <col min="33" max="33" width="9.7109375" customWidth="1"/>
    <col min="34" max="34" width="13.28515625" customWidth="1"/>
    <col min="35" max="35" width="16.85546875" customWidth="1"/>
    <col min="36" max="36" width="9" customWidth="1"/>
    <col min="37" max="37" width="15.85546875" customWidth="1"/>
    <col min="38" max="38" width="12.5703125" bestFit="1" customWidth="1"/>
    <col min="39" max="39" width="14.7109375" customWidth="1"/>
    <col min="40" max="40" width="6" bestFit="1" customWidth="1"/>
    <col min="41" max="41" width="14.5703125" bestFit="1" customWidth="1"/>
    <col min="42" max="42" width="12" bestFit="1" customWidth="1"/>
    <col min="43" max="43" width="17.42578125" bestFit="1" customWidth="1"/>
    <col min="44" max="44" width="23.42578125" bestFit="1" customWidth="1"/>
    <col min="45" max="45" width="16.42578125" bestFit="1" customWidth="1"/>
    <col min="46" max="46" width="12" bestFit="1" customWidth="1"/>
    <col min="47" max="47" width="14.5703125" bestFit="1" customWidth="1"/>
    <col min="48" max="48" width="12.28515625" bestFit="1" customWidth="1"/>
    <col min="49" max="49" width="28.85546875" bestFit="1" customWidth="1"/>
    <col min="50" max="50" width="10.85546875" bestFit="1" customWidth="1"/>
    <col min="51" max="51" width="12.5703125" bestFit="1" customWidth="1"/>
    <col min="52" max="52" width="16.42578125" bestFit="1" customWidth="1"/>
    <col min="53" max="53" width="11.85546875" customWidth="1"/>
    <col min="54" max="54" width="14.5703125" bestFit="1" customWidth="1"/>
    <col min="55" max="55" width="13.7109375" bestFit="1" customWidth="1"/>
    <col min="56" max="56" width="28.85546875" bestFit="1" customWidth="1"/>
    <col min="57" max="57" width="14.5703125" bestFit="1" customWidth="1"/>
    <col min="58" max="58" width="12" bestFit="1" customWidth="1"/>
    <col min="59" max="59" width="26.42578125" bestFit="1" customWidth="1"/>
    <col min="60" max="60" width="23.42578125" bestFit="1" customWidth="1"/>
    <col min="61" max="61" width="17.42578125" bestFit="1" customWidth="1"/>
    <col min="62" max="62" width="26.42578125" bestFit="1" customWidth="1"/>
    <col min="63" max="63" width="13.7109375" bestFit="1" customWidth="1"/>
    <col min="64" max="64" width="6" bestFit="1" customWidth="1"/>
    <col min="65" max="65" width="14.5703125" bestFit="1" customWidth="1"/>
    <col min="66" max="66" width="14.28515625" bestFit="1" customWidth="1"/>
    <col min="67" max="67" width="26.42578125" bestFit="1" customWidth="1"/>
    <col min="68" max="68" width="23.42578125" bestFit="1" customWidth="1"/>
    <col min="69" max="69" width="17.42578125" bestFit="1" customWidth="1"/>
    <col min="70" max="70" width="26.42578125" bestFit="1" customWidth="1"/>
    <col min="71" max="71" width="13.7109375" bestFit="1" customWidth="1"/>
    <col min="72" max="72" width="6" bestFit="1" customWidth="1"/>
    <col min="73" max="73" width="15.140625" customWidth="1"/>
    <col min="74" max="74" width="14.140625" bestFit="1" customWidth="1"/>
    <col min="75" max="75" width="22" customWidth="1"/>
    <col min="76" max="76" width="23.42578125" bestFit="1" customWidth="1"/>
    <col min="77" max="77" width="17.42578125" bestFit="1" customWidth="1"/>
    <col min="78" max="78" width="26.42578125" bestFit="1" customWidth="1"/>
    <col min="79" max="79" width="13.7109375" bestFit="1" customWidth="1"/>
    <col min="80" max="109" width="7" bestFit="1" customWidth="1"/>
    <col min="110" max="110" width="23.42578125" bestFit="1" customWidth="1"/>
    <col min="111" max="145" width="7" bestFit="1" customWidth="1"/>
    <col min="146" max="146" width="17.42578125" bestFit="1" customWidth="1"/>
    <col min="147" max="147" width="6" bestFit="1" customWidth="1"/>
    <col min="148" max="181" width="7" bestFit="1" customWidth="1"/>
    <col min="182" max="182" width="26.42578125" bestFit="1" customWidth="1"/>
    <col min="183" max="183" width="6" bestFit="1" customWidth="1"/>
    <col min="184" max="217" width="7" bestFit="1" customWidth="1"/>
    <col min="218" max="218" width="13.7109375" bestFit="1" customWidth="1"/>
    <col min="219" max="219" width="6" bestFit="1" customWidth="1"/>
    <col min="220" max="253" width="7" bestFit="1" customWidth="1"/>
    <col min="254" max="254" width="31.42578125" bestFit="1" customWidth="1"/>
    <col min="255" max="255" width="28.42578125" bestFit="1" customWidth="1"/>
    <col min="256" max="256" width="22.42578125" bestFit="1" customWidth="1"/>
    <col min="257" max="257" width="31.42578125" bestFit="1" customWidth="1"/>
    <col min="258" max="258" width="18.7109375" bestFit="1" customWidth="1"/>
    <col min="259" max="281" width="6" bestFit="1" customWidth="1"/>
    <col min="282" max="282" width="17.85546875" bestFit="1" customWidth="1"/>
    <col min="283" max="289" width="6" bestFit="1" customWidth="1"/>
    <col min="290" max="290" width="4" bestFit="1" customWidth="1"/>
    <col min="291" max="327" width="6" bestFit="1" customWidth="1"/>
    <col min="328" max="328" width="25.7109375" bestFit="1" customWidth="1"/>
    <col min="329" max="373" width="6" bestFit="1" customWidth="1"/>
    <col min="374" max="374" width="29.85546875" bestFit="1" customWidth="1"/>
    <col min="375" max="411" width="6" bestFit="1" customWidth="1"/>
    <col min="412" max="412" width="4" bestFit="1" customWidth="1"/>
    <col min="413" max="419" width="6" bestFit="1" customWidth="1"/>
    <col min="420" max="420" width="13.28515625" bestFit="1" customWidth="1"/>
    <col min="421" max="465" width="6" bestFit="1" customWidth="1"/>
    <col min="466" max="466" width="30.140625" bestFit="1" customWidth="1"/>
    <col min="467" max="511" width="6" bestFit="1" customWidth="1"/>
    <col min="512" max="512" width="25.85546875" bestFit="1" customWidth="1"/>
    <col min="513" max="549" width="6" bestFit="1" customWidth="1"/>
    <col min="550" max="550" width="4" bestFit="1" customWidth="1"/>
    <col min="551" max="557" width="6" bestFit="1" customWidth="1"/>
    <col min="558" max="558" width="31.5703125" bestFit="1" customWidth="1"/>
    <col min="559" max="559" width="25" bestFit="1" customWidth="1"/>
    <col min="560" max="560" width="15.5703125" bestFit="1" customWidth="1"/>
    <col min="561" max="561" width="28.85546875" bestFit="1" customWidth="1"/>
    <col min="562" max="562" width="23.7109375" bestFit="1" customWidth="1"/>
    <col min="563" max="563" width="17.7109375" bestFit="1" customWidth="1"/>
    <col min="564" max="564" width="22.85546875" bestFit="1" customWidth="1"/>
    <col min="565" max="565" width="30.7109375" bestFit="1" customWidth="1"/>
    <col min="566" max="566" width="34.85546875" bestFit="1" customWidth="1"/>
    <col min="567" max="567" width="18.28515625" bestFit="1" customWidth="1"/>
    <col min="568" max="568" width="35.140625" bestFit="1" customWidth="1"/>
    <col min="569" max="569" width="30.85546875" bestFit="1" customWidth="1"/>
  </cols>
  <sheetData>
    <row r="2" spans="1:79" x14ac:dyDescent="0.25">
      <c r="A2" s="7" t="s">
        <v>92</v>
      </c>
      <c r="B2" s="7" t="s">
        <v>66</v>
      </c>
      <c r="C2" s="7" t="s">
        <v>67</v>
      </c>
      <c r="D2" s="7" t="s">
        <v>68</v>
      </c>
      <c r="E2" s="7" t="s">
        <v>69</v>
      </c>
      <c r="F2" s="7" t="s">
        <v>70</v>
      </c>
      <c r="G2" s="22" t="s">
        <v>151</v>
      </c>
    </row>
    <row r="3" spans="1:79" x14ac:dyDescent="0.25">
      <c r="A3" s="7">
        <v>679479.85871056223</v>
      </c>
      <c r="B3" s="7">
        <v>156472.14677640618</v>
      </c>
      <c r="C3" s="7">
        <v>618984.39519890305</v>
      </c>
      <c r="D3" s="7">
        <v>50825.606995884758</v>
      </c>
      <c r="E3" s="7">
        <v>101238.20905349798</v>
      </c>
      <c r="F3" s="7">
        <v>261167.38737997256</v>
      </c>
      <c r="G3" s="7">
        <f>SUM(A3:F3)</f>
        <v>1868167.6041152268</v>
      </c>
    </row>
    <row r="4" spans="1:79" x14ac:dyDescent="0.25">
      <c r="A4" s="23">
        <f>A3/$G$3</f>
        <v>0.36371461383539361</v>
      </c>
      <c r="B4" s="23">
        <f t="shared" ref="B4:F4" si="0">B3/$G$3</f>
        <v>8.3757017535111444E-2</v>
      </c>
      <c r="C4" s="23">
        <f t="shared" si="0"/>
        <v>0.33133236752173373</v>
      </c>
      <c r="D4" s="23">
        <f t="shared" si="0"/>
        <v>2.7206128017596157E-2</v>
      </c>
      <c r="E4" s="23">
        <f t="shared" si="0"/>
        <v>5.4191181150175703E-2</v>
      </c>
      <c r="F4" s="23">
        <f t="shared" si="0"/>
        <v>0.13979869193998934</v>
      </c>
      <c r="G4" s="23">
        <v>1</v>
      </c>
    </row>
    <row r="6" spans="1:79" x14ac:dyDescent="0.25">
      <c r="A6" s="30" t="s">
        <v>106</v>
      </c>
      <c r="B6" s="30" t="s">
        <v>108</v>
      </c>
      <c r="C6" s="44"/>
      <c r="D6" s="46"/>
      <c r="F6" s="45" t="s">
        <v>123</v>
      </c>
      <c r="G6" s="36" t="s">
        <v>122</v>
      </c>
      <c r="H6" s="36" t="s">
        <v>121</v>
      </c>
      <c r="I6" s="36" t="s">
        <v>120</v>
      </c>
      <c r="J6" s="36" t="s">
        <v>119</v>
      </c>
      <c r="K6" s="36" t="s">
        <v>118</v>
      </c>
      <c r="L6" s="36" t="s">
        <v>117</v>
      </c>
      <c r="M6" s="36" t="s">
        <v>116</v>
      </c>
      <c r="N6" s="36" t="s">
        <v>115</v>
      </c>
      <c r="O6" s="36" t="s">
        <v>114</v>
      </c>
      <c r="P6" s="36" t="s">
        <v>113</v>
      </c>
      <c r="Q6" s="36" t="s">
        <v>112</v>
      </c>
      <c r="R6" s="36" t="s">
        <v>111</v>
      </c>
      <c r="S6" s="36" t="s">
        <v>110</v>
      </c>
      <c r="T6" s="31" t="s">
        <v>124</v>
      </c>
    </row>
    <row r="7" spans="1:79" ht="15.75" x14ac:dyDescent="0.25">
      <c r="A7" s="30" t="s">
        <v>107</v>
      </c>
      <c r="B7" s="7" t="s">
        <v>34</v>
      </c>
      <c r="C7" s="44" t="s">
        <v>105</v>
      </c>
      <c r="D7" s="32" t="s">
        <v>147</v>
      </c>
      <c r="F7" s="37">
        <v>2022</v>
      </c>
      <c r="G7" s="7">
        <v>5698</v>
      </c>
      <c r="H7" s="7">
        <v>7571.7</v>
      </c>
      <c r="I7" s="7">
        <v>6235.6</v>
      </c>
      <c r="J7" s="7">
        <v>5998.9</v>
      </c>
      <c r="K7" s="7">
        <v>6865.3999999999987</v>
      </c>
      <c r="L7" s="7">
        <v>5925.3999999999987</v>
      </c>
      <c r="M7" s="7">
        <v>6564.9</v>
      </c>
      <c r="N7" s="7">
        <v>5989.4</v>
      </c>
      <c r="O7" s="7">
        <v>6630.9000000000005</v>
      </c>
      <c r="P7" s="7">
        <v>4342.3</v>
      </c>
      <c r="Q7" s="7">
        <v>6776.9999999999991</v>
      </c>
      <c r="R7" s="7">
        <v>6011.8</v>
      </c>
      <c r="S7" s="7">
        <v>6267.7</v>
      </c>
      <c r="T7" s="28">
        <f>SUM(G7:S7)</f>
        <v>80879</v>
      </c>
    </row>
    <row r="8" spans="1:79" x14ac:dyDescent="0.25">
      <c r="A8" s="26">
        <v>2016</v>
      </c>
      <c r="B8" s="7">
        <v>54327.1</v>
      </c>
      <c r="C8" s="44">
        <v>54327.1</v>
      </c>
      <c r="D8" s="7"/>
      <c r="F8" s="29" t="s">
        <v>31</v>
      </c>
      <c r="G8" s="7">
        <v>450</v>
      </c>
      <c r="H8" s="7">
        <v>597.69999999999993</v>
      </c>
      <c r="I8" s="7">
        <v>536.9</v>
      </c>
      <c r="J8" s="7">
        <v>481.4</v>
      </c>
      <c r="K8" s="7">
        <v>548.29999999999995</v>
      </c>
      <c r="L8" s="7">
        <v>461.4</v>
      </c>
      <c r="M8" s="7">
        <v>537.09999999999991</v>
      </c>
      <c r="N8" s="7">
        <v>491.70000000000005</v>
      </c>
      <c r="O8" s="7">
        <v>532.1</v>
      </c>
      <c r="P8" s="7">
        <v>360.6</v>
      </c>
      <c r="Q8" s="7">
        <v>515.20000000000005</v>
      </c>
      <c r="R8" s="7">
        <v>490.7</v>
      </c>
      <c r="S8" s="7">
        <v>500.80000000000007</v>
      </c>
      <c r="T8" s="7">
        <f>SUM(G8:S8)</f>
        <v>6503.9000000000005</v>
      </c>
    </row>
    <row r="9" spans="1:79" x14ac:dyDescent="0.25">
      <c r="A9" s="26">
        <v>2017</v>
      </c>
      <c r="B9" s="7">
        <v>56084.69999999999</v>
      </c>
      <c r="C9" s="44">
        <v>56084.69999999999</v>
      </c>
      <c r="D9" s="47">
        <f>(B9-B8)/B8</f>
        <v>3.2352177826535766E-2</v>
      </c>
      <c r="F9" s="29" t="s">
        <v>35</v>
      </c>
      <c r="G9" s="7">
        <v>451.3</v>
      </c>
      <c r="H9" s="7">
        <v>603.9</v>
      </c>
      <c r="I9" s="7">
        <v>527.70000000000005</v>
      </c>
      <c r="J9" s="7">
        <v>481.99999999999994</v>
      </c>
      <c r="K9" s="7">
        <v>549</v>
      </c>
      <c r="L9" s="7">
        <v>461.5</v>
      </c>
      <c r="M9" s="7">
        <v>522.9</v>
      </c>
      <c r="N9" s="7">
        <v>490.79999999999995</v>
      </c>
      <c r="O9" s="7">
        <v>534.29999999999995</v>
      </c>
      <c r="P9" s="7">
        <v>357.6</v>
      </c>
      <c r="Q9" s="7">
        <v>521.9</v>
      </c>
      <c r="R9" s="7">
        <v>491.9</v>
      </c>
      <c r="S9" s="7">
        <v>500.29999999999995</v>
      </c>
      <c r="T9" s="7">
        <f t="shared" ref="T9:T25" si="1">SUM(G9:S9)</f>
        <v>6495.1</v>
      </c>
    </row>
    <row r="10" spans="1:79" x14ac:dyDescent="0.25">
      <c r="A10" s="26">
        <v>2018</v>
      </c>
      <c r="B10" s="7">
        <v>58262.80000000001</v>
      </c>
      <c r="C10" s="44">
        <v>58262.80000000001</v>
      </c>
      <c r="D10" s="47">
        <f t="shared" ref="D10:D15" si="2">(B10-B9)/B9</f>
        <v>3.8835903553019288E-2</v>
      </c>
      <c r="F10" s="29" t="s">
        <v>36</v>
      </c>
      <c r="G10" s="7">
        <v>455.2</v>
      </c>
      <c r="H10" s="7">
        <v>634.5</v>
      </c>
      <c r="I10" s="7">
        <v>503.4</v>
      </c>
      <c r="J10" s="7">
        <v>486.79999999999995</v>
      </c>
      <c r="K10" s="7">
        <v>577.70000000000005</v>
      </c>
      <c r="L10" s="7">
        <v>473.1</v>
      </c>
      <c r="M10" s="7">
        <v>511.1</v>
      </c>
      <c r="N10" s="7">
        <v>491.5</v>
      </c>
      <c r="O10" s="7">
        <v>538.20000000000005</v>
      </c>
      <c r="P10" s="7">
        <v>357.2</v>
      </c>
      <c r="Q10" s="7">
        <v>530.79999999999995</v>
      </c>
      <c r="R10" s="7">
        <v>493.59999999999997</v>
      </c>
      <c r="S10" s="7">
        <v>506.5</v>
      </c>
      <c r="T10" s="7">
        <f t="shared" si="1"/>
        <v>6559.5999999999995</v>
      </c>
    </row>
    <row r="11" spans="1:79" x14ac:dyDescent="0.25">
      <c r="A11" s="26">
        <v>2019</v>
      </c>
      <c r="B11" s="7">
        <v>55367.599999999991</v>
      </c>
      <c r="C11" s="44">
        <v>55367.599999999991</v>
      </c>
      <c r="D11" s="47">
        <f t="shared" si="2"/>
        <v>-4.9692084829428357E-2</v>
      </c>
      <c r="F11" s="29" t="s">
        <v>37</v>
      </c>
      <c r="G11" s="7">
        <v>460.1</v>
      </c>
      <c r="H11" s="7">
        <v>637.29999999999995</v>
      </c>
      <c r="I11" s="7">
        <v>493.6</v>
      </c>
      <c r="J11" s="7">
        <v>491.90000000000003</v>
      </c>
      <c r="K11" s="7">
        <v>592.9</v>
      </c>
      <c r="L11" s="7">
        <v>518.20000000000005</v>
      </c>
      <c r="M11" s="7">
        <v>510.5</v>
      </c>
      <c r="N11" s="7">
        <v>493.79999999999995</v>
      </c>
      <c r="O11" s="7">
        <v>543.1</v>
      </c>
      <c r="P11" s="7">
        <v>357.7</v>
      </c>
      <c r="Q11" s="7">
        <v>542.20000000000005</v>
      </c>
      <c r="R11" s="7">
        <v>496.1</v>
      </c>
      <c r="S11" s="7">
        <v>513.9</v>
      </c>
      <c r="T11" s="7">
        <f t="shared" si="1"/>
        <v>6651.3</v>
      </c>
    </row>
    <row r="12" spans="1:79" x14ac:dyDescent="0.25">
      <c r="A12" s="26">
        <v>2020</v>
      </c>
      <c r="B12" s="7">
        <v>63899.313168724279</v>
      </c>
      <c r="C12" s="44">
        <v>63899.313168724279</v>
      </c>
      <c r="D12" s="47">
        <f t="shared" si="2"/>
        <v>0.15409216163829187</v>
      </c>
      <c r="F12" s="29" t="s">
        <v>38</v>
      </c>
      <c r="G12" s="7">
        <v>463.69999999999993</v>
      </c>
      <c r="H12" s="7">
        <v>652.9</v>
      </c>
      <c r="I12" s="7">
        <v>487.9</v>
      </c>
      <c r="J12" s="7">
        <v>494.9</v>
      </c>
      <c r="K12" s="7">
        <v>601.79999999999995</v>
      </c>
      <c r="L12" s="7">
        <v>513.5</v>
      </c>
      <c r="M12" s="7">
        <v>538.5</v>
      </c>
      <c r="N12" s="7">
        <v>493.79999999999995</v>
      </c>
      <c r="O12" s="7">
        <v>547.79999999999995</v>
      </c>
      <c r="P12" s="7">
        <v>359.8</v>
      </c>
      <c r="Q12" s="7">
        <v>552.9</v>
      </c>
      <c r="R12" s="7">
        <v>498.8</v>
      </c>
      <c r="S12" s="7">
        <v>521.6</v>
      </c>
      <c r="T12" s="7">
        <f t="shared" si="1"/>
        <v>6727.9000000000005</v>
      </c>
    </row>
    <row r="13" spans="1:79" x14ac:dyDescent="0.25">
      <c r="A13" s="26">
        <v>2021</v>
      </c>
      <c r="B13" s="7">
        <v>68159.100000000006</v>
      </c>
      <c r="C13" s="44">
        <v>68159.100000000006</v>
      </c>
      <c r="D13" s="47">
        <f t="shared" si="2"/>
        <v>6.6664047233620238E-2</v>
      </c>
      <c r="F13" s="29" t="s">
        <v>39</v>
      </c>
      <c r="G13" s="7">
        <v>466.3</v>
      </c>
      <c r="H13" s="7">
        <v>660</v>
      </c>
      <c r="I13" s="7">
        <v>513.20000000000005</v>
      </c>
      <c r="J13" s="7">
        <v>497.6</v>
      </c>
      <c r="K13" s="7">
        <v>597.6</v>
      </c>
      <c r="L13" s="7">
        <v>509.59999999999997</v>
      </c>
      <c r="M13" s="7">
        <v>561.1</v>
      </c>
      <c r="N13" s="7">
        <v>492.5</v>
      </c>
      <c r="O13" s="7">
        <v>552.1</v>
      </c>
      <c r="P13" s="7">
        <v>360.4</v>
      </c>
      <c r="Q13" s="7">
        <v>559.5</v>
      </c>
      <c r="R13" s="7">
        <v>501.2</v>
      </c>
      <c r="S13" s="7">
        <v>526.6</v>
      </c>
      <c r="T13" s="7">
        <f t="shared" si="1"/>
        <v>6797.7</v>
      </c>
    </row>
    <row r="14" spans="1:79" x14ac:dyDescent="0.25">
      <c r="A14" s="26">
        <v>2022</v>
      </c>
      <c r="B14" s="7">
        <v>72664.7</v>
      </c>
      <c r="C14" s="44">
        <v>72664.7</v>
      </c>
      <c r="D14" s="47">
        <f t="shared" si="2"/>
        <v>6.6104159239191704E-2</v>
      </c>
      <c r="F14" s="29" t="s">
        <v>40</v>
      </c>
      <c r="G14" s="7">
        <v>471</v>
      </c>
      <c r="H14" s="7">
        <v>640.90000000000009</v>
      </c>
      <c r="I14" s="7">
        <v>526.09999999999991</v>
      </c>
      <c r="J14" s="7">
        <v>500</v>
      </c>
      <c r="K14" s="7">
        <v>582.79999999999995</v>
      </c>
      <c r="L14" s="7">
        <v>523.29999999999995</v>
      </c>
      <c r="M14" s="7">
        <v>559.20000000000005</v>
      </c>
      <c r="N14" s="7">
        <v>492.70000000000005</v>
      </c>
      <c r="O14" s="7">
        <v>556</v>
      </c>
      <c r="P14" s="7">
        <v>360.7</v>
      </c>
      <c r="Q14" s="7">
        <v>568.1</v>
      </c>
      <c r="R14" s="7">
        <v>502.70000000000005</v>
      </c>
      <c r="S14" s="7">
        <v>526.9</v>
      </c>
      <c r="T14" s="7">
        <f t="shared" si="1"/>
        <v>6810.4</v>
      </c>
      <c r="BU14" s="21" t="s">
        <v>0</v>
      </c>
      <c r="BV14" t="s">
        <v>34</v>
      </c>
    </row>
    <row r="15" spans="1:79" x14ac:dyDescent="0.25">
      <c r="A15" s="26">
        <v>2023</v>
      </c>
      <c r="B15" s="7">
        <v>31325.300000000003</v>
      </c>
      <c r="C15" s="44">
        <v>31325.300000000003</v>
      </c>
      <c r="D15" s="47">
        <f t="shared" si="2"/>
        <v>-0.56890622269134805</v>
      </c>
      <c r="F15" s="29" t="s">
        <v>41</v>
      </c>
      <c r="G15" s="7">
        <v>481.9</v>
      </c>
      <c r="H15" s="7">
        <v>621.5</v>
      </c>
      <c r="I15" s="7">
        <v>508.09999999999997</v>
      </c>
      <c r="J15" s="7">
        <v>504.4</v>
      </c>
      <c r="K15" s="7">
        <v>573</v>
      </c>
      <c r="L15" s="7">
        <v>519.20000000000005</v>
      </c>
      <c r="M15" s="7">
        <v>572.9</v>
      </c>
      <c r="N15" s="7">
        <v>501.6</v>
      </c>
      <c r="O15" s="7">
        <v>559.20000000000005</v>
      </c>
      <c r="P15" s="7">
        <v>363.3</v>
      </c>
      <c r="Q15" s="7">
        <v>578.9</v>
      </c>
      <c r="R15" s="7">
        <v>504.1</v>
      </c>
      <c r="S15" s="7">
        <v>530.6</v>
      </c>
      <c r="T15" s="7">
        <f t="shared" si="1"/>
        <v>6818.7000000000007</v>
      </c>
    </row>
    <row r="16" spans="1:79" x14ac:dyDescent="0.25">
      <c r="A16" s="25" t="s">
        <v>105</v>
      </c>
      <c r="B16">
        <v>460090.61316872435</v>
      </c>
      <c r="C16">
        <v>460090.61316872435</v>
      </c>
      <c r="D16" s="48"/>
      <c r="F16" s="29" t="s">
        <v>42</v>
      </c>
      <c r="G16" s="7">
        <v>491.3</v>
      </c>
      <c r="H16" s="7">
        <v>629.59999999999991</v>
      </c>
      <c r="I16" s="7">
        <v>509.59999999999997</v>
      </c>
      <c r="J16" s="7">
        <v>509.3</v>
      </c>
      <c r="K16" s="7">
        <v>562.09999999999991</v>
      </c>
      <c r="L16" s="7">
        <v>497.3</v>
      </c>
      <c r="M16" s="7">
        <v>589.5</v>
      </c>
      <c r="N16" s="7">
        <v>507.29999999999995</v>
      </c>
      <c r="O16" s="7">
        <v>562.6</v>
      </c>
      <c r="P16" s="7">
        <v>365.5</v>
      </c>
      <c r="Q16" s="7">
        <v>590</v>
      </c>
      <c r="R16" s="7">
        <v>505.9</v>
      </c>
      <c r="S16" s="7">
        <v>535.1</v>
      </c>
      <c r="T16" s="7">
        <f t="shared" si="1"/>
        <v>6855.1</v>
      </c>
      <c r="V16" s="21" t="s">
        <v>100</v>
      </c>
      <c r="W16" s="32" t="s">
        <v>3</v>
      </c>
      <c r="X16" s="32" t="s">
        <v>75</v>
      </c>
      <c r="Y16" s="32" t="s">
        <v>5</v>
      </c>
      <c r="Z16" s="32" t="s">
        <v>125</v>
      </c>
      <c r="AA16" s="32" t="s">
        <v>77</v>
      </c>
      <c r="AB16" s="32" t="s">
        <v>8</v>
      </c>
      <c r="AC16" s="32" t="s">
        <v>126</v>
      </c>
      <c r="AD16" s="32" t="s">
        <v>127</v>
      </c>
      <c r="AE16" s="32" t="s">
        <v>128</v>
      </c>
      <c r="AF16" s="32" t="s">
        <v>79</v>
      </c>
      <c r="AG16" s="32" t="s">
        <v>12</v>
      </c>
      <c r="AH16" s="32" t="s">
        <v>129</v>
      </c>
      <c r="AI16" s="32" t="s">
        <v>130</v>
      </c>
      <c r="AK16" s="30" t="s">
        <v>131</v>
      </c>
      <c r="AL16" s="7" t="s">
        <v>132</v>
      </c>
      <c r="AM16" s="31" t="s">
        <v>99</v>
      </c>
      <c r="AO16" s="30" t="s">
        <v>100</v>
      </c>
      <c r="AP16" s="7" t="s">
        <v>92</v>
      </c>
      <c r="AQ16" s="7" t="s">
        <v>69</v>
      </c>
      <c r="AR16" s="7" t="s">
        <v>67</v>
      </c>
      <c r="AS16" s="7" t="s">
        <v>106</v>
      </c>
      <c r="AU16" s="30" t="s">
        <v>100</v>
      </c>
      <c r="AV16" s="7" t="s">
        <v>134</v>
      </c>
      <c r="AW16" s="7" t="s">
        <v>136</v>
      </c>
      <c r="AY16" s="30" t="s">
        <v>1</v>
      </c>
      <c r="AZ16" s="7" t="s">
        <v>106</v>
      </c>
      <c r="BB16" s="21" t="s">
        <v>107</v>
      </c>
      <c r="BC16" t="s">
        <v>68</v>
      </c>
      <c r="BD16" t="s">
        <v>136</v>
      </c>
      <c r="BE16" s="21" t="s">
        <v>137</v>
      </c>
      <c r="BF16" t="s">
        <v>92</v>
      </c>
      <c r="BG16" t="s">
        <v>66</v>
      </c>
      <c r="BH16" t="s">
        <v>67</v>
      </c>
      <c r="BI16" t="s">
        <v>69</v>
      </c>
      <c r="BJ16" t="s">
        <v>70</v>
      </c>
      <c r="BK16" t="s">
        <v>68</v>
      </c>
      <c r="BM16" s="21" t="s">
        <v>107</v>
      </c>
      <c r="BN16" t="s">
        <v>92</v>
      </c>
      <c r="BO16" t="s">
        <v>66</v>
      </c>
      <c r="BP16" t="s">
        <v>67</v>
      </c>
      <c r="BQ16" t="s">
        <v>69</v>
      </c>
      <c r="BR16" t="s">
        <v>70</v>
      </c>
      <c r="BS16" t="s">
        <v>68</v>
      </c>
      <c r="BU16" s="21" t="s">
        <v>137</v>
      </c>
      <c r="BV16" t="s">
        <v>92</v>
      </c>
      <c r="BW16" t="s">
        <v>66</v>
      </c>
      <c r="BX16" t="s">
        <v>67</v>
      </c>
      <c r="BY16" t="s">
        <v>69</v>
      </c>
      <c r="BZ16" t="s">
        <v>70</v>
      </c>
      <c r="CA16" t="s">
        <v>68</v>
      </c>
    </row>
    <row r="17" spans="1:79" x14ac:dyDescent="0.25">
      <c r="F17" s="29" t="s">
        <v>43</v>
      </c>
      <c r="G17" s="7">
        <v>496.3</v>
      </c>
      <c r="H17" s="7">
        <v>634.6</v>
      </c>
      <c r="I17" s="7">
        <v>513.1</v>
      </c>
      <c r="J17" s="7">
        <v>512.79999999999995</v>
      </c>
      <c r="K17" s="7">
        <v>555.79999999999995</v>
      </c>
      <c r="L17" s="7">
        <v>491.7</v>
      </c>
      <c r="M17" s="7">
        <v>613.09999999999991</v>
      </c>
      <c r="N17" s="7">
        <v>509.40000000000003</v>
      </c>
      <c r="O17" s="7">
        <v>565.4</v>
      </c>
      <c r="P17" s="7">
        <v>366.4</v>
      </c>
      <c r="Q17" s="7">
        <v>597.9</v>
      </c>
      <c r="R17" s="7">
        <v>507.3</v>
      </c>
      <c r="S17" s="7">
        <v>540.29999999999995</v>
      </c>
      <c r="T17" s="7">
        <f t="shared" si="1"/>
        <v>6904.0999999999995</v>
      </c>
      <c r="V17" s="26">
        <v>2022</v>
      </c>
      <c r="W17" s="7"/>
      <c r="X17" s="7"/>
      <c r="Y17" s="7"/>
      <c r="Z17" s="7"/>
      <c r="AA17" s="7"/>
      <c r="AB17" s="7"/>
      <c r="AC17" s="7"/>
      <c r="AD17" s="7"/>
      <c r="AE17" s="7"/>
      <c r="AF17" s="7"/>
      <c r="AG17" s="7"/>
      <c r="AH17" s="7"/>
      <c r="AI17" s="7"/>
      <c r="AK17" s="26">
        <v>2022</v>
      </c>
      <c r="AL17" s="7">
        <v>80879</v>
      </c>
      <c r="AM17" s="7"/>
      <c r="AO17" s="26">
        <v>2019</v>
      </c>
      <c r="AP17" s="7">
        <v>60559.8</v>
      </c>
      <c r="AQ17" s="7">
        <v>9353.6</v>
      </c>
      <c r="AR17" s="7">
        <v>57226.5</v>
      </c>
      <c r="AS17" s="7">
        <v>165853.29999999999</v>
      </c>
      <c r="AU17" s="26">
        <v>2021</v>
      </c>
      <c r="AV17" s="7">
        <v>5713.5</v>
      </c>
      <c r="AW17" s="7">
        <v>204222.80000000005</v>
      </c>
      <c r="AY17" s="26">
        <v>2023</v>
      </c>
      <c r="AZ17" s="7">
        <v>93800.5</v>
      </c>
      <c r="BB17" s="25">
        <v>2021</v>
      </c>
      <c r="BC17">
        <v>5713.5</v>
      </c>
      <c r="BD17">
        <v>204222.80000000005</v>
      </c>
      <c r="BE17" s="25">
        <v>2021</v>
      </c>
      <c r="BF17">
        <v>76441.899999999994</v>
      </c>
      <c r="BG17">
        <v>17039.3</v>
      </c>
      <c r="BH17">
        <v>69332.700000000012</v>
      </c>
      <c r="BI17">
        <v>11659.399999999998</v>
      </c>
      <c r="BJ17">
        <v>29749.5</v>
      </c>
      <c r="BK17">
        <v>5713.5</v>
      </c>
      <c r="BM17" s="25">
        <v>2020</v>
      </c>
      <c r="BN17">
        <v>71616.558710562429</v>
      </c>
      <c r="BO17">
        <v>16018.746776406031</v>
      </c>
      <c r="BP17">
        <v>65099.795198902611</v>
      </c>
      <c r="BQ17">
        <v>10939.40905349794</v>
      </c>
      <c r="BR17">
        <v>27844.187379972562</v>
      </c>
      <c r="BS17">
        <v>5183.2069958847733</v>
      </c>
      <c r="BU17" s="25">
        <v>2022</v>
      </c>
      <c r="BV17">
        <v>26918.6</v>
      </c>
      <c r="BW17">
        <v>6280.8</v>
      </c>
      <c r="BX17">
        <v>24841.500000000004</v>
      </c>
      <c r="BY17">
        <v>4145.5999999999995</v>
      </c>
      <c r="BZ17">
        <v>10478.200000000001</v>
      </c>
      <c r="CA17">
        <v>2101.6</v>
      </c>
    </row>
    <row r="18" spans="1:79" x14ac:dyDescent="0.25">
      <c r="A18" s="30" t="s">
        <v>138</v>
      </c>
      <c r="B18" s="30" t="s">
        <v>108</v>
      </c>
      <c r="C18" s="7"/>
      <c r="D18" s="7"/>
      <c r="F18" s="29" t="s">
        <v>45</v>
      </c>
      <c r="G18" s="7">
        <v>502.70000000000005</v>
      </c>
      <c r="H18" s="7">
        <v>630</v>
      </c>
      <c r="I18" s="7">
        <v>544.79999999999995</v>
      </c>
      <c r="J18" s="7">
        <v>516.90000000000009</v>
      </c>
      <c r="K18" s="7">
        <v>562.9</v>
      </c>
      <c r="L18" s="7">
        <v>482.4</v>
      </c>
      <c r="M18" s="7">
        <v>560.20000000000005</v>
      </c>
      <c r="N18" s="7">
        <v>511.7</v>
      </c>
      <c r="O18" s="7">
        <v>568.79999999999995</v>
      </c>
      <c r="P18" s="7">
        <v>367</v>
      </c>
      <c r="Q18" s="7">
        <v>606.40000000000009</v>
      </c>
      <c r="R18" s="7">
        <v>508.9</v>
      </c>
      <c r="S18" s="7">
        <v>536.20000000000005</v>
      </c>
      <c r="T18" s="7">
        <f t="shared" si="1"/>
        <v>6898.9000000000005</v>
      </c>
      <c r="V18" s="29" t="s">
        <v>31</v>
      </c>
      <c r="W18" s="20">
        <f t="shared" ref="W18:W29" si="3">G8/$T$8</f>
        <v>6.918925567736281E-2</v>
      </c>
      <c r="X18" s="20">
        <f t="shared" ref="X18:X29" si="4">H8/$T$8</f>
        <v>9.1898706929688323E-2</v>
      </c>
      <c r="Y18" s="20">
        <f t="shared" ref="Y18:Y29" si="5">I8/$T$8</f>
        <v>8.2550469718169095E-2</v>
      </c>
      <c r="Z18" s="20">
        <f t="shared" ref="Z18:Z29" si="6">J8/$T$8</f>
        <v>7.4017128184627676E-2</v>
      </c>
      <c r="AA18" s="20">
        <f t="shared" ref="AA18:AA29" si="7">K8/$T$8</f>
        <v>8.4303264195328936E-2</v>
      </c>
      <c r="AB18" s="20">
        <f t="shared" ref="AB18:AB29" si="8">L8/$T$8</f>
        <v>7.0942050154522665E-2</v>
      </c>
      <c r="AC18" s="20">
        <f t="shared" ref="AC18:AC29" si="9">M8/$T$8</f>
        <v>8.2581220498470123E-2</v>
      </c>
      <c r="AD18" s="20">
        <f t="shared" ref="AD18:AD29" si="10">N8/$T$8</f>
        <v>7.5600793370131772E-2</v>
      </c>
      <c r="AE18" s="20">
        <f t="shared" ref="AE18:AE29" si="11">O8/$T$8</f>
        <v>8.1812450990943891E-2</v>
      </c>
      <c r="AF18" s="20">
        <f t="shared" ref="AF18:AF29" si="12">P8/$T$8</f>
        <v>5.5443656882793402E-2</v>
      </c>
      <c r="AG18" s="20">
        <f t="shared" ref="AG18:AG29" si="13">Q8/$T$8</f>
        <v>7.9214010055505157E-2</v>
      </c>
      <c r="AH18" s="20">
        <f t="shared" ref="AH18:AH29" si="14">R8/$T$8</f>
        <v>7.5447039468626506E-2</v>
      </c>
      <c r="AI18" s="20">
        <f t="shared" ref="AI18:AI29" si="15">S8/$T$8</f>
        <v>7.6999953873829546E-2</v>
      </c>
      <c r="AK18" s="29" t="s">
        <v>31</v>
      </c>
      <c r="AL18" s="7">
        <v>6503.9</v>
      </c>
      <c r="AM18" s="20">
        <f>AL18/$AL$36</f>
        <v>5.6420390420530951E-2</v>
      </c>
      <c r="AO18" s="29" t="s">
        <v>31</v>
      </c>
      <c r="AP18" s="7">
        <v>5257.3</v>
      </c>
      <c r="AQ18" s="7">
        <v>830.5</v>
      </c>
      <c r="AR18" s="7">
        <v>5127.4000000000005</v>
      </c>
      <c r="AS18" s="7">
        <v>14687.100000000002</v>
      </c>
      <c r="AU18" s="29" t="s">
        <v>31</v>
      </c>
      <c r="AV18" s="7">
        <v>441.70000000000005</v>
      </c>
      <c r="AW18" s="7">
        <v>16510.600000000002</v>
      </c>
      <c r="AY18" s="29" t="s">
        <v>31</v>
      </c>
      <c r="AZ18" s="7">
        <v>18671.599999999999</v>
      </c>
      <c r="BB18" s="27" t="s">
        <v>31</v>
      </c>
      <c r="BC18">
        <v>441.70000000000005</v>
      </c>
      <c r="BD18">
        <v>16510.600000000002</v>
      </c>
      <c r="BE18" s="27" t="s">
        <v>31</v>
      </c>
      <c r="BF18">
        <v>6239.2</v>
      </c>
      <c r="BG18">
        <v>1362.5</v>
      </c>
      <c r="BH18">
        <v>5573.4</v>
      </c>
      <c r="BI18">
        <v>946.59999999999991</v>
      </c>
      <c r="BJ18">
        <v>2388.9</v>
      </c>
      <c r="BK18">
        <v>441.70000000000005</v>
      </c>
      <c r="BM18" s="25">
        <v>2021</v>
      </c>
      <c r="BN18">
        <v>76441.899999999994</v>
      </c>
      <c r="BO18">
        <v>17039.299999999996</v>
      </c>
      <c r="BP18">
        <v>69332.699999999983</v>
      </c>
      <c r="BQ18">
        <v>11659.400000000001</v>
      </c>
      <c r="BR18">
        <v>29749.500000000007</v>
      </c>
      <c r="BS18">
        <v>5713.5</v>
      </c>
      <c r="BU18" s="25" t="s">
        <v>105</v>
      </c>
      <c r="BV18">
        <v>26918.6</v>
      </c>
      <c r="BW18">
        <v>6280.8</v>
      </c>
      <c r="BX18">
        <v>24841.500000000004</v>
      </c>
      <c r="BY18">
        <v>4145.5999999999995</v>
      </c>
      <c r="BZ18">
        <v>10478.200000000001</v>
      </c>
      <c r="CA18">
        <v>2101.6</v>
      </c>
    </row>
    <row r="19" spans="1:79" x14ac:dyDescent="0.25">
      <c r="A19" s="30" t="s">
        <v>107</v>
      </c>
      <c r="B19" s="7" t="s">
        <v>30</v>
      </c>
      <c r="C19" s="7" t="s">
        <v>33</v>
      </c>
      <c r="D19" s="7" t="s">
        <v>105</v>
      </c>
      <c r="F19" s="38" t="s">
        <v>46</v>
      </c>
      <c r="G19" s="7">
        <v>508.2</v>
      </c>
      <c r="H19" s="7">
        <v>628.79999999999995</v>
      </c>
      <c r="I19" s="7">
        <v>571.20000000000005</v>
      </c>
      <c r="J19" s="7">
        <v>520.9</v>
      </c>
      <c r="K19" s="7">
        <v>561.5</v>
      </c>
      <c r="L19" s="7">
        <v>474.2</v>
      </c>
      <c r="M19" s="7">
        <v>488.8</v>
      </c>
      <c r="N19" s="7">
        <v>512.6</v>
      </c>
      <c r="O19" s="7">
        <v>571.29999999999995</v>
      </c>
      <c r="P19" s="7">
        <v>366.09999999999997</v>
      </c>
      <c r="Q19" s="7">
        <v>613.20000000000005</v>
      </c>
      <c r="R19" s="7">
        <v>510.6</v>
      </c>
      <c r="S19" s="7">
        <v>528.9</v>
      </c>
      <c r="T19" s="7">
        <f t="shared" si="1"/>
        <v>6856.3</v>
      </c>
      <c r="V19" s="29" t="s">
        <v>35</v>
      </c>
      <c r="W19" s="20">
        <f t="shared" si="3"/>
        <v>6.9389135749319639E-2</v>
      </c>
      <c r="X19" s="20">
        <f t="shared" si="4"/>
        <v>9.285198111902089E-2</v>
      </c>
      <c r="Y19" s="20">
        <f t="shared" si="5"/>
        <v>8.1135933824320786E-2</v>
      </c>
      <c r="Z19" s="20">
        <f t="shared" si="6"/>
        <v>7.4109380525530816E-2</v>
      </c>
      <c r="AA19" s="20">
        <f t="shared" si="7"/>
        <v>8.4410891926382625E-2</v>
      </c>
      <c r="AB19" s="20">
        <f t="shared" si="8"/>
        <v>7.0957425544673186E-2</v>
      </c>
      <c r="AC19" s="20">
        <f t="shared" si="9"/>
        <v>8.0397915097095582E-2</v>
      </c>
      <c r="AD19" s="20">
        <f t="shared" si="10"/>
        <v>7.5462414858777027E-2</v>
      </c>
      <c r="AE19" s="20">
        <f t="shared" si="11"/>
        <v>8.2150709574255437E-2</v>
      </c>
      <c r="AF19" s="20">
        <f t="shared" si="12"/>
        <v>5.4982395178277646E-2</v>
      </c>
      <c r="AG19" s="20">
        <f t="shared" si="13"/>
        <v>8.024416119559033E-2</v>
      </c>
      <c r="AH19" s="20">
        <f t="shared" si="14"/>
        <v>7.5631544150432814E-2</v>
      </c>
      <c r="AI19" s="20">
        <f t="shared" si="15"/>
        <v>7.6923076923076913E-2</v>
      </c>
      <c r="AK19" s="29" t="s">
        <v>35</v>
      </c>
      <c r="AL19" s="7">
        <v>6495.1</v>
      </c>
      <c r="AM19" s="20">
        <f t="shared" ref="AM19:AM35" si="16">AL19/$AL$36</f>
        <v>5.6344051695196823E-2</v>
      </c>
      <c r="AO19" s="29" t="s">
        <v>35</v>
      </c>
      <c r="AP19" s="7">
        <v>5271.3</v>
      </c>
      <c r="AQ19" s="7">
        <v>836</v>
      </c>
      <c r="AR19" s="7">
        <v>5138.1000000000004</v>
      </c>
      <c r="AS19" s="7">
        <v>14720.300000000001</v>
      </c>
      <c r="AU19" s="29" t="s">
        <v>35</v>
      </c>
      <c r="AV19" s="7">
        <v>455.9</v>
      </c>
      <c r="AW19" s="7">
        <v>16507.800000000003</v>
      </c>
      <c r="AY19" s="29" t="s">
        <v>35</v>
      </c>
      <c r="AZ19" s="7">
        <v>18714.5</v>
      </c>
      <c r="BB19" s="27" t="s">
        <v>35</v>
      </c>
      <c r="BC19">
        <v>455.9</v>
      </c>
      <c r="BD19">
        <v>16507.800000000003</v>
      </c>
      <c r="BE19" s="27" t="s">
        <v>35</v>
      </c>
      <c r="BF19">
        <v>6130.6</v>
      </c>
      <c r="BG19">
        <v>1376</v>
      </c>
      <c r="BH19">
        <v>5632.2</v>
      </c>
      <c r="BI19">
        <v>949.6</v>
      </c>
      <c r="BJ19">
        <v>2419.4000000000005</v>
      </c>
      <c r="BK19">
        <v>455.9</v>
      </c>
      <c r="BM19" s="25">
        <v>2022</v>
      </c>
      <c r="BN19">
        <v>80879</v>
      </c>
      <c r="BO19">
        <v>18747.7</v>
      </c>
      <c r="BP19">
        <v>74110.299999999988</v>
      </c>
      <c r="BQ19">
        <v>12416.000000000002</v>
      </c>
      <c r="BR19">
        <v>31475.399999999998</v>
      </c>
      <c r="BS19">
        <v>6298.9</v>
      </c>
    </row>
    <row r="20" spans="1:79" ht="15.75" x14ac:dyDescent="0.25">
      <c r="A20" s="26">
        <v>2017</v>
      </c>
      <c r="B20" s="7">
        <v>57109.899999999994</v>
      </c>
      <c r="C20" s="7">
        <v>54838.6</v>
      </c>
      <c r="D20" s="7">
        <v>111948.5</v>
      </c>
      <c r="F20" s="37">
        <v>2023</v>
      </c>
      <c r="G20" s="7">
        <v>2611.3000000000002</v>
      </c>
      <c r="H20" s="7">
        <v>3159.5</v>
      </c>
      <c r="I20" s="7">
        <v>2667.7999999999997</v>
      </c>
      <c r="J20" s="7">
        <v>2662.4</v>
      </c>
      <c r="K20" s="7">
        <v>2657.2</v>
      </c>
      <c r="L20" s="7">
        <v>2538.9</v>
      </c>
      <c r="M20" s="7">
        <v>2383.8999999999996</v>
      </c>
      <c r="N20" s="7">
        <v>2588.5000000000005</v>
      </c>
      <c r="O20" s="7">
        <v>2897</v>
      </c>
      <c r="P20" s="7">
        <v>1819.6999999999998</v>
      </c>
      <c r="Q20" s="7">
        <v>3163.5000000000005</v>
      </c>
      <c r="R20" s="7">
        <v>2576.2000000000003</v>
      </c>
      <c r="S20" s="7">
        <v>2670.8</v>
      </c>
      <c r="T20" s="28">
        <f>SUM(G20:S20)</f>
        <v>34396.700000000004</v>
      </c>
      <c r="V20" s="29" t="s">
        <v>36</v>
      </c>
      <c r="W20" s="20">
        <f t="shared" si="3"/>
        <v>6.9988775965190111E-2</v>
      </c>
      <c r="X20" s="20">
        <f t="shared" si="4"/>
        <v>9.755685050508156E-2</v>
      </c>
      <c r="Y20" s="20">
        <f t="shared" si="5"/>
        <v>7.739971401774319E-2</v>
      </c>
      <c r="Z20" s="20">
        <f t="shared" si="6"/>
        <v>7.4847399252756019E-2</v>
      </c>
      <c r="AA20" s="20">
        <f t="shared" si="7"/>
        <v>8.8823628899583326E-2</v>
      </c>
      <c r="AB20" s="20">
        <f t="shared" si="8"/>
        <v>7.2740970802134097E-2</v>
      </c>
      <c r="AC20" s="20">
        <f t="shared" si="9"/>
        <v>7.8583619059333629E-2</v>
      </c>
      <c r="AD20" s="20">
        <f t="shared" si="10"/>
        <v>7.5570042589830716E-2</v>
      </c>
      <c r="AE20" s="20">
        <f t="shared" si="11"/>
        <v>8.2750349790125924E-2</v>
      </c>
      <c r="AF20" s="20">
        <f t="shared" si="12"/>
        <v>5.4920893617675541E-2</v>
      </c>
      <c r="AG20" s="20">
        <f t="shared" si="13"/>
        <v>8.1612570918987049E-2</v>
      </c>
      <c r="AH20" s="20">
        <f t="shared" si="14"/>
        <v>7.5892925782991727E-2</v>
      </c>
      <c r="AI20" s="20">
        <f t="shared" si="15"/>
        <v>7.7876351112409467E-2</v>
      </c>
      <c r="AK20" s="29" t="s">
        <v>36</v>
      </c>
      <c r="AL20" s="7">
        <v>6559.6</v>
      </c>
      <c r="AM20" s="20">
        <f t="shared" si="16"/>
        <v>5.6903579852475419E-2</v>
      </c>
      <c r="AO20" s="29" t="s">
        <v>36</v>
      </c>
      <c r="AP20" s="7">
        <v>5292.5</v>
      </c>
      <c r="AQ20" s="7">
        <v>835.69999999999993</v>
      </c>
      <c r="AR20" s="7">
        <v>5149.6000000000004</v>
      </c>
      <c r="AS20" s="7">
        <v>14762.1</v>
      </c>
      <c r="AU20" s="29" t="s">
        <v>36</v>
      </c>
      <c r="AV20" s="7">
        <v>466.3</v>
      </c>
      <c r="AW20" s="7">
        <v>16544.400000000001</v>
      </c>
      <c r="AY20" s="29" t="s">
        <v>36</v>
      </c>
      <c r="AZ20" s="7">
        <v>18713.7</v>
      </c>
      <c r="BB20" s="27" t="s">
        <v>36</v>
      </c>
      <c r="BC20">
        <v>466.3</v>
      </c>
      <c r="BD20">
        <v>16544.400000000001</v>
      </c>
      <c r="BE20" s="27" t="s">
        <v>36</v>
      </c>
      <c r="BF20">
        <v>6129.5999999999995</v>
      </c>
      <c r="BG20">
        <v>1381.4</v>
      </c>
      <c r="BH20">
        <v>5652.7</v>
      </c>
      <c r="BI20">
        <v>945</v>
      </c>
      <c r="BJ20">
        <v>2435.6999999999998</v>
      </c>
      <c r="BK20">
        <v>466.3</v>
      </c>
      <c r="BM20" s="25">
        <v>2023</v>
      </c>
      <c r="BN20">
        <v>34396.700000000004</v>
      </c>
      <c r="BO20">
        <v>8214.1999999999989</v>
      </c>
      <c r="BP20">
        <v>32152</v>
      </c>
      <c r="BQ20">
        <v>5488.5</v>
      </c>
      <c r="BR20">
        <v>13549.1</v>
      </c>
      <c r="BS20">
        <v>2731.7000000000003</v>
      </c>
      <c r="BU20" s="30" t="s">
        <v>152</v>
      </c>
      <c r="BV20" s="50" t="s">
        <v>1</v>
      </c>
      <c r="BW20" s="7"/>
      <c r="BX20" s="7"/>
    </row>
    <row r="21" spans="1:79" x14ac:dyDescent="0.25">
      <c r="A21" s="26">
        <v>2018</v>
      </c>
      <c r="B21" s="7">
        <v>59332.5</v>
      </c>
      <c r="C21" s="7">
        <v>56722.8</v>
      </c>
      <c r="D21" s="7">
        <v>116055.3</v>
      </c>
      <c r="F21" s="29" t="s">
        <v>31</v>
      </c>
      <c r="G21" s="7">
        <v>521.1</v>
      </c>
      <c r="H21" s="7">
        <v>634.20000000000005</v>
      </c>
      <c r="I21" s="7">
        <v>584.4</v>
      </c>
      <c r="J21" s="7">
        <v>524.09999999999991</v>
      </c>
      <c r="K21" s="7">
        <v>557.79999999999995</v>
      </c>
      <c r="L21" s="7">
        <v>475.1</v>
      </c>
      <c r="M21" s="7">
        <v>472.1</v>
      </c>
      <c r="N21" s="7">
        <v>512.79999999999995</v>
      </c>
      <c r="O21" s="7">
        <v>574</v>
      </c>
      <c r="P21" s="7">
        <v>364.1</v>
      </c>
      <c r="Q21" s="7">
        <v>623.20000000000005</v>
      </c>
      <c r="R21" s="7">
        <v>512</v>
      </c>
      <c r="S21" s="7">
        <v>531.20000000000005</v>
      </c>
      <c r="T21" s="7">
        <f t="shared" si="1"/>
        <v>6886.1</v>
      </c>
      <c r="V21" s="29" t="s">
        <v>37</v>
      </c>
      <c r="W21" s="20">
        <f t="shared" si="3"/>
        <v>7.0742170082565836E-2</v>
      </c>
      <c r="X21" s="20">
        <f t="shared" si="4"/>
        <v>9.7987361429296246E-2</v>
      </c>
      <c r="Y21" s="20">
        <f t="shared" si="5"/>
        <v>7.5892925782991741E-2</v>
      </c>
      <c r="Z21" s="20">
        <f t="shared" si="6"/>
        <v>7.5631544150432814E-2</v>
      </c>
      <c r="AA21" s="20">
        <f t="shared" si="7"/>
        <v>9.1160688202463133E-2</v>
      </c>
      <c r="AB21" s="20">
        <f t="shared" si="8"/>
        <v>7.9675271760020913E-2</v>
      </c>
      <c r="AC21" s="20">
        <f t="shared" si="9"/>
        <v>7.8491366718430475E-2</v>
      </c>
      <c r="AD21" s="20">
        <f t="shared" si="10"/>
        <v>7.5923676563292783E-2</v>
      </c>
      <c r="AE21" s="20">
        <f t="shared" si="11"/>
        <v>8.3503743907501649E-2</v>
      </c>
      <c r="AF21" s="20">
        <f t="shared" si="12"/>
        <v>5.4997770568428167E-2</v>
      </c>
      <c r="AG21" s="20">
        <f t="shared" si="13"/>
        <v>8.3365365396146932E-2</v>
      </c>
      <c r="AH21" s="20">
        <f t="shared" si="14"/>
        <v>7.6277310536754864E-2</v>
      </c>
      <c r="AI21" s="20">
        <f t="shared" si="15"/>
        <v>7.9014129983548329E-2</v>
      </c>
      <c r="AK21" s="29" t="s">
        <v>37</v>
      </c>
      <c r="AL21" s="7">
        <v>6651.3000000000011</v>
      </c>
      <c r="AM21" s="20">
        <f t="shared" si="16"/>
        <v>5.7699064069877702E-2</v>
      </c>
      <c r="AO21" s="29" t="s">
        <v>38</v>
      </c>
      <c r="AP21" s="35">
        <v>5385.5000000000009</v>
      </c>
      <c r="AQ21" s="35">
        <v>837.90000000000009</v>
      </c>
      <c r="AR21" s="35">
        <v>5171.4000000000005</v>
      </c>
      <c r="AS21" s="35">
        <v>14897.4</v>
      </c>
      <c r="AU21" s="29" t="s">
        <v>37</v>
      </c>
      <c r="AV21" s="7">
        <v>466.5</v>
      </c>
      <c r="AW21" s="7">
        <v>16663.699999999997</v>
      </c>
      <c r="AY21" s="29" t="s">
        <v>37</v>
      </c>
      <c r="AZ21" s="7">
        <v>18803.7</v>
      </c>
      <c r="BB21" s="27" t="s">
        <v>37</v>
      </c>
      <c r="BC21">
        <v>466.5</v>
      </c>
      <c r="BD21">
        <v>16663.699999999997</v>
      </c>
      <c r="BE21" s="27" t="s">
        <v>37</v>
      </c>
      <c r="BF21">
        <v>6203.2</v>
      </c>
      <c r="BG21">
        <v>1388.9</v>
      </c>
      <c r="BH21">
        <v>5677.5999999999995</v>
      </c>
      <c r="BI21">
        <v>951.7</v>
      </c>
      <c r="BJ21">
        <v>2442.3000000000002</v>
      </c>
      <c r="BK21">
        <v>466.5</v>
      </c>
      <c r="BM21" s="25" t="s">
        <v>105</v>
      </c>
      <c r="BN21">
        <v>263334.15871056245</v>
      </c>
      <c r="BO21">
        <v>60019.946776406025</v>
      </c>
      <c r="BP21">
        <v>240694.79519890258</v>
      </c>
      <c r="BQ21">
        <v>40503.309053497942</v>
      </c>
      <c r="BR21">
        <v>102618.18737997257</v>
      </c>
      <c r="BS21">
        <v>19927.306995884774</v>
      </c>
      <c r="BU21" s="50" t="s">
        <v>100</v>
      </c>
      <c r="BV21" s="7">
        <v>2022</v>
      </c>
      <c r="BW21" s="7">
        <v>2023</v>
      </c>
      <c r="BX21" s="14" t="s">
        <v>52</v>
      </c>
    </row>
    <row r="22" spans="1:79" x14ac:dyDescent="0.25">
      <c r="A22" s="26">
        <v>2019</v>
      </c>
      <c r="B22" s="7">
        <v>56123.1</v>
      </c>
      <c r="C22" s="7">
        <v>54362.600000000006</v>
      </c>
      <c r="D22" s="7">
        <v>110485.70000000001</v>
      </c>
      <c r="F22" s="29" t="s">
        <v>35</v>
      </c>
      <c r="G22" s="7">
        <v>523.29999999999995</v>
      </c>
      <c r="H22" s="7">
        <v>625.09999999999991</v>
      </c>
      <c r="I22" s="7">
        <v>526.29999999999995</v>
      </c>
      <c r="J22" s="7">
        <v>532.20000000000005</v>
      </c>
      <c r="K22" s="7">
        <v>534.9</v>
      </c>
      <c r="L22" s="7">
        <v>508.8</v>
      </c>
      <c r="M22" s="7">
        <v>469.4</v>
      </c>
      <c r="N22" s="7">
        <v>513.6</v>
      </c>
      <c r="O22" s="7">
        <v>579.5</v>
      </c>
      <c r="P22" s="7">
        <v>361</v>
      </c>
      <c r="Q22" s="7">
        <v>626.6</v>
      </c>
      <c r="R22" s="7">
        <v>514.80000000000007</v>
      </c>
      <c r="S22" s="7">
        <v>532.5</v>
      </c>
      <c r="T22" s="7">
        <f t="shared" si="1"/>
        <v>6848.0000000000009</v>
      </c>
      <c r="V22" s="29" t="s">
        <v>38</v>
      </c>
      <c r="W22" s="20">
        <f t="shared" si="3"/>
        <v>7.1295684127984732E-2</v>
      </c>
      <c r="X22" s="20">
        <f t="shared" si="4"/>
        <v>0.10038592229277817</v>
      </c>
      <c r="Y22" s="20">
        <f t="shared" si="5"/>
        <v>7.5016528544411806E-2</v>
      </c>
      <c r="Z22" s="20">
        <f t="shared" si="6"/>
        <v>7.6092805854948556E-2</v>
      </c>
      <c r="AA22" s="20">
        <f t="shared" si="7"/>
        <v>9.2529097925859852E-2</v>
      </c>
      <c r="AB22" s="20">
        <f t="shared" si="8"/>
        <v>7.8952628422946231E-2</v>
      </c>
      <c r="AC22" s="20">
        <f t="shared" si="9"/>
        <v>8.2796475960577487E-2</v>
      </c>
      <c r="AD22" s="20">
        <f t="shared" si="10"/>
        <v>7.5923676563292783E-2</v>
      </c>
      <c r="AE22" s="20">
        <f t="shared" si="11"/>
        <v>8.4226387244576317E-2</v>
      </c>
      <c r="AF22" s="20">
        <f t="shared" si="12"/>
        <v>5.5320653761589199E-2</v>
      </c>
      <c r="AG22" s="20">
        <f t="shared" si="13"/>
        <v>8.5010532142253098E-2</v>
      </c>
      <c r="AH22" s="20">
        <f t="shared" si="14"/>
        <v>7.6692446070819043E-2</v>
      </c>
      <c r="AI22" s="20">
        <f t="shared" si="15"/>
        <v>8.0198035025138753E-2</v>
      </c>
      <c r="AK22" s="29" t="s">
        <v>38</v>
      </c>
      <c r="AL22" s="7">
        <v>6727.9000000000005</v>
      </c>
      <c r="AM22" s="20">
        <f t="shared" si="16"/>
        <v>5.8363557974490728E-2</v>
      </c>
      <c r="AO22" s="29" t="s">
        <v>39</v>
      </c>
      <c r="AP22" s="7">
        <v>5451.5999999999995</v>
      </c>
      <c r="AQ22" s="7">
        <v>842.2</v>
      </c>
      <c r="AR22" s="7">
        <v>5183.8</v>
      </c>
      <c r="AS22" s="7">
        <v>14991.199999999999</v>
      </c>
      <c r="AU22" s="29" t="s">
        <v>38</v>
      </c>
      <c r="AV22" s="7">
        <v>476.59999999999997</v>
      </c>
      <c r="AW22" s="7">
        <v>16961.899999999998</v>
      </c>
      <c r="AY22" s="29" t="s">
        <v>38</v>
      </c>
      <c r="AZ22" s="7">
        <v>18897</v>
      </c>
      <c r="BB22" s="27" t="s">
        <v>38</v>
      </c>
      <c r="BC22">
        <v>476.59999999999997</v>
      </c>
      <c r="BD22">
        <v>16961.899999999998</v>
      </c>
      <c r="BE22" s="27" t="s">
        <v>38</v>
      </c>
      <c r="BF22">
        <v>6325.7000000000007</v>
      </c>
      <c r="BG22">
        <v>1415.5</v>
      </c>
      <c r="BH22">
        <v>5769.7</v>
      </c>
      <c r="BI22">
        <v>970.69999999999993</v>
      </c>
      <c r="BJ22">
        <v>2480.3000000000002</v>
      </c>
      <c r="BK22">
        <v>476.59999999999997</v>
      </c>
      <c r="BN22" s="40">
        <f t="shared" ref="BN22:BS23" si="17">((BN18-BN17)/BN17)</f>
        <v>6.7377452593598244E-2</v>
      </c>
      <c r="BO22" s="40">
        <f t="shared" si="17"/>
        <v>6.3709929237231872E-2</v>
      </c>
      <c r="BP22" s="40">
        <f t="shared" si="17"/>
        <v>6.5021783680952738E-2</v>
      </c>
      <c r="BQ22" s="40">
        <f t="shared" si="17"/>
        <v>6.5816255976993532E-2</v>
      </c>
      <c r="BR22" s="40">
        <f t="shared" si="17"/>
        <v>6.8427661185683455E-2</v>
      </c>
      <c r="BS22" s="40">
        <f t="shared" si="17"/>
        <v>0.10230982566126624</v>
      </c>
      <c r="BU22" s="26" t="s">
        <v>31</v>
      </c>
      <c r="BV22" s="7">
        <v>6503.9</v>
      </c>
      <c r="BW22" s="7">
        <v>6886.1</v>
      </c>
      <c r="BX22" s="7">
        <v>13390</v>
      </c>
    </row>
    <row r="23" spans="1:79" x14ac:dyDescent="0.25">
      <c r="A23" s="26">
        <v>2020</v>
      </c>
      <c r="B23" s="7">
        <v>64319.707407407404</v>
      </c>
      <c r="C23" s="7">
        <v>63299.676543209884</v>
      </c>
      <c r="D23" s="7">
        <v>127619.38395061728</v>
      </c>
      <c r="F23" s="29" t="s">
        <v>36</v>
      </c>
      <c r="G23" s="7">
        <v>523.40000000000009</v>
      </c>
      <c r="H23" s="7">
        <v>625.09999999999991</v>
      </c>
      <c r="I23" s="7">
        <v>526.29999999999995</v>
      </c>
      <c r="J23" s="7">
        <v>532.20000000000005</v>
      </c>
      <c r="K23" s="7">
        <v>534.70000000000005</v>
      </c>
      <c r="L23" s="7">
        <v>508.8</v>
      </c>
      <c r="M23" s="7">
        <v>469.6</v>
      </c>
      <c r="N23" s="7">
        <v>513.79999999999995</v>
      </c>
      <c r="O23" s="7">
        <v>579.5</v>
      </c>
      <c r="P23" s="7">
        <v>361</v>
      </c>
      <c r="Q23" s="7">
        <v>626.6</v>
      </c>
      <c r="R23" s="7">
        <v>514.80000000000007</v>
      </c>
      <c r="S23" s="7">
        <v>532.6</v>
      </c>
      <c r="T23" s="7">
        <f t="shared" si="1"/>
        <v>6848.4000000000005</v>
      </c>
      <c r="V23" s="29" t="s">
        <v>39</v>
      </c>
      <c r="W23" s="20">
        <f t="shared" si="3"/>
        <v>7.169544427189839E-2</v>
      </c>
      <c r="X23" s="20">
        <f t="shared" si="4"/>
        <v>0.10147757499346545</v>
      </c>
      <c r="Y23" s="20">
        <f t="shared" si="5"/>
        <v>7.8906502252494654E-2</v>
      </c>
      <c r="Z23" s="20">
        <f t="shared" si="6"/>
        <v>7.6507941389012749E-2</v>
      </c>
      <c r="AA23" s="20">
        <f t="shared" si="7"/>
        <v>9.1883331539537816E-2</v>
      </c>
      <c r="AB23" s="20">
        <f t="shared" si="8"/>
        <v>7.8352988207075744E-2</v>
      </c>
      <c r="AC23" s="20">
        <f t="shared" si="9"/>
        <v>8.6271314134596155E-2</v>
      </c>
      <c r="AD23" s="20">
        <f t="shared" si="10"/>
        <v>7.5723796491335968E-2</v>
      </c>
      <c r="AE23" s="20">
        <f t="shared" si="11"/>
        <v>8.4887529021048902E-2</v>
      </c>
      <c r="AF23" s="20">
        <f t="shared" si="12"/>
        <v>5.5412906102492346E-2</v>
      </c>
      <c r="AG23" s="20">
        <f t="shared" si="13"/>
        <v>8.6025307892187763E-2</v>
      </c>
      <c r="AH23" s="20">
        <f t="shared" si="14"/>
        <v>7.7061455434431644E-2</v>
      </c>
      <c r="AI23" s="20">
        <f t="shared" si="15"/>
        <v>8.0966804532665013E-2</v>
      </c>
      <c r="AK23" s="29" t="s">
        <v>39</v>
      </c>
      <c r="AL23" s="7">
        <v>6797.7</v>
      </c>
      <c r="AM23" s="20">
        <f t="shared" si="16"/>
        <v>5.896906286407283E-2</v>
      </c>
      <c r="AO23" s="29" t="s">
        <v>40</v>
      </c>
      <c r="AP23" s="7">
        <v>5521.7999999999993</v>
      </c>
      <c r="AQ23" s="7">
        <v>847.8</v>
      </c>
      <c r="AR23" s="7">
        <v>5199.7</v>
      </c>
      <c r="AS23" s="7">
        <v>15089.4</v>
      </c>
      <c r="AU23" s="29" t="s">
        <v>39</v>
      </c>
      <c r="AV23" s="7">
        <v>478</v>
      </c>
      <c r="AW23" s="7">
        <v>17052.300000000003</v>
      </c>
      <c r="AY23" s="26" t="s">
        <v>105</v>
      </c>
      <c r="AZ23" s="7">
        <v>93800.5</v>
      </c>
      <c r="BB23" s="27" t="s">
        <v>39</v>
      </c>
      <c r="BC23">
        <v>478</v>
      </c>
      <c r="BD23">
        <v>17052.300000000003</v>
      </c>
      <c r="BE23" s="27" t="s">
        <v>39</v>
      </c>
      <c r="BF23">
        <v>6410.7000000000007</v>
      </c>
      <c r="BG23">
        <v>1417.1</v>
      </c>
      <c r="BH23">
        <v>5772.9</v>
      </c>
      <c r="BI23">
        <v>973.00000000000011</v>
      </c>
      <c r="BJ23">
        <v>2478.6000000000004</v>
      </c>
      <c r="BK23">
        <v>478</v>
      </c>
      <c r="BN23" s="40">
        <f t="shared" si="17"/>
        <v>5.8045391336426833E-2</v>
      </c>
      <c r="BO23" s="40">
        <f t="shared" si="17"/>
        <v>0.10026233472032334</v>
      </c>
      <c r="BP23" s="40">
        <f t="shared" si="17"/>
        <v>6.890832175870848E-2</v>
      </c>
      <c r="BQ23" s="40">
        <f t="shared" si="17"/>
        <v>6.4891846921797031E-2</v>
      </c>
      <c r="BR23" s="40">
        <f t="shared" si="17"/>
        <v>5.8014420410426731E-2</v>
      </c>
      <c r="BS23" s="40">
        <f t="shared" si="17"/>
        <v>0.10245908812461707</v>
      </c>
      <c r="BU23" s="26" t="s">
        <v>35</v>
      </c>
      <c r="BV23" s="7">
        <v>6495.1</v>
      </c>
      <c r="BW23" s="7">
        <v>6847.9999999999991</v>
      </c>
      <c r="BX23" s="7">
        <v>13343.099999999999</v>
      </c>
    </row>
    <row r="24" spans="1:79" x14ac:dyDescent="0.25">
      <c r="A24" s="26">
        <v>2021</v>
      </c>
      <c r="B24" s="7">
        <v>68523</v>
      </c>
      <c r="C24" s="7">
        <v>67540.7</v>
      </c>
      <c r="D24" s="7">
        <v>136063.70000000001</v>
      </c>
      <c r="F24" s="29" t="s">
        <v>37</v>
      </c>
      <c r="G24" s="7">
        <v>521.90000000000009</v>
      </c>
      <c r="H24" s="7">
        <v>629.9</v>
      </c>
      <c r="I24" s="7">
        <v>509.9</v>
      </c>
      <c r="J24" s="7">
        <v>535.40000000000009</v>
      </c>
      <c r="K24" s="7">
        <v>522.1</v>
      </c>
      <c r="L24" s="7">
        <v>529.20000000000005</v>
      </c>
      <c r="M24" s="7">
        <v>478.1</v>
      </c>
      <c r="N24" s="7">
        <v>520.90000000000009</v>
      </c>
      <c r="O24" s="7">
        <v>581</v>
      </c>
      <c r="P24" s="7">
        <v>364.79999999999995</v>
      </c>
      <c r="Q24" s="7">
        <v>636.20000000000005</v>
      </c>
      <c r="R24" s="7">
        <v>516.59999999999991</v>
      </c>
      <c r="S24" s="7">
        <v>535.5</v>
      </c>
      <c r="T24" s="7">
        <f t="shared" si="1"/>
        <v>6881.5</v>
      </c>
      <c r="V24" s="29" t="s">
        <v>40</v>
      </c>
      <c r="W24" s="20">
        <f t="shared" si="3"/>
        <v>7.2418087608973072E-2</v>
      </c>
      <c r="X24" s="20">
        <f t="shared" si="4"/>
        <v>9.854087547471517E-2</v>
      </c>
      <c r="Y24" s="20">
        <f t="shared" si="5"/>
        <v>8.0889927581912366E-2</v>
      </c>
      <c r="Z24" s="20">
        <f t="shared" si="6"/>
        <v>7.6876950752625337E-2</v>
      </c>
      <c r="AA24" s="20">
        <f t="shared" si="7"/>
        <v>8.9607773797260093E-2</v>
      </c>
      <c r="AB24" s="20">
        <f t="shared" si="8"/>
        <v>8.045941665769768E-2</v>
      </c>
      <c r="AC24" s="20">
        <f t="shared" si="9"/>
        <v>8.5979181721736186E-2</v>
      </c>
      <c r="AD24" s="20">
        <f t="shared" si="10"/>
        <v>7.5754547271637024E-2</v>
      </c>
      <c r="AE24" s="20">
        <f t="shared" si="11"/>
        <v>8.5487169236919375E-2</v>
      </c>
      <c r="AF24" s="20">
        <f t="shared" si="12"/>
        <v>5.5459032272943923E-2</v>
      </c>
      <c r="AG24" s="20">
        <f t="shared" si="13"/>
        <v>8.7347591445132919E-2</v>
      </c>
      <c r="AH24" s="20">
        <f t="shared" si="14"/>
        <v>7.7292086286689529E-2</v>
      </c>
      <c r="AI24" s="20">
        <f t="shared" si="15"/>
        <v>8.1012930703116576E-2</v>
      </c>
      <c r="AK24" s="29" t="s">
        <v>40</v>
      </c>
      <c r="AL24" s="7">
        <v>6810.4</v>
      </c>
      <c r="AM24" s="20">
        <f t="shared" si="16"/>
        <v>5.9079233524498224E-2</v>
      </c>
      <c r="AO24" s="29" t="s">
        <v>41</v>
      </c>
      <c r="AP24" s="7">
        <v>5550.1</v>
      </c>
      <c r="AQ24" s="7">
        <v>857.7</v>
      </c>
      <c r="AR24" s="7">
        <v>5218.1000000000004</v>
      </c>
      <c r="AS24" s="7">
        <v>15153.2</v>
      </c>
      <c r="AU24" s="29" t="s">
        <v>40</v>
      </c>
      <c r="AV24" s="7">
        <v>480.9</v>
      </c>
      <c r="AW24" s="7">
        <v>17155.400000000001</v>
      </c>
      <c r="BB24" s="27" t="s">
        <v>40</v>
      </c>
      <c r="BC24">
        <v>480.9</v>
      </c>
      <c r="BD24">
        <v>17155.400000000001</v>
      </c>
      <c r="BE24" s="27" t="s">
        <v>40</v>
      </c>
      <c r="BF24">
        <v>6451.2000000000007</v>
      </c>
      <c r="BG24">
        <v>1425</v>
      </c>
      <c r="BH24">
        <v>5808.2</v>
      </c>
      <c r="BI24">
        <v>979</v>
      </c>
      <c r="BJ24">
        <v>2492</v>
      </c>
      <c r="BK24">
        <v>480.9</v>
      </c>
      <c r="BM24" s="21" t="s">
        <v>0</v>
      </c>
      <c r="BN24" t="s">
        <v>34</v>
      </c>
      <c r="BO24" s="40">
        <f>((BO20-BO19)/BO19)</f>
        <v>-0.56185558761874799</v>
      </c>
      <c r="BP24" s="40">
        <f>((BP20-BP19)/BP19)</f>
        <v>-0.56616016936916991</v>
      </c>
      <c r="BQ24" s="40">
        <f>((BQ20-BQ19)/BQ19)</f>
        <v>-0.5579494201030929</v>
      </c>
      <c r="BR24" s="40">
        <f>((BR20-BR19)/BR19)</f>
        <v>-0.56953366756260437</v>
      </c>
      <c r="BS24" s="40">
        <f>((BS20-BS19)/BS19)</f>
        <v>-0.56632110368477029</v>
      </c>
      <c r="BU24" s="26" t="s">
        <v>36</v>
      </c>
      <c r="BV24" s="7">
        <v>6559.6</v>
      </c>
      <c r="BW24" s="7">
        <v>6848.4000000000005</v>
      </c>
      <c r="BX24" s="7">
        <v>13408</v>
      </c>
    </row>
    <row r="25" spans="1:79" x14ac:dyDescent="0.25">
      <c r="A25" s="26">
        <v>2022</v>
      </c>
      <c r="B25" s="7">
        <v>72951.199999999983</v>
      </c>
      <c r="C25" s="7">
        <v>72012.499999999985</v>
      </c>
      <c r="D25" s="7">
        <v>144963.69999999995</v>
      </c>
      <c r="F25" s="38" t="s">
        <v>38</v>
      </c>
      <c r="G25" s="7">
        <v>521.59999999999991</v>
      </c>
      <c r="H25" s="7">
        <v>645.20000000000005</v>
      </c>
      <c r="I25" s="7">
        <v>520.9</v>
      </c>
      <c r="J25" s="7">
        <v>538.5</v>
      </c>
      <c r="K25" s="7">
        <v>507.7</v>
      </c>
      <c r="L25" s="7">
        <v>517</v>
      </c>
      <c r="M25" s="7">
        <v>494.7</v>
      </c>
      <c r="N25" s="7">
        <v>527.4</v>
      </c>
      <c r="O25" s="7">
        <v>583</v>
      </c>
      <c r="P25" s="7">
        <v>368.8</v>
      </c>
      <c r="Q25" s="7">
        <v>650.9</v>
      </c>
      <c r="R25" s="7">
        <v>518</v>
      </c>
      <c r="S25" s="7">
        <v>539</v>
      </c>
      <c r="T25" s="7">
        <f t="shared" si="1"/>
        <v>6932.6999999999989</v>
      </c>
      <c r="V25" s="29" t="s">
        <v>41</v>
      </c>
      <c r="W25" s="20">
        <f t="shared" si="3"/>
        <v>7.4094005135380295E-2</v>
      </c>
      <c r="X25" s="20">
        <f t="shared" si="4"/>
        <v>9.5558049785513299E-2</v>
      </c>
      <c r="Y25" s="20">
        <f t="shared" si="5"/>
        <v>7.8122357354817873E-2</v>
      </c>
      <c r="Z25" s="20">
        <f t="shared" si="6"/>
        <v>7.7553467919248442E-2</v>
      </c>
      <c r="AA25" s="20">
        <f t="shared" si="7"/>
        <v>8.8100985562508644E-2</v>
      </c>
      <c r="AB25" s="20">
        <f t="shared" si="8"/>
        <v>7.9829025661526165E-2</v>
      </c>
      <c r="AC25" s="20">
        <f t="shared" si="9"/>
        <v>8.8085610172358109E-2</v>
      </c>
      <c r="AD25" s="20">
        <f t="shared" si="10"/>
        <v>7.7122956995033742E-2</v>
      </c>
      <c r="AE25" s="20">
        <f t="shared" si="11"/>
        <v>8.5979181721736186E-2</v>
      </c>
      <c r="AF25" s="20">
        <f t="shared" si="12"/>
        <v>5.5858792416857574E-2</v>
      </c>
      <c r="AG25" s="20">
        <f t="shared" si="13"/>
        <v>8.900813358138962E-2</v>
      </c>
      <c r="AH25" s="20">
        <f t="shared" si="14"/>
        <v>7.7507341748796879E-2</v>
      </c>
      <c r="AI25" s="20">
        <f t="shared" si="15"/>
        <v>8.158182013868602E-2</v>
      </c>
      <c r="AK25" s="29" t="s">
        <v>41</v>
      </c>
      <c r="AL25" s="7">
        <v>6818.6999999999989</v>
      </c>
      <c r="AM25" s="20">
        <f t="shared" si="16"/>
        <v>5.9151234822256545E-2</v>
      </c>
      <c r="AO25" s="29" t="s">
        <v>42</v>
      </c>
      <c r="AP25" s="7">
        <v>5581.3</v>
      </c>
      <c r="AQ25" s="7">
        <v>863.2</v>
      </c>
      <c r="AR25" s="7">
        <v>5232.9999999999991</v>
      </c>
      <c r="AS25" s="7">
        <v>15213.1</v>
      </c>
      <c r="AU25" s="29" t="s">
        <v>41</v>
      </c>
      <c r="AV25" s="7">
        <v>486.4</v>
      </c>
      <c r="AW25" s="7">
        <v>17209.599999999999</v>
      </c>
      <c r="BB25" s="27" t="s">
        <v>41</v>
      </c>
      <c r="BC25">
        <v>486.4</v>
      </c>
      <c r="BD25">
        <v>17209.599999999999</v>
      </c>
      <c r="BE25" s="27" t="s">
        <v>41</v>
      </c>
      <c r="BF25">
        <v>6430.7</v>
      </c>
      <c r="BG25">
        <v>1439.6000000000001</v>
      </c>
      <c r="BH25">
        <v>5848.5</v>
      </c>
      <c r="BI25">
        <v>982.19999999999993</v>
      </c>
      <c r="BJ25">
        <v>2508.6</v>
      </c>
      <c r="BK25">
        <v>486.4</v>
      </c>
      <c r="BU25" s="26" t="s">
        <v>37</v>
      </c>
      <c r="BV25" s="7">
        <v>6651.3000000000011</v>
      </c>
      <c r="BW25" s="7">
        <v>6881.5000000000009</v>
      </c>
      <c r="BX25" s="7">
        <v>13532.800000000003</v>
      </c>
    </row>
    <row r="26" spans="1:79" ht="15.75" x14ac:dyDescent="0.25">
      <c r="A26" s="26">
        <v>2023</v>
      </c>
      <c r="B26" s="7">
        <v>31383.800000000003</v>
      </c>
      <c r="C26" s="7">
        <v>31091.399999999998</v>
      </c>
      <c r="D26" s="7">
        <v>62475.199999999997</v>
      </c>
      <c r="F26" s="37" t="s">
        <v>105</v>
      </c>
      <c r="G26" s="36">
        <v>8309.3000000000011</v>
      </c>
      <c r="H26" s="36">
        <v>10731.2</v>
      </c>
      <c r="I26" s="36">
        <v>8903.4</v>
      </c>
      <c r="J26" s="36">
        <v>8661.2999999999993</v>
      </c>
      <c r="K26" s="36">
        <v>9522.6</v>
      </c>
      <c r="L26" s="36">
        <v>8464.2999999999993</v>
      </c>
      <c r="M26" s="36">
        <v>8948.8000000000011</v>
      </c>
      <c r="N26" s="36">
        <v>8577.9</v>
      </c>
      <c r="O26" s="36">
        <v>9527.9000000000015</v>
      </c>
      <c r="P26" s="36">
        <v>6162.0000000000009</v>
      </c>
      <c r="Q26" s="36">
        <v>9940.5</v>
      </c>
      <c r="R26" s="36">
        <v>8588</v>
      </c>
      <c r="S26" s="36">
        <v>8938.5</v>
      </c>
      <c r="T26" s="49">
        <f>SUM(G26:S26)</f>
        <v>115275.69999999998</v>
      </c>
      <c r="V26" s="29" t="s">
        <v>42</v>
      </c>
      <c r="W26" s="20">
        <f t="shared" si="3"/>
        <v>7.553929180952966E-2</v>
      </c>
      <c r="X26" s="20">
        <f t="shared" si="4"/>
        <v>9.6803456387705822E-2</v>
      </c>
      <c r="Y26" s="20">
        <f t="shared" si="5"/>
        <v>7.8352988207075744E-2</v>
      </c>
      <c r="Z26" s="20">
        <f t="shared" si="6"/>
        <v>7.8306862036624181E-2</v>
      </c>
      <c r="AA26" s="20">
        <f t="shared" si="7"/>
        <v>8.6425068036101393E-2</v>
      </c>
      <c r="AB26" s="20">
        <f t="shared" si="8"/>
        <v>7.6461815218561172E-2</v>
      </c>
      <c r="AC26" s="20">
        <f t="shared" si="9"/>
        <v>9.0637924937345279E-2</v>
      </c>
      <c r="AD26" s="20">
        <f t="shared" si="10"/>
        <v>7.7999354233613663E-2</v>
      </c>
      <c r="AE26" s="20">
        <f t="shared" si="11"/>
        <v>8.650194498685404E-2</v>
      </c>
      <c r="AF26" s="20">
        <f t="shared" si="12"/>
        <v>5.6197051000169126E-2</v>
      </c>
      <c r="AG26" s="20">
        <f t="shared" si="13"/>
        <v>9.0714801888097898E-2</v>
      </c>
      <c r="AH26" s="20">
        <f t="shared" si="14"/>
        <v>7.7784098771506313E-2</v>
      </c>
      <c r="AI26" s="20">
        <f t="shared" si="15"/>
        <v>8.2273712695459647E-2</v>
      </c>
      <c r="AK26" s="29" t="s">
        <v>42</v>
      </c>
      <c r="AL26" s="7">
        <v>6855.1</v>
      </c>
      <c r="AM26" s="20">
        <f t="shared" si="16"/>
        <v>5.9466999549775024E-2</v>
      </c>
      <c r="AO26" s="29" t="s">
        <v>43</v>
      </c>
      <c r="AP26" s="7">
        <v>5665.0999999999995</v>
      </c>
      <c r="AQ26" s="7">
        <v>865.3</v>
      </c>
      <c r="AR26" s="7">
        <v>5248.9000000000005</v>
      </c>
      <c r="AS26" s="7">
        <v>15326.3</v>
      </c>
      <c r="AU26" s="29" t="s">
        <v>42</v>
      </c>
      <c r="AV26" s="7">
        <v>487.1</v>
      </c>
      <c r="AW26" s="7">
        <v>17228</v>
      </c>
      <c r="BB26" s="27" t="s">
        <v>42</v>
      </c>
      <c r="BC26">
        <v>487.1</v>
      </c>
      <c r="BD26">
        <v>17228</v>
      </c>
      <c r="BE26" s="27" t="s">
        <v>42</v>
      </c>
      <c r="BF26">
        <v>6433.5</v>
      </c>
      <c r="BG26">
        <v>1442.3999999999999</v>
      </c>
      <c r="BH26">
        <v>5856.4</v>
      </c>
      <c r="BI26">
        <v>982.9</v>
      </c>
      <c r="BJ26">
        <v>2512.8000000000002</v>
      </c>
      <c r="BK26">
        <v>487.1</v>
      </c>
      <c r="BM26" s="21" t="s">
        <v>100</v>
      </c>
      <c r="BN26" t="s">
        <v>92</v>
      </c>
      <c r="BO26" t="s">
        <v>66</v>
      </c>
      <c r="BP26" t="s">
        <v>67</v>
      </c>
      <c r="BQ26" t="s">
        <v>69</v>
      </c>
      <c r="BR26" t="s">
        <v>70</v>
      </c>
      <c r="BS26" t="s">
        <v>68</v>
      </c>
      <c r="BU26" s="26" t="s">
        <v>38</v>
      </c>
      <c r="BV26" s="7">
        <v>6727.9000000000005</v>
      </c>
      <c r="BW26" s="7">
        <v>6932.7000000000007</v>
      </c>
      <c r="BX26" s="7">
        <v>13660.600000000002</v>
      </c>
    </row>
    <row r="27" spans="1:79" x14ac:dyDescent="0.25">
      <c r="A27" s="26" t="s">
        <v>105</v>
      </c>
      <c r="B27" s="7">
        <v>409743.2074074074</v>
      </c>
      <c r="C27" s="7">
        <v>399868.27654320991</v>
      </c>
      <c r="D27" s="7">
        <v>809611.48395061726</v>
      </c>
      <c r="F27" s="29" t="s">
        <v>109</v>
      </c>
      <c r="G27" s="20">
        <f t="shared" ref="G27:S27" si="18">G26/$T$26</f>
        <v>7.2081973911240632E-2</v>
      </c>
      <c r="H27" s="20">
        <f t="shared" si="18"/>
        <v>9.3091605602915461E-2</v>
      </c>
      <c r="I27" s="20">
        <f t="shared" si="18"/>
        <v>7.723570535680982E-2</v>
      </c>
      <c r="J27" s="20">
        <f t="shared" si="18"/>
        <v>7.5135522924605971E-2</v>
      </c>
      <c r="K27" s="20">
        <f t="shared" si="18"/>
        <v>8.2607175666684324E-2</v>
      </c>
      <c r="L27" s="20">
        <f t="shared" si="18"/>
        <v>7.3426576459739573E-2</v>
      </c>
      <c r="M27" s="20">
        <f t="shared" si="18"/>
        <v>7.7629543780692742E-2</v>
      </c>
      <c r="N27" s="20">
        <f t="shared" si="18"/>
        <v>7.441204000496203E-2</v>
      </c>
      <c r="O27" s="20">
        <f t="shared" si="18"/>
        <v>8.2653152398987836E-2</v>
      </c>
      <c r="P27" s="20">
        <f t="shared" si="18"/>
        <v>5.3454457444196843E-2</v>
      </c>
      <c r="Q27" s="20">
        <f t="shared" si="18"/>
        <v>8.6232397634540506E-2</v>
      </c>
      <c r="R27" s="20">
        <f t="shared" si="18"/>
        <v>7.4499656041993254E-2</v>
      </c>
      <c r="S27" s="20">
        <f t="shared" si="18"/>
        <v>7.7540192772631189E-2</v>
      </c>
      <c r="T27" s="7"/>
      <c r="V27" s="29" t="s">
        <v>43</v>
      </c>
      <c r="W27" s="20">
        <f t="shared" si="3"/>
        <v>7.630806131705592E-2</v>
      </c>
      <c r="X27" s="20">
        <f t="shared" si="4"/>
        <v>9.7572225895232081E-2</v>
      </c>
      <c r="Y27" s="20">
        <f t="shared" si="5"/>
        <v>7.8891126862344133E-2</v>
      </c>
      <c r="Z27" s="20">
        <f t="shared" si="6"/>
        <v>7.8845000691892542E-2</v>
      </c>
      <c r="AA27" s="20">
        <f t="shared" si="7"/>
        <v>8.5456418456618319E-2</v>
      </c>
      <c r="AB27" s="20">
        <f t="shared" si="8"/>
        <v>7.5600793370131758E-2</v>
      </c>
      <c r="AC27" s="20">
        <f t="shared" si="9"/>
        <v>9.4266517012869186E-2</v>
      </c>
      <c r="AD27" s="20">
        <f t="shared" si="10"/>
        <v>7.8322237426774702E-2</v>
      </c>
      <c r="AE27" s="20">
        <f t="shared" si="11"/>
        <v>8.6932455911068726E-2</v>
      </c>
      <c r="AF27" s="20">
        <f t="shared" si="12"/>
        <v>5.6335429511523843E-2</v>
      </c>
      <c r="AG27" s="20">
        <f t="shared" si="13"/>
        <v>9.1929457709989379E-2</v>
      </c>
      <c r="AH27" s="20">
        <f t="shared" si="14"/>
        <v>7.7999354233613677E-2</v>
      </c>
      <c r="AI27" s="20">
        <f t="shared" si="15"/>
        <v>8.3073232983286935E-2</v>
      </c>
      <c r="AK27" s="29" t="s">
        <v>43</v>
      </c>
      <c r="AL27" s="7">
        <v>6904.1</v>
      </c>
      <c r="AM27" s="20">
        <f t="shared" si="16"/>
        <v>5.9892067452203719E-2</v>
      </c>
      <c r="AO27" s="29" t="s">
        <v>45</v>
      </c>
      <c r="AP27" s="7">
        <v>5739.5</v>
      </c>
      <c r="AQ27" s="7">
        <v>867.7</v>
      </c>
      <c r="AR27" s="7">
        <v>5267.2</v>
      </c>
      <c r="AS27" s="7">
        <v>15435.400000000001</v>
      </c>
      <c r="AU27" s="29" t="s">
        <v>43</v>
      </c>
      <c r="AV27" s="7">
        <v>491.9</v>
      </c>
      <c r="AW27" s="7">
        <v>17393.599999999999</v>
      </c>
      <c r="BB27" s="27" t="s">
        <v>43</v>
      </c>
      <c r="BC27">
        <v>491.9</v>
      </c>
      <c r="BD27">
        <v>17393.599999999999</v>
      </c>
      <c r="BE27" s="27" t="s">
        <v>43</v>
      </c>
      <c r="BF27">
        <v>6538.1</v>
      </c>
      <c r="BG27">
        <v>1451.8000000000002</v>
      </c>
      <c r="BH27">
        <v>5890.8</v>
      </c>
      <c r="BI27">
        <v>987.30000000000007</v>
      </c>
      <c r="BJ27">
        <v>2525.6</v>
      </c>
      <c r="BK27">
        <v>491.9</v>
      </c>
      <c r="BM27" s="25">
        <v>2021</v>
      </c>
      <c r="BN27" s="83">
        <v>25440.400000000001</v>
      </c>
      <c r="BO27" s="83">
        <v>5706.2999999999993</v>
      </c>
      <c r="BP27" s="83">
        <v>23217.000000000004</v>
      </c>
      <c r="BQ27" s="83">
        <v>3895</v>
      </c>
      <c r="BR27" s="83">
        <v>9900.4</v>
      </c>
      <c r="BS27" s="83">
        <v>1908.6999999999998</v>
      </c>
      <c r="BU27" s="26" t="s">
        <v>39</v>
      </c>
      <c r="BV27" s="7">
        <v>6797.7</v>
      </c>
      <c r="BW27" s="7"/>
      <c r="BX27" s="7">
        <v>6797.7</v>
      </c>
    </row>
    <row r="28" spans="1:79" x14ac:dyDescent="0.25">
      <c r="F28" s="7">
        <v>2022</v>
      </c>
      <c r="G28" s="20">
        <f t="shared" ref="G28:S28" si="19">G7/$T$7</f>
        <v>7.0450920510886639E-2</v>
      </c>
      <c r="H28" s="20">
        <f t="shared" si="19"/>
        <v>9.3617626330691525E-2</v>
      </c>
      <c r="I28" s="20">
        <f t="shared" si="19"/>
        <v>7.7097886966950635E-2</v>
      </c>
      <c r="J28" s="20">
        <f t="shared" si="19"/>
        <v>7.4171292919051918E-2</v>
      </c>
      <c r="K28" s="20">
        <f t="shared" si="19"/>
        <v>8.488482795286785E-2</v>
      </c>
      <c r="L28" s="20">
        <f t="shared" si="19"/>
        <v>7.3262527973886896E-2</v>
      </c>
      <c r="M28" s="20">
        <f t="shared" si="19"/>
        <v>8.1169401204268105E-2</v>
      </c>
      <c r="N28" s="20">
        <f t="shared" si="19"/>
        <v>7.4053833504370725E-2</v>
      </c>
      <c r="O28" s="20">
        <f t="shared" si="19"/>
        <v>8.1985435032579546E-2</v>
      </c>
      <c r="P28" s="20">
        <f t="shared" si="19"/>
        <v>5.3688843828435071E-2</v>
      </c>
      <c r="Q28" s="20">
        <f t="shared" si="19"/>
        <v>8.3791837188887094E-2</v>
      </c>
      <c r="R28" s="20">
        <f t="shared" si="19"/>
        <v>7.4330790440040068E-2</v>
      </c>
      <c r="S28" s="20">
        <f t="shared" si="19"/>
        <v>7.7494776147083916E-2</v>
      </c>
      <c r="T28" s="7"/>
      <c r="V28" s="29" t="s">
        <v>45</v>
      </c>
      <c r="W28" s="20">
        <f t="shared" si="3"/>
        <v>7.7292086286689529E-2</v>
      </c>
      <c r="X28" s="20">
        <f t="shared" si="4"/>
        <v>9.6864957948307934E-2</v>
      </c>
      <c r="Y28" s="20">
        <f t="shared" si="5"/>
        <v>8.3765125540060562E-2</v>
      </c>
      <c r="Z28" s="20">
        <f t="shared" si="6"/>
        <v>7.9475391688064098E-2</v>
      </c>
      <c r="AA28" s="20">
        <f t="shared" si="7"/>
        <v>8.6548071157305603E-2</v>
      </c>
      <c r="AB28" s="20">
        <f t="shared" si="8"/>
        <v>7.4170882086132928E-2</v>
      </c>
      <c r="AC28" s="20">
        <f t="shared" si="9"/>
        <v>8.6132935623241438E-2</v>
      </c>
      <c r="AD28" s="20">
        <f t="shared" si="10"/>
        <v>7.8675871400236769E-2</v>
      </c>
      <c r="AE28" s="20">
        <f t="shared" si="11"/>
        <v>8.745521917618658E-2</v>
      </c>
      <c r="AF28" s="20">
        <f t="shared" si="12"/>
        <v>5.6427681852426997E-2</v>
      </c>
      <c r="AG28" s="20">
        <f t="shared" si="13"/>
        <v>9.3236365872784027E-2</v>
      </c>
      <c r="AH28" s="20">
        <f t="shared" si="14"/>
        <v>7.8245360476022069E-2</v>
      </c>
      <c r="AI28" s="20">
        <f t="shared" si="15"/>
        <v>8.244284198711542E-2</v>
      </c>
      <c r="AK28" s="29" t="s">
        <v>45</v>
      </c>
      <c r="AL28" s="7">
        <v>6898.9000000000005</v>
      </c>
      <c r="AM28" s="20">
        <f t="shared" si="16"/>
        <v>5.9846958205415371E-2</v>
      </c>
      <c r="AO28" s="29" t="s">
        <v>46</v>
      </c>
      <c r="AP28" s="7">
        <v>5843.7999999999993</v>
      </c>
      <c r="AQ28" s="7">
        <v>869.6</v>
      </c>
      <c r="AR28" s="7">
        <v>5289.3</v>
      </c>
      <c r="AS28" s="7">
        <v>15577.8</v>
      </c>
      <c r="AU28" s="29" t="s">
        <v>45</v>
      </c>
      <c r="AV28" s="7">
        <v>490.79999999999995</v>
      </c>
      <c r="AW28" s="7">
        <v>17497.300000000003</v>
      </c>
      <c r="BB28" s="27" t="s">
        <v>45</v>
      </c>
      <c r="BC28">
        <v>490.79999999999995</v>
      </c>
      <c r="BD28">
        <v>17497.300000000003</v>
      </c>
      <c r="BE28" s="27" t="s">
        <v>45</v>
      </c>
      <c r="BF28">
        <v>6594</v>
      </c>
      <c r="BG28">
        <v>1463.9</v>
      </c>
      <c r="BH28">
        <v>5914.8</v>
      </c>
      <c r="BI28">
        <v>993.9</v>
      </c>
      <c r="BJ28">
        <v>2530.6999999999998</v>
      </c>
      <c r="BK28">
        <v>490.79999999999995</v>
      </c>
      <c r="BM28" s="27" t="s">
        <v>31</v>
      </c>
      <c r="BN28" s="83">
        <v>2076.5</v>
      </c>
      <c r="BO28" s="83">
        <v>455.8</v>
      </c>
      <c r="BP28" s="83">
        <v>1864.7</v>
      </c>
      <c r="BQ28" s="83">
        <v>316.10000000000002</v>
      </c>
      <c r="BR28" s="83">
        <v>795.1</v>
      </c>
      <c r="BS28" s="83">
        <v>147.9</v>
      </c>
      <c r="BU28" s="26" t="s">
        <v>40</v>
      </c>
      <c r="BV28" s="7">
        <v>6810.4</v>
      </c>
      <c r="BW28" s="7"/>
      <c r="BX28" s="7">
        <v>6810.4</v>
      </c>
    </row>
    <row r="29" spans="1:79" x14ac:dyDescent="0.25">
      <c r="F29" s="7">
        <v>2023</v>
      </c>
      <c r="G29" s="20">
        <f t="shared" ref="G29:S29" si="20">G20/$T$20</f>
        <v>7.5917166472365072E-2</v>
      </c>
      <c r="H29" s="20">
        <f t="shared" si="20"/>
        <v>9.1854741879308172E-2</v>
      </c>
      <c r="I29" s="20">
        <f t="shared" si="20"/>
        <v>7.7559765907776024E-2</v>
      </c>
      <c r="J29" s="20">
        <f t="shared" si="20"/>
        <v>7.7402774103329672E-2</v>
      </c>
      <c r="K29" s="20">
        <f t="shared" si="20"/>
        <v>7.7251596810159098E-2</v>
      </c>
      <c r="L29" s="20">
        <f t="shared" si="20"/>
        <v>7.3812313390528739E-2</v>
      </c>
      <c r="M29" s="20">
        <f t="shared" si="20"/>
        <v>6.9306067151790704E-2</v>
      </c>
      <c r="N29" s="20">
        <f t="shared" si="20"/>
        <v>7.525431218692491E-2</v>
      </c>
      <c r="O29" s="20">
        <f t="shared" si="20"/>
        <v>8.4223195829832509E-2</v>
      </c>
      <c r="P29" s="20">
        <f t="shared" si="20"/>
        <v>5.2903330842784327E-2</v>
      </c>
      <c r="Q29" s="20">
        <f t="shared" si="20"/>
        <v>9.1971032104824005E-2</v>
      </c>
      <c r="R29" s="20">
        <f t="shared" si="20"/>
        <v>7.4896719743463763E-2</v>
      </c>
      <c r="S29" s="20">
        <f t="shared" si="20"/>
        <v>7.7646983576912895E-2</v>
      </c>
      <c r="T29" s="7"/>
      <c r="V29" s="29" t="s">
        <v>46</v>
      </c>
      <c r="W29" s="20">
        <f t="shared" si="3"/>
        <v>7.8137732744968394E-2</v>
      </c>
      <c r="X29" s="20">
        <f t="shared" si="4"/>
        <v>9.6680453266501626E-2</v>
      </c>
      <c r="Y29" s="20">
        <f t="shared" si="5"/>
        <v>8.7824228539799196E-2</v>
      </c>
      <c r="Z29" s="20">
        <f t="shared" si="6"/>
        <v>8.0090407294085078E-2</v>
      </c>
      <c r="AA29" s="20">
        <f t="shared" si="7"/>
        <v>8.6332815695198253E-2</v>
      </c>
      <c r="AB29" s="20">
        <f t="shared" si="8"/>
        <v>7.291010009378987E-2</v>
      </c>
      <c r="AC29" s="20">
        <f t="shared" si="9"/>
        <v>7.5154907055766537E-2</v>
      </c>
      <c r="AD29" s="20">
        <f t="shared" si="10"/>
        <v>7.88142499115915E-2</v>
      </c>
      <c r="AE29" s="20">
        <f t="shared" si="11"/>
        <v>8.7839603929949703E-2</v>
      </c>
      <c r="AF29" s="20">
        <f t="shared" si="12"/>
        <v>5.6289303341072267E-2</v>
      </c>
      <c r="AG29" s="20">
        <f t="shared" si="13"/>
        <v>9.4281892403019721E-2</v>
      </c>
      <c r="AH29" s="20">
        <f t="shared" si="14"/>
        <v>7.8506742108580996E-2</v>
      </c>
      <c r="AI29" s="20">
        <f t="shared" si="15"/>
        <v>8.132043850612708E-2</v>
      </c>
      <c r="AK29" s="29" t="s">
        <v>46</v>
      </c>
      <c r="AL29" s="7">
        <v>6856.2999999999993</v>
      </c>
      <c r="AM29" s="20">
        <f t="shared" si="16"/>
        <v>5.9477409375956941E-2</v>
      </c>
      <c r="AO29" s="26">
        <v>2020</v>
      </c>
      <c r="AP29" s="7">
        <v>71616.558710562414</v>
      </c>
      <c r="AQ29" s="7">
        <v>10939.409053497942</v>
      </c>
      <c r="AR29" s="7">
        <v>65099.795198902619</v>
      </c>
      <c r="AS29" s="7">
        <v>191518.69711934158</v>
      </c>
      <c r="AU29" s="29" t="s">
        <v>46</v>
      </c>
      <c r="AV29" s="7">
        <v>491.4</v>
      </c>
      <c r="AW29" s="7">
        <v>17498.2</v>
      </c>
      <c r="BB29" s="27" t="s">
        <v>46</v>
      </c>
      <c r="BC29">
        <v>491.4</v>
      </c>
      <c r="BD29">
        <v>17498.2</v>
      </c>
      <c r="BE29" s="27" t="s">
        <v>46</v>
      </c>
      <c r="BF29">
        <v>6555.4000000000005</v>
      </c>
      <c r="BG29">
        <v>1475.2</v>
      </c>
      <c r="BH29">
        <v>5935.5</v>
      </c>
      <c r="BI29">
        <v>997.5</v>
      </c>
      <c r="BJ29">
        <v>2534.6</v>
      </c>
      <c r="BK29">
        <v>491.4</v>
      </c>
      <c r="BM29" s="27" t="s">
        <v>35</v>
      </c>
      <c r="BN29" s="83">
        <v>2039.3000000000002</v>
      </c>
      <c r="BO29" s="83">
        <v>460.40000000000003</v>
      </c>
      <c r="BP29" s="83">
        <v>1885</v>
      </c>
      <c r="BQ29" s="83">
        <v>317.10000000000002</v>
      </c>
      <c r="BR29" s="83">
        <v>805.1</v>
      </c>
      <c r="BS29" s="83">
        <v>152.4</v>
      </c>
      <c r="BU29" s="26" t="s">
        <v>41</v>
      </c>
      <c r="BV29" s="7">
        <v>6818.6999999999989</v>
      </c>
      <c r="BW29" s="7"/>
      <c r="BX29" s="7">
        <v>6818.6999999999989</v>
      </c>
    </row>
    <row r="30" spans="1:79" x14ac:dyDescent="0.25">
      <c r="V30" s="26">
        <v>2023</v>
      </c>
      <c r="W30" s="20"/>
      <c r="X30" s="7"/>
      <c r="Y30" s="7"/>
      <c r="Z30" s="7"/>
      <c r="AA30" s="7"/>
      <c r="AB30" s="7"/>
      <c r="AC30" s="7"/>
      <c r="AD30" s="7"/>
      <c r="AE30" s="7"/>
      <c r="AF30" s="7"/>
      <c r="AG30" s="7"/>
      <c r="AH30" s="7"/>
      <c r="AI30" s="7"/>
      <c r="AK30" s="26">
        <v>2023</v>
      </c>
      <c r="AL30" s="7">
        <v>34396.699999999997</v>
      </c>
      <c r="AM30" s="20"/>
      <c r="AO30" s="29" t="s">
        <v>31</v>
      </c>
      <c r="AP30" s="7">
        <v>5824.4</v>
      </c>
      <c r="AQ30" s="7">
        <v>877.59999999999991</v>
      </c>
      <c r="AR30" s="7">
        <v>5313.5</v>
      </c>
      <c r="AS30" s="7">
        <v>15602.7</v>
      </c>
      <c r="AU30" s="26">
        <v>2022</v>
      </c>
      <c r="AV30" s="7">
        <v>6298.9</v>
      </c>
      <c r="AW30" s="7">
        <v>217628.4</v>
      </c>
      <c r="BB30" s="25">
        <v>2022</v>
      </c>
      <c r="BC30">
        <v>6298.9</v>
      </c>
      <c r="BD30">
        <v>217628.4</v>
      </c>
      <c r="BE30" s="25">
        <v>2022</v>
      </c>
      <c r="BF30">
        <v>80879</v>
      </c>
      <c r="BG30">
        <v>18747.699999999997</v>
      </c>
      <c r="BH30">
        <v>74110.299999999988</v>
      </c>
      <c r="BI30">
        <v>12416.000000000002</v>
      </c>
      <c r="BJ30">
        <v>31475.399999999998</v>
      </c>
      <c r="BK30">
        <v>6298.9</v>
      </c>
      <c r="BM30" s="27" t="s">
        <v>36</v>
      </c>
      <c r="BN30" s="83">
        <v>2039.3999999999999</v>
      </c>
      <c r="BO30" s="83">
        <v>462.1</v>
      </c>
      <c r="BP30" s="83">
        <v>1891.3</v>
      </c>
      <c r="BQ30" s="83">
        <v>315.5</v>
      </c>
      <c r="BR30" s="83">
        <v>810.2</v>
      </c>
      <c r="BS30" s="83">
        <v>155.5</v>
      </c>
      <c r="BU30" s="26" t="s">
        <v>42</v>
      </c>
      <c r="BV30" s="7">
        <v>6855.1</v>
      </c>
      <c r="BW30" s="7"/>
      <c r="BX30" s="7">
        <v>6855.1</v>
      </c>
    </row>
    <row r="31" spans="1:79" x14ac:dyDescent="0.25">
      <c r="V31" s="29" t="s">
        <v>31</v>
      </c>
      <c r="W31" s="20">
        <f t="shared" ref="W31:AI35" si="21">G21/$T$8</f>
        <v>8.0121158074386134E-2</v>
      </c>
      <c r="X31" s="20">
        <f t="shared" si="21"/>
        <v>9.7510724334629983E-2</v>
      </c>
      <c r="Y31" s="20">
        <f t="shared" si="21"/>
        <v>8.9853780039668499E-2</v>
      </c>
      <c r="Z31" s="20">
        <f t="shared" si="21"/>
        <v>8.0582419778901862E-2</v>
      </c>
      <c r="AA31" s="20">
        <f t="shared" si="21"/>
        <v>8.5763926259628823E-2</v>
      </c>
      <c r="AB31" s="20">
        <f t="shared" si="21"/>
        <v>7.3048478605144601E-2</v>
      </c>
      <c r="AC31" s="20">
        <f t="shared" si="21"/>
        <v>7.2587216900628845E-2</v>
      </c>
      <c r="AD31" s="20">
        <f t="shared" si="21"/>
        <v>7.8845000691892542E-2</v>
      </c>
      <c r="AE31" s="20">
        <f t="shared" si="21"/>
        <v>8.8254739464013895E-2</v>
      </c>
      <c r="AF31" s="20">
        <f t="shared" si="21"/>
        <v>5.5981795538061777E-2</v>
      </c>
      <c r="AG31" s="20">
        <f t="shared" si="21"/>
        <v>9.5819431418072226E-2</v>
      </c>
      <c r="AH31" s="20">
        <f t="shared" si="21"/>
        <v>7.8721997570688346E-2</v>
      </c>
      <c r="AI31" s="20">
        <f t="shared" si="21"/>
        <v>8.1674072479589174E-2</v>
      </c>
      <c r="AK31" s="29" t="s">
        <v>31</v>
      </c>
      <c r="AL31" s="7">
        <v>6886.1</v>
      </c>
      <c r="AM31" s="20">
        <f t="shared" si="16"/>
        <v>5.9735920059474812E-2</v>
      </c>
      <c r="AO31" s="29" t="s">
        <v>35</v>
      </c>
      <c r="AP31" s="7">
        <v>5738</v>
      </c>
      <c r="AQ31" s="7">
        <v>882.6</v>
      </c>
      <c r="AR31" s="7">
        <v>5334.1</v>
      </c>
      <c r="AS31" s="7">
        <v>15557.399999999998</v>
      </c>
      <c r="AU31" s="29" t="s">
        <v>31</v>
      </c>
      <c r="AV31" s="7">
        <v>491.59999999999997</v>
      </c>
      <c r="AW31" s="7">
        <v>17496.900000000001</v>
      </c>
      <c r="BB31" s="27" t="s">
        <v>31</v>
      </c>
      <c r="BC31">
        <v>491.59999999999997</v>
      </c>
      <c r="BD31">
        <v>17496.900000000001</v>
      </c>
      <c r="BE31" s="27" t="s">
        <v>31</v>
      </c>
      <c r="BF31">
        <v>6503.9</v>
      </c>
      <c r="BG31">
        <v>1489.7</v>
      </c>
      <c r="BH31">
        <v>5963.2000000000007</v>
      </c>
      <c r="BI31">
        <v>1001.1999999999999</v>
      </c>
      <c r="BJ31">
        <v>2538.9</v>
      </c>
      <c r="BK31">
        <v>491.59999999999997</v>
      </c>
      <c r="BM31" s="27" t="s">
        <v>37</v>
      </c>
      <c r="BN31" s="83">
        <v>2064.1</v>
      </c>
      <c r="BO31" s="83">
        <v>464.6</v>
      </c>
      <c r="BP31" s="83">
        <v>1899.9999999999998</v>
      </c>
      <c r="BQ31" s="83">
        <v>317.70000000000005</v>
      </c>
      <c r="BR31" s="83">
        <v>812.30000000000007</v>
      </c>
      <c r="BS31" s="83">
        <v>155.6</v>
      </c>
      <c r="BU31" s="26" t="s">
        <v>43</v>
      </c>
      <c r="BV31" s="7">
        <v>6904.1</v>
      </c>
      <c r="BW31" s="7"/>
      <c r="BX31" s="7">
        <v>6904.1</v>
      </c>
    </row>
    <row r="32" spans="1:79" x14ac:dyDescent="0.25">
      <c r="V32" s="29" t="s">
        <v>35</v>
      </c>
      <c r="W32" s="20">
        <f t="shared" si="21"/>
        <v>8.045941665769768E-2</v>
      </c>
      <c r="X32" s="20">
        <f t="shared" si="21"/>
        <v>9.6111563830932181E-2</v>
      </c>
      <c r="Y32" s="20">
        <f t="shared" si="21"/>
        <v>8.0920678362213422E-2</v>
      </c>
      <c r="Z32" s="20">
        <f t="shared" si="21"/>
        <v>8.1827826381094426E-2</v>
      </c>
      <c r="AA32" s="20">
        <f t="shared" si="21"/>
        <v>8.2242961915158591E-2</v>
      </c>
      <c r="AB32" s="20">
        <f t="shared" si="21"/>
        <v>7.8229985085871548E-2</v>
      </c>
      <c r="AC32" s="20">
        <f t="shared" si="21"/>
        <v>7.2172081366564667E-2</v>
      </c>
      <c r="AD32" s="20">
        <f t="shared" si="21"/>
        <v>7.8968003813096752E-2</v>
      </c>
      <c r="AE32" s="20">
        <f t="shared" si="21"/>
        <v>8.9100385922292774E-2</v>
      </c>
      <c r="AF32" s="20">
        <f t="shared" si="21"/>
        <v>5.55051584433955E-2</v>
      </c>
      <c r="AG32" s="20">
        <f t="shared" si="21"/>
        <v>9.634219468319008E-2</v>
      </c>
      <c r="AH32" s="20">
        <f t="shared" si="21"/>
        <v>7.9152508494903059E-2</v>
      </c>
      <c r="AI32" s="20">
        <f t="shared" si="21"/>
        <v>8.1873952551545989E-2</v>
      </c>
      <c r="AK32" s="29" t="s">
        <v>35</v>
      </c>
      <c r="AL32" s="7">
        <v>6847.9999999999991</v>
      </c>
      <c r="AM32" s="20">
        <f t="shared" si="16"/>
        <v>5.9405408078198607E-2</v>
      </c>
      <c r="AO32" s="29" t="s">
        <v>36</v>
      </c>
      <c r="AP32" s="7">
        <v>5688.5</v>
      </c>
      <c r="AQ32" s="7">
        <v>889.59999999999991</v>
      </c>
      <c r="AR32" s="7">
        <v>5351.9000000000005</v>
      </c>
      <c r="AS32" s="7">
        <v>15545.900000000001</v>
      </c>
      <c r="AU32" s="29" t="s">
        <v>35</v>
      </c>
      <c r="AV32" s="7">
        <v>496.1</v>
      </c>
      <c r="AW32" s="7">
        <v>17553.099999999999</v>
      </c>
      <c r="BB32" s="27" t="s">
        <v>35</v>
      </c>
      <c r="BC32">
        <v>496.1</v>
      </c>
      <c r="BD32">
        <v>17553.099999999999</v>
      </c>
      <c r="BE32" s="27" t="s">
        <v>35</v>
      </c>
      <c r="BF32">
        <v>6495.1</v>
      </c>
      <c r="BG32">
        <v>1501.1</v>
      </c>
      <c r="BH32">
        <v>5997.2</v>
      </c>
      <c r="BI32">
        <v>1007.8</v>
      </c>
      <c r="BJ32">
        <v>2551.8999999999996</v>
      </c>
      <c r="BK32">
        <v>496.1</v>
      </c>
      <c r="BM32" s="27" t="s">
        <v>38</v>
      </c>
      <c r="BN32" s="83">
        <v>2105.7000000000003</v>
      </c>
      <c r="BO32" s="83">
        <v>474.29999999999995</v>
      </c>
      <c r="BP32" s="83">
        <v>1932.2</v>
      </c>
      <c r="BQ32" s="83">
        <v>324.39999999999998</v>
      </c>
      <c r="BR32" s="83">
        <v>825.09999999999991</v>
      </c>
      <c r="BS32" s="83">
        <v>159.4</v>
      </c>
      <c r="BU32" s="26" t="s">
        <v>45</v>
      </c>
      <c r="BV32" s="7">
        <v>6898.9000000000005</v>
      </c>
      <c r="BW32" s="7"/>
      <c r="BX32" s="7">
        <v>6898.9000000000005</v>
      </c>
    </row>
    <row r="33" spans="21:76" x14ac:dyDescent="0.25">
      <c r="V33" s="29" t="s">
        <v>36</v>
      </c>
      <c r="W33" s="20">
        <f t="shared" si="21"/>
        <v>8.0474792047848215E-2</v>
      </c>
      <c r="X33" s="20">
        <f t="shared" si="21"/>
        <v>9.6111563830932181E-2</v>
      </c>
      <c r="Y33" s="20">
        <f t="shared" si="21"/>
        <v>8.0920678362213422E-2</v>
      </c>
      <c r="Z33" s="20">
        <f t="shared" si="21"/>
        <v>8.1827826381094426E-2</v>
      </c>
      <c r="AA33" s="20">
        <f t="shared" si="21"/>
        <v>8.2212211134857549E-2</v>
      </c>
      <c r="AB33" s="20">
        <f t="shared" si="21"/>
        <v>7.8229985085871548E-2</v>
      </c>
      <c r="AC33" s="20">
        <f t="shared" si="21"/>
        <v>7.2202832146865722E-2</v>
      </c>
      <c r="AD33" s="20">
        <f t="shared" si="21"/>
        <v>7.8998754593397794E-2</v>
      </c>
      <c r="AE33" s="20">
        <f t="shared" si="21"/>
        <v>8.9100385922292774E-2</v>
      </c>
      <c r="AF33" s="20">
        <f t="shared" si="21"/>
        <v>5.55051584433955E-2</v>
      </c>
      <c r="AG33" s="20">
        <f t="shared" si="21"/>
        <v>9.634219468319008E-2</v>
      </c>
      <c r="AH33" s="20">
        <f t="shared" si="21"/>
        <v>7.9152508494903059E-2</v>
      </c>
      <c r="AI33" s="20">
        <f t="shared" si="21"/>
        <v>8.188932794169651E-2</v>
      </c>
      <c r="AK33" s="29" t="s">
        <v>36</v>
      </c>
      <c r="AL33" s="7">
        <v>6848.4000000000005</v>
      </c>
      <c r="AM33" s="20">
        <f t="shared" si="16"/>
        <v>5.9408878020259265E-2</v>
      </c>
      <c r="AO33" s="29" t="s">
        <v>37</v>
      </c>
      <c r="AP33" s="35">
        <v>5854.1185185185186</v>
      </c>
      <c r="AQ33" s="35">
        <v>885.44444444444434</v>
      </c>
      <c r="AR33" s="35">
        <v>5336.8370370370376</v>
      </c>
      <c r="AS33" s="35">
        <v>15678.022222222222</v>
      </c>
      <c r="AU33" s="29" t="s">
        <v>36</v>
      </c>
      <c r="AV33" s="7">
        <v>500.6</v>
      </c>
      <c r="AW33" s="7">
        <v>17702.800000000003</v>
      </c>
      <c r="BB33" s="27" t="s">
        <v>36</v>
      </c>
      <c r="BC33">
        <v>500.6</v>
      </c>
      <c r="BD33">
        <v>17702.800000000003</v>
      </c>
      <c r="BE33" s="27" t="s">
        <v>36</v>
      </c>
      <c r="BF33">
        <v>6559.6</v>
      </c>
      <c r="BG33">
        <v>1516.1</v>
      </c>
      <c r="BH33">
        <v>6040.9</v>
      </c>
      <c r="BI33">
        <v>1018.6</v>
      </c>
      <c r="BJ33">
        <v>2567.6000000000004</v>
      </c>
      <c r="BK33">
        <v>500.6</v>
      </c>
      <c r="BM33" s="27" t="s">
        <v>39</v>
      </c>
      <c r="BN33" s="83">
        <v>2133.9</v>
      </c>
      <c r="BO33" s="83">
        <v>474.7</v>
      </c>
      <c r="BP33" s="83">
        <v>1933</v>
      </c>
      <c r="BQ33" s="83">
        <v>325.10000000000002</v>
      </c>
      <c r="BR33" s="83">
        <v>824.80000000000007</v>
      </c>
      <c r="BS33" s="83">
        <v>159.80000000000001</v>
      </c>
      <c r="BU33" s="26" t="s">
        <v>46</v>
      </c>
      <c r="BV33" s="7">
        <v>6856.2999999999993</v>
      </c>
      <c r="BW33" s="7"/>
      <c r="BX33" s="7">
        <v>6856.2999999999993</v>
      </c>
    </row>
    <row r="34" spans="21:76" x14ac:dyDescent="0.25">
      <c r="V34" s="29" t="s">
        <v>37</v>
      </c>
      <c r="W34" s="20">
        <f t="shared" si="21"/>
        <v>8.0244161195590344E-2</v>
      </c>
      <c r="X34" s="20">
        <f t="shared" si="21"/>
        <v>9.6849582558157399E-2</v>
      </c>
      <c r="Y34" s="20">
        <f t="shared" si="21"/>
        <v>7.8399114377527321E-2</v>
      </c>
      <c r="Z34" s="20">
        <f t="shared" si="21"/>
        <v>8.2319838865911224E-2</v>
      </c>
      <c r="AA34" s="20">
        <f t="shared" si="21"/>
        <v>8.0274911975891386E-2</v>
      </c>
      <c r="AB34" s="20">
        <f t="shared" si="21"/>
        <v>8.136656467657867E-2</v>
      </c>
      <c r="AC34" s="20">
        <f t="shared" si="21"/>
        <v>7.3509740309660357E-2</v>
      </c>
      <c r="AD34" s="20">
        <f t="shared" si="21"/>
        <v>8.0090407294085092E-2</v>
      </c>
      <c r="AE34" s="20">
        <f t="shared" si="21"/>
        <v>8.9331016774550645E-2</v>
      </c>
      <c r="AF34" s="20">
        <f t="shared" si="21"/>
        <v>5.6089423269115445E-2</v>
      </c>
      <c r="AG34" s="20">
        <f t="shared" si="21"/>
        <v>9.7818232137640487E-2</v>
      </c>
      <c r="AH34" s="20">
        <f t="shared" si="21"/>
        <v>7.9429265517612493E-2</v>
      </c>
      <c r="AI34" s="20">
        <f t="shared" si="21"/>
        <v>8.2335214256061745E-2</v>
      </c>
      <c r="AK34" s="29" t="s">
        <v>37</v>
      </c>
      <c r="AL34" s="7">
        <v>6881.5000000000009</v>
      </c>
      <c r="AM34" s="20">
        <f t="shared" si="16"/>
        <v>5.9696015725777429E-2</v>
      </c>
      <c r="AO34" s="29" t="s">
        <v>38</v>
      </c>
      <c r="AP34" s="35">
        <v>5857.8401920438955</v>
      </c>
      <c r="AQ34" s="35">
        <v>883.76460905349779</v>
      </c>
      <c r="AR34" s="35">
        <v>5334.3581618655699</v>
      </c>
      <c r="AS34" s="35">
        <v>15675.97489711934</v>
      </c>
      <c r="AU34" s="29" t="s">
        <v>37</v>
      </c>
      <c r="AV34" s="7">
        <v>516</v>
      </c>
      <c r="AW34" s="7">
        <v>17911.900000000001</v>
      </c>
      <c r="BB34" s="27" t="s">
        <v>37</v>
      </c>
      <c r="BC34">
        <v>516</v>
      </c>
      <c r="BD34">
        <v>17911.900000000001</v>
      </c>
      <c r="BE34" s="27" t="s">
        <v>37</v>
      </c>
      <c r="BF34">
        <v>6651.3000000000011</v>
      </c>
      <c r="BG34">
        <v>1532.1000000000001</v>
      </c>
      <c r="BH34">
        <v>6106.8</v>
      </c>
      <c r="BI34">
        <v>1026.2</v>
      </c>
      <c r="BJ34">
        <v>2595.5</v>
      </c>
      <c r="BK34">
        <v>516</v>
      </c>
      <c r="BM34" s="27" t="s">
        <v>40</v>
      </c>
      <c r="BN34" s="83">
        <v>2147</v>
      </c>
      <c r="BO34" s="83">
        <v>477.29999999999995</v>
      </c>
      <c r="BP34" s="83">
        <v>1945.1999999999998</v>
      </c>
      <c r="BQ34" s="83">
        <v>327.10000000000002</v>
      </c>
      <c r="BR34" s="83">
        <v>829.4</v>
      </c>
      <c r="BS34" s="83">
        <v>160.69999999999999</v>
      </c>
      <c r="BU34" s="26" t="s">
        <v>52</v>
      </c>
      <c r="BV34" s="7">
        <v>80879</v>
      </c>
      <c r="BW34" s="7">
        <v>34396.699999999997</v>
      </c>
      <c r="BX34" s="7">
        <v>115275.7</v>
      </c>
    </row>
    <row r="35" spans="21:76" x14ac:dyDescent="0.25">
      <c r="V35" s="29" t="s">
        <v>38</v>
      </c>
      <c r="W35" s="20">
        <f t="shared" si="21"/>
        <v>8.0198035025138739E-2</v>
      </c>
      <c r="X35" s="20">
        <f t="shared" si="21"/>
        <v>9.9202017251187741E-2</v>
      </c>
      <c r="Y35" s="20">
        <f t="shared" si="21"/>
        <v>8.0090407294085078E-2</v>
      </c>
      <c r="Z35" s="20">
        <f t="shared" si="21"/>
        <v>8.2796475960577487E-2</v>
      </c>
      <c r="AA35" s="20">
        <f t="shared" si="21"/>
        <v>7.8060855794215775E-2</v>
      </c>
      <c r="AB35" s="20">
        <f t="shared" si="21"/>
        <v>7.9490767078214605E-2</v>
      </c>
      <c r="AC35" s="20">
        <f t="shared" si="21"/>
        <v>7.6062055074647514E-2</v>
      </c>
      <c r="AD35" s="20">
        <f t="shared" si="21"/>
        <v>8.1089807653869209E-2</v>
      </c>
      <c r="AE35" s="20">
        <f t="shared" si="21"/>
        <v>8.9638524577561149E-2</v>
      </c>
      <c r="AF35" s="20">
        <f t="shared" si="21"/>
        <v>5.6704438875136452E-2</v>
      </c>
      <c r="AG35" s="20">
        <f t="shared" si="21"/>
        <v>0.10007841448976766</v>
      </c>
      <c r="AH35" s="20">
        <f t="shared" si="21"/>
        <v>7.9644520979719857E-2</v>
      </c>
      <c r="AI35" s="20">
        <f t="shared" si="21"/>
        <v>8.287335291133012E-2</v>
      </c>
      <c r="AK35" s="29" t="s">
        <v>38</v>
      </c>
      <c r="AL35" s="7">
        <v>6932.7000000000007</v>
      </c>
      <c r="AM35" s="20">
        <f t="shared" si="16"/>
        <v>6.0140168309539659E-2</v>
      </c>
      <c r="AO35" s="29" t="s">
        <v>39</v>
      </c>
      <c r="AP35" s="7">
        <v>5912.8</v>
      </c>
      <c r="AQ35" s="7">
        <v>915.69999999999993</v>
      </c>
      <c r="AR35" s="7">
        <v>5442</v>
      </c>
      <c r="AS35" s="7">
        <v>15944.400000000001</v>
      </c>
      <c r="AU35" s="29" t="s">
        <v>38</v>
      </c>
      <c r="AV35" s="7">
        <v>523.40000000000009</v>
      </c>
      <c r="AW35" s="7">
        <v>18057.7</v>
      </c>
      <c r="BB35" s="27" t="s">
        <v>38</v>
      </c>
      <c r="BC35">
        <v>523.40000000000009</v>
      </c>
      <c r="BD35">
        <v>18057.7</v>
      </c>
      <c r="BE35" s="27" t="s">
        <v>38</v>
      </c>
      <c r="BF35">
        <v>6727.9000000000005</v>
      </c>
      <c r="BG35">
        <v>1547.8</v>
      </c>
      <c r="BH35">
        <v>6143.4</v>
      </c>
      <c r="BI35">
        <v>1027.7</v>
      </c>
      <c r="BJ35">
        <v>2610.9</v>
      </c>
      <c r="BK35">
        <v>523.40000000000009</v>
      </c>
      <c r="BM35" s="27" t="s">
        <v>41</v>
      </c>
      <c r="BN35" s="83">
        <v>2142</v>
      </c>
      <c r="BO35" s="83">
        <v>483</v>
      </c>
      <c r="BP35" s="83">
        <v>1961.0999999999997</v>
      </c>
      <c r="BQ35" s="83">
        <v>328.4</v>
      </c>
      <c r="BR35" s="83">
        <v>836.09999999999991</v>
      </c>
      <c r="BS35" s="83">
        <v>162.6</v>
      </c>
    </row>
    <row r="36" spans="21:76" x14ac:dyDescent="0.25">
      <c r="V36" s="26" t="s">
        <v>105</v>
      </c>
      <c r="W36" s="7"/>
      <c r="X36" s="7"/>
      <c r="Y36" s="7"/>
      <c r="Z36" s="7"/>
      <c r="AA36" s="7"/>
      <c r="AB36" s="7"/>
      <c r="AC36" s="7"/>
      <c r="AD36" s="7"/>
      <c r="AE36" s="7"/>
      <c r="AF36" s="7"/>
      <c r="AG36" s="7"/>
      <c r="AH36" s="7"/>
      <c r="AI36" s="7"/>
      <c r="AK36" s="26" t="s">
        <v>105</v>
      </c>
      <c r="AL36" s="7">
        <v>115275.7</v>
      </c>
      <c r="AM36" s="33">
        <f>SUM(AM18:AM35)</f>
        <v>1.0000000000000002</v>
      </c>
      <c r="AO36" s="29" t="s">
        <v>40</v>
      </c>
      <c r="AP36" s="7">
        <v>5912.8</v>
      </c>
      <c r="AQ36" s="7">
        <v>915.69999999999993</v>
      </c>
      <c r="AR36" s="7">
        <v>5442</v>
      </c>
      <c r="AS36" s="7">
        <v>15944.400000000001</v>
      </c>
      <c r="AU36" s="29" t="s">
        <v>39</v>
      </c>
      <c r="AV36" s="7">
        <v>527.59999999999991</v>
      </c>
      <c r="AW36" s="7">
        <v>18181.5</v>
      </c>
      <c r="BB36" s="27" t="s">
        <v>39</v>
      </c>
      <c r="BC36">
        <v>527.59999999999991</v>
      </c>
      <c r="BD36">
        <v>18181.5</v>
      </c>
      <c r="BE36" s="27" t="s">
        <v>39</v>
      </c>
      <c r="BF36">
        <v>6797.7</v>
      </c>
      <c r="BG36">
        <v>1561.1999999999998</v>
      </c>
      <c r="BH36">
        <v>6168.6</v>
      </c>
      <c r="BI36">
        <v>1032.6000000000001</v>
      </c>
      <c r="BJ36">
        <v>2621.3999999999996</v>
      </c>
      <c r="BK36">
        <v>527.59999999999991</v>
      </c>
      <c r="BM36" s="27" t="s">
        <v>42</v>
      </c>
      <c r="BN36" s="83">
        <v>2142</v>
      </c>
      <c r="BO36" s="83">
        <v>483.2</v>
      </c>
      <c r="BP36" s="83">
        <v>1961.2999999999997</v>
      </c>
      <c r="BQ36" s="83">
        <v>328.4</v>
      </c>
      <c r="BR36" s="83">
        <v>836.09999999999991</v>
      </c>
      <c r="BS36" s="83">
        <v>162.6</v>
      </c>
    </row>
    <row r="37" spans="21:76" x14ac:dyDescent="0.25">
      <c r="AO37" s="29" t="s">
        <v>41</v>
      </c>
      <c r="AP37" s="7">
        <v>5998.6999999999989</v>
      </c>
      <c r="AQ37" s="7">
        <v>925.6</v>
      </c>
      <c r="AR37" s="7">
        <v>5470.7</v>
      </c>
      <c r="AS37" s="7">
        <v>16075.599999999999</v>
      </c>
      <c r="AU37" s="29" t="s">
        <v>40</v>
      </c>
      <c r="AV37" s="7">
        <v>538.70000000000005</v>
      </c>
      <c r="AW37" s="7">
        <v>18274.5</v>
      </c>
      <c r="BB37" s="27" t="s">
        <v>40</v>
      </c>
      <c r="BC37">
        <v>538.70000000000005</v>
      </c>
      <c r="BD37">
        <v>18274.5</v>
      </c>
      <c r="BE37" s="27" t="s">
        <v>40</v>
      </c>
      <c r="BF37">
        <v>6810.4</v>
      </c>
      <c r="BG37">
        <v>1572.9</v>
      </c>
      <c r="BH37">
        <v>6210.6999999999989</v>
      </c>
      <c r="BI37">
        <v>1035.8</v>
      </c>
      <c r="BJ37">
        <v>2644.7</v>
      </c>
      <c r="BK37">
        <v>538.70000000000005</v>
      </c>
      <c r="BM37" s="27" t="s">
        <v>43</v>
      </c>
      <c r="BN37" s="83">
        <v>2175.5</v>
      </c>
      <c r="BO37" s="83">
        <v>486.3</v>
      </c>
      <c r="BP37" s="83">
        <v>1973.3000000000002</v>
      </c>
      <c r="BQ37" s="83">
        <v>329.9</v>
      </c>
      <c r="BR37" s="83">
        <v>840.4</v>
      </c>
      <c r="BS37" s="83">
        <v>164.2</v>
      </c>
    </row>
    <row r="38" spans="21:76" x14ac:dyDescent="0.25">
      <c r="AO38" s="29" t="s">
        <v>42</v>
      </c>
      <c r="AP38" s="7">
        <v>6036</v>
      </c>
      <c r="AQ38" s="7">
        <v>940.3</v>
      </c>
      <c r="AR38" s="7">
        <v>5498.8</v>
      </c>
      <c r="AS38" s="7">
        <v>16166.2</v>
      </c>
      <c r="AU38" s="29" t="s">
        <v>41</v>
      </c>
      <c r="AV38" s="7">
        <v>536.30000000000007</v>
      </c>
      <c r="AW38" s="7">
        <v>18333.099999999999</v>
      </c>
      <c r="BB38" s="27" t="s">
        <v>41</v>
      </c>
      <c r="BC38">
        <v>536.30000000000007</v>
      </c>
      <c r="BD38">
        <v>18333.099999999999</v>
      </c>
      <c r="BE38" s="27" t="s">
        <v>41</v>
      </c>
      <c r="BF38">
        <v>6818.6999999999989</v>
      </c>
      <c r="BG38">
        <v>1583.9</v>
      </c>
      <c r="BH38">
        <v>6238</v>
      </c>
      <c r="BI38">
        <v>1042.5</v>
      </c>
      <c r="BJ38">
        <v>2650</v>
      </c>
      <c r="BK38">
        <v>536.30000000000007</v>
      </c>
      <c r="BM38" s="27" t="s">
        <v>45</v>
      </c>
      <c r="BN38" s="83">
        <v>2194.1</v>
      </c>
      <c r="BO38" s="83">
        <v>490.40000000000003</v>
      </c>
      <c r="BP38" s="83">
        <v>1981.7</v>
      </c>
      <c r="BQ38" s="83">
        <v>332.1</v>
      </c>
      <c r="BR38" s="83">
        <v>842.30000000000007</v>
      </c>
      <c r="BS38" s="83">
        <v>163.9</v>
      </c>
    </row>
    <row r="39" spans="21:76" x14ac:dyDescent="0.25">
      <c r="AO39" s="29" t="s">
        <v>43</v>
      </c>
      <c r="AP39" s="7">
        <v>6159.7000000000007</v>
      </c>
      <c r="AQ39" s="7">
        <v>938.09999999999991</v>
      </c>
      <c r="AR39" s="7">
        <v>5505.9</v>
      </c>
      <c r="AS39" s="7">
        <v>16301.7</v>
      </c>
      <c r="AU39" s="29" t="s">
        <v>42</v>
      </c>
      <c r="AV39" s="7">
        <v>538.4</v>
      </c>
      <c r="AW39" s="7">
        <v>18426</v>
      </c>
      <c r="BB39" s="27" t="s">
        <v>42</v>
      </c>
      <c r="BC39">
        <v>538.4</v>
      </c>
      <c r="BD39">
        <v>18426</v>
      </c>
      <c r="BE39" s="27" t="s">
        <v>42</v>
      </c>
      <c r="BF39">
        <v>6855.1</v>
      </c>
      <c r="BG39">
        <v>1597.3000000000002</v>
      </c>
      <c r="BH39">
        <v>6268</v>
      </c>
      <c r="BI39">
        <v>1044.5999999999999</v>
      </c>
      <c r="BJ39">
        <v>2661</v>
      </c>
      <c r="BK39">
        <v>538.4</v>
      </c>
      <c r="BM39" s="27" t="s">
        <v>46</v>
      </c>
      <c r="BN39" s="83">
        <v>2180.9</v>
      </c>
      <c r="BO39" s="83">
        <v>494.2</v>
      </c>
      <c r="BP39" s="83">
        <v>1988.2</v>
      </c>
      <c r="BQ39" s="83">
        <v>333.2</v>
      </c>
      <c r="BR39" s="83">
        <v>843.5</v>
      </c>
      <c r="BS39" s="83">
        <v>164.1</v>
      </c>
    </row>
    <row r="40" spans="21:76" x14ac:dyDescent="0.25">
      <c r="U40" s="7"/>
      <c r="AO40" s="29" t="s">
        <v>45</v>
      </c>
      <c r="AP40" s="7">
        <v>6298.6999999999989</v>
      </c>
      <c r="AQ40" s="7">
        <v>940.6</v>
      </c>
      <c r="AR40" s="7">
        <v>5524.4</v>
      </c>
      <c r="AS40" s="7">
        <v>16475</v>
      </c>
      <c r="AU40" s="29" t="s">
        <v>43</v>
      </c>
      <c r="AV40" s="7">
        <v>541.29999999999995</v>
      </c>
      <c r="AW40" s="7">
        <v>18529.3</v>
      </c>
      <c r="BB40" s="27" t="s">
        <v>43</v>
      </c>
      <c r="BC40">
        <v>541.29999999999995</v>
      </c>
      <c r="BD40">
        <v>18529.3</v>
      </c>
      <c r="BE40" s="27" t="s">
        <v>43</v>
      </c>
      <c r="BF40">
        <v>6904.1</v>
      </c>
      <c r="BG40">
        <v>1606.3</v>
      </c>
      <c r="BH40">
        <v>6297.9</v>
      </c>
      <c r="BI40">
        <v>1051</v>
      </c>
      <c r="BJ40">
        <v>2670</v>
      </c>
      <c r="BK40">
        <v>541.29999999999995</v>
      </c>
      <c r="BM40" s="25">
        <v>2022</v>
      </c>
      <c r="BN40" s="83">
        <v>26918.600000000006</v>
      </c>
      <c r="BO40" s="83">
        <v>6280.8</v>
      </c>
      <c r="BP40" s="83">
        <v>24841.500000000007</v>
      </c>
      <c r="BQ40" s="83">
        <v>4145.6000000000004</v>
      </c>
      <c r="BR40" s="83">
        <v>10478.200000000001</v>
      </c>
      <c r="BS40" s="83">
        <v>2101.6</v>
      </c>
    </row>
    <row r="41" spans="21:76" x14ac:dyDescent="0.25">
      <c r="AO41" s="29" t="s">
        <v>46</v>
      </c>
      <c r="AP41" s="7">
        <v>6335</v>
      </c>
      <c r="AQ41" s="7">
        <v>944.40000000000009</v>
      </c>
      <c r="AR41" s="7">
        <v>5545.3</v>
      </c>
      <c r="AS41" s="7">
        <v>16551.400000000001</v>
      </c>
      <c r="AU41" s="29" t="s">
        <v>45</v>
      </c>
      <c r="AV41" s="7">
        <v>543.5</v>
      </c>
      <c r="AW41" s="7">
        <v>18576.099999999999</v>
      </c>
      <c r="BB41" s="27" t="s">
        <v>45</v>
      </c>
      <c r="BC41">
        <v>543.5</v>
      </c>
      <c r="BD41">
        <v>18576.099999999999</v>
      </c>
      <c r="BE41" s="27" t="s">
        <v>45</v>
      </c>
      <c r="BF41">
        <v>6898.9000000000005</v>
      </c>
      <c r="BG41">
        <v>1615.6</v>
      </c>
      <c r="BH41">
        <v>6325.2000000000007</v>
      </c>
      <c r="BI41">
        <v>1058.7</v>
      </c>
      <c r="BJ41">
        <v>2677.7</v>
      </c>
      <c r="BK41">
        <v>543.5</v>
      </c>
      <c r="BM41" s="27" t="s">
        <v>31</v>
      </c>
      <c r="BN41" s="83">
        <v>2164.1999999999998</v>
      </c>
      <c r="BO41" s="83">
        <v>499.1</v>
      </c>
      <c r="BP41" s="83">
        <v>1997.9</v>
      </c>
      <c r="BQ41" s="83">
        <v>334.4</v>
      </c>
      <c r="BR41" s="83">
        <v>845</v>
      </c>
      <c r="BS41" s="83">
        <v>164.2</v>
      </c>
    </row>
    <row r="42" spans="21:76" x14ac:dyDescent="0.25">
      <c r="AO42" s="26" t="s">
        <v>105</v>
      </c>
      <c r="AP42" s="7">
        <v>132176.3587105624</v>
      </c>
      <c r="AQ42" s="7">
        <v>20293.009053497943</v>
      </c>
      <c r="AR42" s="7">
        <v>122326.2951989026</v>
      </c>
      <c r="AS42" s="7">
        <v>357371.99711934157</v>
      </c>
      <c r="AU42" s="29" t="s">
        <v>46</v>
      </c>
      <c r="AV42" s="7">
        <v>545.40000000000009</v>
      </c>
      <c r="AW42" s="7">
        <v>18585.5</v>
      </c>
      <c r="BA42" t="e">
        <f>CORREL(AZ42,AY42)</f>
        <v>#VALUE!</v>
      </c>
      <c r="BB42" s="27" t="s">
        <v>46</v>
      </c>
      <c r="BC42">
        <v>545.40000000000009</v>
      </c>
      <c r="BD42">
        <v>18585.5</v>
      </c>
      <c r="BE42" s="27" t="s">
        <v>46</v>
      </c>
      <c r="BF42">
        <v>6856.2999999999993</v>
      </c>
      <c r="BG42">
        <v>1623.7</v>
      </c>
      <c r="BH42">
        <v>6350.4</v>
      </c>
      <c r="BI42">
        <v>1069.3</v>
      </c>
      <c r="BJ42">
        <v>2685.8</v>
      </c>
      <c r="BK42">
        <v>545.40000000000009</v>
      </c>
      <c r="BM42" s="27" t="s">
        <v>35</v>
      </c>
      <c r="BN42" s="83">
        <v>2161.2000000000003</v>
      </c>
      <c r="BO42" s="83">
        <v>502.80000000000007</v>
      </c>
      <c r="BP42" s="83">
        <v>2009.6000000000004</v>
      </c>
      <c r="BQ42" s="83">
        <v>336.6</v>
      </c>
      <c r="BR42" s="83">
        <v>849.49999999999989</v>
      </c>
      <c r="BS42" s="83">
        <v>165.7</v>
      </c>
    </row>
    <row r="43" spans="21:76" x14ac:dyDescent="0.25">
      <c r="AU43" s="26">
        <v>2023</v>
      </c>
      <c r="AV43" s="7">
        <v>2731.7</v>
      </c>
      <c r="AW43" s="7">
        <v>93800.5</v>
      </c>
      <c r="BB43" s="25">
        <v>2023</v>
      </c>
      <c r="BC43">
        <v>2731.7</v>
      </c>
      <c r="BD43">
        <v>93800.5</v>
      </c>
      <c r="BE43" s="25">
        <v>2023</v>
      </c>
      <c r="BF43">
        <v>34396.699999999997</v>
      </c>
      <c r="BG43">
        <v>8214.2000000000007</v>
      </c>
      <c r="BH43">
        <v>32152</v>
      </c>
      <c r="BI43">
        <v>5488.5</v>
      </c>
      <c r="BJ43">
        <v>13549.099999999999</v>
      </c>
      <c r="BK43">
        <v>2731.7</v>
      </c>
      <c r="BM43" s="27" t="s">
        <v>36</v>
      </c>
      <c r="BN43" s="83">
        <v>2184.2000000000003</v>
      </c>
      <c r="BO43" s="83">
        <v>507.79999999999995</v>
      </c>
      <c r="BP43" s="83">
        <v>2024.2</v>
      </c>
      <c r="BQ43" s="83">
        <v>340.2</v>
      </c>
      <c r="BR43" s="83">
        <v>854.80000000000007</v>
      </c>
      <c r="BS43" s="83">
        <v>167.2</v>
      </c>
    </row>
    <row r="44" spans="21:76" x14ac:dyDescent="0.25">
      <c r="AU44" s="29" t="s">
        <v>31</v>
      </c>
      <c r="AV44" s="7">
        <v>545.29999999999995</v>
      </c>
      <c r="AW44" s="7">
        <v>18671.599999999999</v>
      </c>
      <c r="BB44" s="27" t="s">
        <v>31</v>
      </c>
      <c r="BC44">
        <v>545.29999999999995</v>
      </c>
      <c r="BD44">
        <v>18671.599999999999</v>
      </c>
      <c r="BE44" s="27" t="s">
        <v>31</v>
      </c>
      <c r="BF44">
        <v>6886.1</v>
      </c>
      <c r="BG44">
        <v>1630.8000000000002</v>
      </c>
      <c r="BH44">
        <v>6380.2</v>
      </c>
      <c r="BI44">
        <v>1081.3000000000002</v>
      </c>
      <c r="BJ44">
        <v>2693.2</v>
      </c>
      <c r="BK44">
        <v>545.29999999999995</v>
      </c>
      <c r="BM44" s="27" t="s">
        <v>37</v>
      </c>
      <c r="BN44" s="83">
        <v>2214.3000000000002</v>
      </c>
      <c r="BO44" s="83">
        <v>513.20000000000005</v>
      </c>
      <c r="BP44" s="83">
        <v>2047.0000000000002</v>
      </c>
      <c r="BQ44" s="83">
        <v>342.8</v>
      </c>
      <c r="BR44" s="83">
        <v>864.2</v>
      </c>
      <c r="BS44" s="83">
        <v>172.2</v>
      </c>
    </row>
    <row r="45" spans="21:76" x14ac:dyDescent="0.25">
      <c r="AU45" s="29" t="s">
        <v>35</v>
      </c>
      <c r="AV45" s="7">
        <v>546.5</v>
      </c>
      <c r="AW45" s="7">
        <v>18714.5</v>
      </c>
      <c r="BB45" s="27" t="s">
        <v>35</v>
      </c>
      <c r="BC45">
        <v>546.5</v>
      </c>
      <c r="BD45">
        <v>18714.5</v>
      </c>
      <c r="BE45" s="27" t="s">
        <v>35</v>
      </c>
      <c r="BF45">
        <v>6847.9999999999991</v>
      </c>
      <c r="BG45">
        <v>1642.1</v>
      </c>
      <c r="BH45">
        <v>6423</v>
      </c>
      <c r="BI45">
        <v>1094.9000000000001</v>
      </c>
      <c r="BJ45">
        <v>2706.5</v>
      </c>
      <c r="BK45">
        <v>546.5</v>
      </c>
      <c r="BM45" s="27" t="s">
        <v>38</v>
      </c>
      <c r="BN45" s="83">
        <v>2238.9000000000005</v>
      </c>
      <c r="BO45" s="83">
        <v>518.6</v>
      </c>
      <c r="BP45" s="83">
        <v>2059.1999999999998</v>
      </c>
      <c r="BQ45" s="83">
        <v>343.20000000000005</v>
      </c>
      <c r="BR45" s="83">
        <v>869.19999999999993</v>
      </c>
      <c r="BS45" s="83">
        <v>174.6</v>
      </c>
    </row>
    <row r="46" spans="21:76" x14ac:dyDescent="0.25">
      <c r="AU46" s="29" t="s">
        <v>36</v>
      </c>
      <c r="AV46" s="7">
        <v>545.9</v>
      </c>
      <c r="AW46" s="7">
        <v>18713.7</v>
      </c>
      <c r="BB46" s="27" t="s">
        <v>36</v>
      </c>
      <c r="BC46">
        <v>545.9</v>
      </c>
      <c r="BD46">
        <v>18713.7</v>
      </c>
      <c r="BE46" s="27" t="s">
        <v>36</v>
      </c>
      <c r="BF46">
        <v>6848.4000000000005</v>
      </c>
      <c r="BG46">
        <v>1641.9</v>
      </c>
      <c r="BH46">
        <v>6422.4</v>
      </c>
      <c r="BI46">
        <v>1095</v>
      </c>
      <c r="BJ46">
        <v>2706</v>
      </c>
      <c r="BK46">
        <v>545.9</v>
      </c>
      <c r="BM46" s="27" t="s">
        <v>39</v>
      </c>
      <c r="BN46" s="83">
        <v>2261.9</v>
      </c>
      <c r="BO46" s="83">
        <v>523</v>
      </c>
      <c r="BP46" s="83">
        <v>2067.1999999999998</v>
      </c>
      <c r="BQ46" s="83">
        <v>344.8</v>
      </c>
      <c r="BR46" s="83">
        <v>872.6</v>
      </c>
      <c r="BS46" s="83">
        <v>176</v>
      </c>
    </row>
    <row r="47" spans="21:76" x14ac:dyDescent="0.25">
      <c r="AU47" s="29" t="s">
        <v>37</v>
      </c>
      <c r="AV47" s="7">
        <v>545.29999999999995</v>
      </c>
      <c r="AW47" s="7">
        <v>18803.7</v>
      </c>
      <c r="BB47" s="27" t="s">
        <v>37</v>
      </c>
      <c r="BC47">
        <v>545.29999999999995</v>
      </c>
      <c r="BD47">
        <v>18803.7</v>
      </c>
      <c r="BE47" s="27" t="s">
        <v>37</v>
      </c>
      <c r="BF47">
        <v>6881.5000000000009</v>
      </c>
      <c r="BG47">
        <v>1647.6000000000001</v>
      </c>
      <c r="BH47">
        <v>6452.3</v>
      </c>
      <c r="BI47">
        <v>1105.9000000000001</v>
      </c>
      <c r="BJ47">
        <v>2716.3999999999996</v>
      </c>
      <c r="BK47">
        <v>545.29999999999995</v>
      </c>
      <c r="BM47" s="27" t="s">
        <v>40</v>
      </c>
      <c r="BN47" s="83">
        <v>2266.3000000000002</v>
      </c>
      <c r="BO47" s="83">
        <v>526.90000000000009</v>
      </c>
      <c r="BP47" s="83">
        <v>2081.3999999999996</v>
      </c>
      <c r="BQ47" s="83">
        <v>345.79999999999995</v>
      </c>
      <c r="BR47" s="83">
        <v>880.3</v>
      </c>
      <c r="BS47" s="83">
        <v>179.6</v>
      </c>
    </row>
    <row r="48" spans="21:76" x14ac:dyDescent="0.25">
      <c r="AU48" s="29" t="s">
        <v>38</v>
      </c>
      <c r="AV48" s="7">
        <v>548.70000000000005</v>
      </c>
      <c r="AW48" s="7">
        <v>18897</v>
      </c>
      <c r="BB48" s="27" t="s">
        <v>38</v>
      </c>
      <c r="BC48">
        <v>548.70000000000005</v>
      </c>
      <c r="BD48">
        <v>18897</v>
      </c>
      <c r="BE48" s="27" t="s">
        <v>38</v>
      </c>
      <c r="BF48">
        <v>6932.7000000000007</v>
      </c>
      <c r="BG48">
        <v>1651.8000000000002</v>
      </c>
      <c r="BH48">
        <v>6474.1</v>
      </c>
      <c r="BI48">
        <v>1111.4000000000001</v>
      </c>
      <c r="BJ48">
        <v>2727</v>
      </c>
      <c r="BK48">
        <v>548.70000000000005</v>
      </c>
      <c r="BM48" s="27" t="s">
        <v>41</v>
      </c>
      <c r="BN48" s="83">
        <v>2269.2000000000003</v>
      </c>
      <c r="BO48" s="83">
        <v>530.70000000000005</v>
      </c>
      <c r="BP48" s="83">
        <v>2091.1000000000004</v>
      </c>
      <c r="BQ48" s="83">
        <v>348</v>
      </c>
      <c r="BR48" s="83">
        <v>882.1</v>
      </c>
      <c r="BS48" s="83">
        <v>178.8</v>
      </c>
    </row>
    <row r="49" spans="47:71" x14ac:dyDescent="0.25">
      <c r="AU49" s="25" t="s">
        <v>105</v>
      </c>
      <c r="AV49">
        <v>14744.099999999999</v>
      </c>
      <c r="AW49">
        <v>515651.7</v>
      </c>
      <c r="BB49" s="25" t="s">
        <v>105</v>
      </c>
      <c r="BC49">
        <v>14744.099999999999</v>
      </c>
      <c r="BD49">
        <v>515651.7</v>
      </c>
      <c r="BE49" s="25" t="s">
        <v>105</v>
      </c>
      <c r="BF49">
        <v>191717.59999999998</v>
      </c>
      <c r="BG49">
        <v>44001.2</v>
      </c>
      <c r="BH49">
        <v>175595</v>
      </c>
      <c r="BI49">
        <v>29563.899999999998</v>
      </c>
      <c r="BJ49">
        <v>74774</v>
      </c>
      <c r="BK49">
        <v>14744.099999999999</v>
      </c>
      <c r="BM49" s="27" t="s">
        <v>42</v>
      </c>
      <c r="BN49" s="83">
        <v>2280.9</v>
      </c>
      <c r="BO49" s="83">
        <v>535.1</v>
      </c>
      <c r="BP49" s="83">
        <v>2101.2000000000003</v>
      </c>
      <c r="BQ49" s="83">
        <v>348.70000000000005</v>
      </c>
      <c r="BR49" s="83">
        <v>885.8</v>
      </c>
      <c r="BS49" s="83">
        <v>179.5</v>
      </c>
    </row>
    <row r="50" spans="47:71" x14ac:dyDescent="0.25">
      <c r="BM50" s="27" t="s">
        <v>43</v>
      </c>
      <c r="BN50" s="83">
        <v>2297.3000000000002</v>
      </c>
      <c r="BO50" s="83">
        <v>538.20000000000005</v>
      </c>
      <c r="BP50" s="83">
        <v>2111.9</v>
      </c>
      <c r="BQ50" s="83">
        <v>350.79999999999995</v>
      </c>
      <c r="BR50" s="83">
        <v>888.9</v>
      </c>
      <c r="BS50" s="83">
        <v>180.5</v>
      </c>
    </row>
    <row r="51" spans="47:71" x14ac:dyDescent="0.25">
      <c r="BM51" s="27" t="s">
        <v>45</v>
      </c>
      <c r="BN51" s="83">
        <v>2296.8000000000002</v>
      </c>
      <c r="BO51" s="83">
        <v>541.4</v>
      </c>
      <c r="BP51" s="83">
        <v>2121.4</v>
      </c>
      <c r="BQ51" s="83">
        <v>353.4</v>
      </c>
      <c r="BR51" s="83">
        <v>891.50000000000011</v>
      </c>
      <c r="BS51" s="83">
        <v>181.3</v>
      </c>
    </row>
    <row r="52" spans="47:71" x14ac:dyDescent="0.25">
      <c r="BM52" s="27" t="s">
        <v>46</v>
      </c>
      <c r="BN52" s="83">
        <v>2283.4</v>
      </c>
      <c r="BO52" s="83">
        <v>544</v>
      </c>
      <c r="BP52" s="83">
        <v>2129.4</v>
      </c>
      <c r="BQ52" s="83">
        <v>356.9</v>
      </c>
      <c r="BR52" s="83">
        <v>894.30000000000007</v>
      </c>
      <c r="BS52" s="83">
        <v>182</v>
      </c>
    </row>
    <row r="53" spans="47:71" x14ac:dyDescent="0.25">
      <c r="BM53" s="25">
        <v>2023</v>
      </c>
      <c r="BN53" s="83">
        <v>11447.499999999998</v>
      </c>
      <c r="BO53" s="83">
        <v>2751.2</v>
      </c>
      <c r="BP53" s="83">
        <v>10784.2</v>
      </c>
      <c r="BQ53" s="83">
        <v>1831.6</v>
      </c>
      <c r="BR53" s="83">
        <v>4510.8</v>
      </c>
      <c r="BS53" s="83">
        <v>910.5</v>
      </c>
    </row>
    <row r="54" spans="47:71" x14ac:dyDescent="0.25">
      <c r="BM54" s="27" t="s">
        <v>31</v>
      </c>
      <c r="BN54" s="83">
        <v>2292.6999999999998</v>
      </c>
      <c r="BO54" s="83">
        <v>546.29999999999995</v>
      </c>
      <c r="BP54" s="83">
        <v>2139.7999999999997</v>
      </c>
      <c r="BQ54" s="83">
        <v>360.9</v>
      </c>
      <c r="BR54" s="83">
        <v>896.8</v>
      </c>
      <c r="BS54" s="83">
        <v>182</v>
      </c>
    </row>
    <row r="55" spans="47:71" x14ac:dyDescent="0.25">
      <c r="BM55" s="27" t="s">
        <v>35</v>
      </c>
      <c r="BN55" s="83">
        <v>2279.1</v>
      </c>
      <c r="BO55" s="83">
        <v>550</v>
      </c>
      <c r="BP55" s="83">
        <v>2154.1999999999998</v>
      </c>
      <c r="BQ55" s="83">
        <v>365.4</v>
      </c>
      <c r="BR55" s="83">
        <v>901</v>
      </c>
      <c r="BS55" s="83">
        <v>182.1</v>
      </c>
    </row>
    <row r="56" spans="47:71" x14ac:dyDescent="0.25">
      <c r="BM56" s="27" t="s">
        <v>36</v>
      </c>
      <c r="BN56" s="83">
        <v>2279.1999999999998</v>
      </c>
      <c r="BO56" s="83">
        <v>549.9</v>
      </c>
      <c r="BP56" s="83">
        <v>2153.9</v>
      </c>
      <c r="BQ56" s="83">
        <v>365.4</v>
      </c>
      <c r="BR56" s="83">
        <v>900.80000000000007</v>
      </c>
      <c r="BS56" s="83">
        <v>181.9</v>
      </c>
    </row>
    <row r="57" spans="47:71" x14ac:dyDescent="0.25">
      <c r="BM57" s="27" t="s">
        <v>37</v>
      </c>
      <c r="BN57" s="83">
        <v>2289.6000000000004</v>
      </c>
      <c r="BO57" s="83">
        <v>551.79999999999995</v>
      </c>
      <c r="BP57" s="83">
        <v>2164.5</v>
      </c>
      <c r="BQ57" s="83">
        <v>369</v>
      </c>
      <c r="BR57" s="83">
        <v>904.4</v>
      </c>
      <c r="BS57" s="83">
        <v>181.7</v>
      </c>
    </row>
    <row r="58" spans="47:71" x14ac:dyDescent="0.25">
      <c r="BM58" s="27" t="s">
        <v>38</v>
      </c>
      <c r="BN58" s="83">
        <v>2306.9</v>
      </c>
      <c r="BO58" s="83">
        <v>553.20000000000005</v>
      </c>
      <c r="BP58" s="83">
        <v>2171.8000000000002</v>
      </c>
      <c r="BQ58" s="83">
        <v>370.9</v>
      </c>
      <c r="BR58" s="83">
        <v>907.8</v>
      </c>
      <c r="BS58" s="83">
        <v>182.8</v>
      </c>
    </row>
    <row r="59" spans="47:71" x14ac:dyDescent="0.25">
      <c r="BM59" s="25" t="s">
        <v>105</v>
      </c>
      <c r="BN59" s="83">
        <v>63806.500000000007</v>
      </c>
      <c r="BO59" s="83">
        <v>14738.3</v>
      </c>
      <c r="BP59" s="83">
        <v>58842.700000000012</v>
      </c>
      <c r="BQ59" s="83">
        <v>9872.1999999999989</v>
      </c>
      <c r="BR59" s="83">
        <v>24889.399999999998</v>
      </c>
      <c r="BS59" s="83">
        <v>4920.7999999999993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BF356-D437-4E3A-BF63-24C7346DABA9}">
  <dimension ref="P3:X21"/>
  <sheetViews>
    <sheetView showGridLines="0" workbookViewId="0">
      <selection activeCell="V18" sqref="U18:V18"/>
    </sheetView>
  </sheetViews>
  <sheetFormatPr defaultRowHeight="15" x14ac:dyDescent="0.25"/>
  <cols>
    <col min="15" max="15" width="10.5703125" customWidth="1"/>
    <col min="16" max="16" width="18.140625" customWidth="1"/>
    <col min="17" max="17" width="28.42578125" customWidth="1"/>
    <col min="18" max="18" width="24.7109375" customWidth="1"/>
    <col min="19" max="19" width="24.5703125" customWidth="1"/>
    <col min="20" max="20" width="20.28515625" customWidth="1"/>
    <col min="21" max="21" width="23.7109375" customWidth="1"/>
    <col min="22" max="22" width="24" customWidth="1"/>
  </cols>
  <sheetData>
    <row r="3" spans="16:24" ht="18.75" x14ac:dyDescent="0.3">
      <c r="P3" s="19"/>
      <c r="Q3" s="79" t="s">
        <v>71</v>
      </c>
      <c r="R3" s="80"/>
      <c r="S3" s="80"/>
      <c r="T3" s="80"/>
      <c r="U3" s="80"/>
      <c r="V3" s="81"/>
      <c r="W3" s="13"/>
      <c r="X3" s="13"/>
    </row>
    <row r="4" spans="16:24" ht="15.75" x14ac:dyDescent="0.25">
      <c r="P4" s="9" t="s">
        <v>91</v>
      </c>
      <c r="Q4" s="15" t="s">
        <v>53</v>
      </c>
      <c r="R4" s="16" t="s">
        <v>54</v>
      </c>
      <c r="S4" s="5" t="s">
        <v>72</v>
      </c>
      <c r="T4" s="17" t="s">
        <v>56</v>
      </c>
      <c r="U4" s="18" t="s">
        <v>57</v>
      </c>
      <c r="V4" s="11" t="s">
        <v>73</v>
      </c>
    </row>
    <row r="5" spans="16:24" x14ac:dyDescent="0.25">
      <c r="P5" s="14">
        <v>1</v>
      </c>
      <c r="Q5" s="7" t="s">
        <v>74</v>
      </c>
      <c r="R5" s="7" t="s">
        <v>18</v>
      </c>
      <c r="S5" s="7" t="s">
        <v>17</v>
      </c>
      <c r="T5" s="7" t="s">
        <v>85</v>
      </c>
      <c r="U5" s="7" t="s">
        <v>23</v>
      </c>
      <c r="V5" s="7" t="s">
        <v>87</v>
      </c>
    </row>
    <row r="6" spans="16:24" x14ac:dyDescent="0.25">
      <c r="P6" s="14">
        <v>2</v>
      </c>
      <c r="Q6" s="7" t="s">
        <v>75</v>
      </c>
      <c r="R6" s="7" t="s">
        <v>54</v>
      </c>
      <c r="S6" s="7" t="s">
        <v>20</v>
      </c>
      <c r="T6" s="7" t="s">
        <v>84</v>
      </c>
      <c r="U6" s="7" t="s">
        <v>86</v>
      </c>
      <c r="V6" s="7" t="s">
        <v>88</v>
      </c>
    </row>
    <row r="7" spans="16:24" x14ac:dyDescent="0.25">
      <c r="P7" s="14">
        <v>3</v>
      </c>
      <c r="Q7" s="7" t="s">
        <v>5</v>
      </c>
      <c r="R7" s="7"/>
      <c r="S7" s="7" t="s">
        <v>82</v>
      </c>
      <c r="T7" s="7"/>
      <c r="U7" s="7"/>
      <c r="V7" s="7" t="s">
        <v>28</v>
      </c>
    </row>
    <row r="8" spans="16:24" x14ac:dyDescent="0.25">
      <c r="P8" s="14">
        <v>4</v>
      </c>
      <c r="Q8" s="7" t="s">
        <v>76</v>
      </c>
      <c r="R8" s="7"/>
      <c r="S8" s="7" t="s">
        <v>83</v>
      </c>
      <c r="T8" s="7"/>
      <c r="U8" s="7"/>
      <c r="V8" s="7"/>
    </row>
    <row r="9" spans="16:24" x14ac:dyDescent="0.25">
      <c r="P9" s="14">
        <v>5</v>
      </c>
      <c r="Q9" s="7" t="s">
        <v>77</v>
      </c>
      <c r="R9" s="7"/>
      <c r="S9" s="7" t="s">
        <v>26</v>
      </c>
      <c r="T9" s="7"/>
      <c r="U9" s="7"/>
      <c r="V9" s="7"/>
    </row>
    <row r="10" spans="16:24" x14ac:dyDescent="0.25">
      <c r="P10" s="14">
        <v>6</v>
      </c>
      <c r="Q10" s="7" t="s">
        <v>8</v>
      </c>
      <c r="R10" s="7"/>
      <c r="S10" s="7"/>
      <c r="T10" s="7"/>
      <c r="U10" s="7"/>
      <c r="V10" s="7"/>
    </row>
    <row r="11" spans="16:24" x14ac:dyDescent="0.25">
      <c r="P11" s="14">
        <v>7</v>
      </c>
      <c r="Q11" s="7" t="s">
        <v>9</v>
      </c>
      <c r="R11" s="7"/>
      <c r="S11" s="7"/>
      <c r="T11" s="7"/>
      <c r="U11" s="7"/>
      <c r="V11" s="7"/>
    </row>
    <row r="12" spans="16:24" x14ac:dyDescent="0.25">
      <c r="P12" s="14">
        <v>8</v>
      </c>
      <c r="Q12" s="7" t="s">
        <v>78</v>
      </c>
      <c r="R12" s="7"/>
      <c r="S12" s="7"/>
      <c r="T12" s="7"/>
      <c r="U12" s="7"/>
      <c r="V12" s="7"/>
    </row>
    <row r="13" spans="16:24" x14ac:dyDescent="0.25">
      <c r="P13" s="14">
        <v>9</v>
      </c>
      <c r="Q13" s="7" t="s">
        <v>79</v>
      </c>
      <c r="R13" s="7"/>
      <c r="S13" s="7"/>
      <c r="T13" s="7"/>
      <c r="U13" s="7"/>
      <c r="V13" s="7"/>
    </row>
    <row r="14" spans="16:24" x14ac:dyDescent="0.25">
      <c r="P14" s="14">
        <v>10</v>
      </c>
      <c r="Q14" s="7" t="s">
        <v>12</v>
      </c>
      <c r="R14" s="7"/>
      <c r="S14" s="7"/>
      <c r="T14" s="7"/>
      <c r="U14" s="7"/>
      <c r="V14" s="7"/>
    </row>
    <row r="15" spans="16:24" x14ac:dyDescent="0.25">
      <c r="P15" s="14">
        <v>11</v>
      </c>
      <c r="Q15" s="7" t="s">
        <v>13</v>
      </c>
      <c r="R15" s="7"/>
      <c r="S15" s="7"/>
      <c r="T15" s="7"/>
      <c r="U15" s="7"/>
      <c r="V15" s="7"/>
    </row>
    <row r="16" spans="16:24" x14ac:dyDescent="0.25">
      <c r="P16" s="14">
        <v>12</v>
      </c>
      <c r="Q16" s="7" t="s">
        <v>80</v>
      </c>
      <c r="R16" s="7"/>
      <c r="S16" s="7"/>
      <c r="T16" s="7"/>
      <c r="U16" s="7"/>
      <c r="V16" s="7"/>
    </row>
    <row r="17" spans="16:24" x14ac:dyDescent="0.25">
      <c r="P17" s="14">
        <v>13</v>
      </c>
      <c r="Q17" s="7" t="s">
        <v>81</v>
      </c>
      <c r="R17" s="7"/>
      <c r="S17" s="7"/>
      <c r="T17" s="7"/>
      <c r="U17" s="7"/>
      <c r="V17" s="7"/>
    </row>
    <row r="19" spans="16:24" x14ac:dyDescent="0.25">
      <c r="P19" s="14" t="s">
        <v>52</v>
      </c>
      <c r="Q19" s="7">
        <f>SUM(Table1_1[Food])</f>
        <v>679479.85871056223</v>
      </c>
      <c r="R19" s="7">
        <f>SUM(Table1_1[Clothing &amp; Footwear])</f>
        <v>156472.14677640618</v>
      </c>
      <c r="S19" s="7">
        <f>SUM(Table1_1[Essential services])</f>
        <v>618984.39519890305</v>
      </c>
      <c r="T19" s="7">
        <f>SUM(Table1_1[Energy])</f>
        <v>50825.606995884758</v>
      </c>
      <c r="U19" s="7">
        <f>SUM(Table1_1[Healthcare])</f>
        <v>101238.20905349798</v>
      </c>
      <c r="V19" s="7">
        <f>SUM(Table1_1[Luxury &amp;Other Thing])</f>
        <v>261167.38737997256</v>
      </c>
      <c r="X19">
        <f>SUM(Q19:V19)</f>
        <v>1868167.6041152268</v>
      </c>
    </row>
    <row r="20" spans="16:24" x14ac:dyDescent="0.25">
      <c r="P20" s="14" t="s">
        <v>89</v>
      </c>
      <c r="Q20" s="7">
        <f t="array" ref="Q20">AVERAGE(Table1_1[Food])</f>
        <v>1826.5587599746295</v>
      </c>
      <c r="R20" s="7">
        <f t="array" ref="R20">AVERAGE(Table1_1[Clothing &amp; Footwear])</f>
        <v>420.62405047421015</v>
      </c>
      <c r="S20" s="7">
        <f t="array" ref="S20">AVERAGE(Table1_1[Essential services])</f>
        <v>1663.9365462336104</v>
      </c>
      <c r="T20" s="7">
        <f t="array" ref="T20">AVERAGE(Table1_1[Energy])</f>
        <v>136.62797579538915</v>
      </c>
      <c r="U20" s="7">
        <f t="array" ref="U20">AVERAGE(Table1_1[Healthcare])</f>
        <v>272.14572326209134</v>
      </c>
      <c r="V20" s="7">
        <f t="array" ref="V20">AVERAGE(Table1_1[Luxury &amp;Other Thing])</f>
        <v>702.06286930100146</v>
      </c>
    </row>
    <row r="21" spans="16:24" x14ac:dyDescent="0.25">
      <c r="P21" s="14" t="s">
        <v>90</v>
      </c>
      <c r="Q21" s="20">
        <f t="shared" ref="Q21:V21" si="0">Q19/$X$19</f>
        <v>0.36371461383539361</v>
      </c>
      <c r="R21" s="20">
        <f t="shared" si="0"/>
        <v>8.3757017535111444E-2</v>
      </c>
      <c r="S21" s="20">
        <f t="shared" si="0"/>
        <v>0.33133236752173373</v>
      </c>
      <c r="T21" s="20">
        <f t="shared" si="0"/>
        <v>2.7206128017596157E-2</v>
      </c>
      <c r="U21" s="20">
        <f t="shared" si="0"/>
        <v>5.4191181150175703E-2</v>
      </c>
      <c r="V21" s="20">
        <f t="shared" si="0"/>
        <v>0.13979869193998934</v>
      </c>
    </row>
  </sheetData>
  <mergeCells count="1">
    <mergeCell ref="Q3:V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1F62A-3158-4177-B646-8E3A3E7EABDC}">
  <dimension ref="A1"/>
  <sheetViews>
    <sheetView showGridLines="0" workbookViewId="0">
      <selection activeCell="G22" sqref="G22"/>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2FD91-CB7F-46DB-A5AC-D9A49CF2660E}">
  <dimension ref="A2:D17"/>
  <sheetViews>
    <sheetView showGridLines="0" topLeftCell="A16" workbookViewId="0">
      <selection activeCell="C14" sqref="C14"/>
    </sheetView>
  </sheetViews>
  <sheetFormatPr defaultRowHeight="15" x14ac:dyDescent="0.25"/>
  <cols>
    <col min="1" max="1" width="20.140625" customWidth="1"/>
    <col min="2" max="2" width="14.28515625" customWidth="1"/>
    <col min="3" max="3" width="16.28515625" customWidth="1"/>
    <col min="13" max="13" width="29.85546875" customWidth="1"/>
    <col min="14" max="14" width="14.140625" customWidth="1"/>
    <col min="15" max="15" width="13.42578125" customWidth="1"/>
  </cols>
  <sheetData>
    <row r="2" spans="1:4" x14ac:dyDescent="0.25">
      <c r="A2" s="39" t="s">
        <v>97</v>
      </c>
      <c r="B2" s="39" t="s">
        <v>98</v>
      </c>
      <c r="C2" s="39" t="s">
        <v>99</v>
      </c>
      <c r="D2" s="39" t="s">
        <v>100</v>
      </c>
    </row>
    <row r="3" spans="1:4" x14ac:dyDescent="0.25">
      <c r="A3" s="3" t="s">
        <v>93</v>
      </c>
      <c r="B3">
        <v>34396.700000000004</v>
      </c>
      <c r="C3" s="53">
        <f t="shared" ref="C3:C8" si="0">B3/$B$10</f>
        <v>0.35632358943440634</v>
      </c>
      <c r="D3" s="54">
        <v>44927</v>
      </c>
    </row>
    <row r="4" spans="1:4" x14ac:dyDescent="0.25">
      <c r="A4" s="3" t="s">
        <v>54</v>
      </c>
      <c r="B4">
        <v>8214.2000000000007</v>
      </c>
      <c r="C4" s="55">
        <f t="shared" si="0"/>
        <v>8.5092849846994056E-2</v>
      </c>
      <c r="D4" s="54">
        <v>44958</v>
      </c>
    </row>
    <row r="5" spans="1:4" x14ac:dyDescent="0.25">
      <c r="A5" s="3" t="s">
        <v>94</v>
      </c>
      <c r="B5">
        <v>32152</v>
      </c>
      <c r="C5" s="56">
        <f t="shared" si="0"/>
        <v>0.3330702086972015</v>
      </c>
      <c r="D5" s="54">
        <v>44986</v>
      </c>
    </row>
    <row r="6" spans="1:4" x14ac:dyDescent="0.25">
      <c r="A6" s="3" t="s">
        <v>56</v>
      </c>
      <c r="B6">
        <v>2731.7</v>
      </c>
      <c r="C6" s="56">
        <f t="shared" si="0"/>
        <v>2.8298329469337687E-2</v>
      </c>
      <c r="D6" s="54">
        <v>45017</v>
      </c>
    </row>
    <row r="7" spans="1:4" x14ac:dyDescent="0.25">
      <c r="A7" s="3" t="s">
        <v>57</v>
      </c>
      <c r="B7">
        <v>5488.5</v>
      </c>
      <c r="C7" s="55">
        <f t="shared" si="0"/>
        <v>5.6856675803514257E-2</v>
      </c>
      <c r="D7" s="54">
        <v>45047</v>
      </c>
    </row>
    <row r="8" spans="1:4" x14ac:dyDescent="0.25">
      <c r="A8" s="3" t="s">
        <v>95</v>
      </c>
      <c r="B8">
        <v>13549.1</v>
      </c>
      <c r="C8" s="55">
        <f t="shared" si="0"/>
        <v>0.14035834674854608</v>
      </c>
    </row>
    <row r="9" spans="1:4" x14ac:dyDescent="0.25">
      <c r="A9" s="3"/>
    </row>
    <row r="10" spans="1:4" x14ac:dyDescent="0.25">
      <c r="A10" s="57" t="s">
        <v>96</v>
      </c>
      <c r="B10" s="58">
        <f>SUM(B3:B8)</f>
        <v>96532.200000000012</v>
      </c>
      <c r="C10" s="59">
        <v>1</v>
      </c>
      <c r="D10" s="58"/>
    </row>
    <row r="12" spans="1:4" x14ac:dyDescent="0.25">
      <c r="A12" s="51" t="s">
        <v>140</v>
      </c>
      <c r="B12" s="41" t="s">
        <v>141</v>
      </c>
    </row>
    <row r="13" spans="1:4" x14ac:dyDescent="0.25">
      <c r="A13" s="27" t="s">
        <v>31</v>
      </c>
      <c r="B13">
        <v>18671.599999999999</v>
      </c>
    </row>
    <row r="14" spans="1:4" x14ac:dyDescent="0.25">
      <c r="A14" s="27" t="s">
        <v>35</v>
      </c>
      <c r="B14">
        <v>18714.5</v>
      </c>
    </row>
    <row r="15" spans="1:4" x14ac:dyDescent="0.25">
      <c r="A15" s="27" t="s">
        <v>36</v>
      </c>
      <c r="B15">
        <v>18713.7</v>
      </c>
    </row>
    <row r="16" spans="1:4" x14ac:dyDescent="0.25">
      <c r="A16" s="27" t="s">
        <v>37</v>
      </c>
      <c r="B16">
        <v>18803.7</v>
      </c>
    </row>
    <row r="17" spans="1:2" x14ac:dyDescent="0.25">
      <c r="A17" s="27" t="s">
        <v>38</v>
      </c>
      <c r="B17">
        <v>18897</v>
      </c>
    </row>
  </sheetData>
  <conditionalFormatting sqref="A3:C8">
    <cfRule type="dataBar" priority="1">
      <dataBar>
        <cfvo type="min"/>
        <cfvo type="max"/>
        <color rgb="FF63C384"/>
      </dataBar>
      <extLst>
        <ext xmlns:x14="http://schemas.microsoft.com/office/spreadsheetml/2009/9/main" uri="{B025F937-C7B1-47D3-B67F-A62EFF666E3E}">
          <x14:id>{856E0976-6A89-413D-AD14-A4FE67CF0DDC}</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56E0976-6A89-413D-AD14-A4FE67CF0DDC}">
            <x14:dataBar minLength="0" maxLength="100" gradient="0">
              <x14:cfvo type="autoMin"/>
              <x14:cfvo type="autoMax"/>
              <x14:negativeFillColor rgb="FFFF0000"/>
              <x14:axisColor rgb="FF000000"/>
            </x14:dataBar>
          </x14:cfRule>
          <xm:sqref>A3:C8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B578F-BA39-4F8D-BC79-EA5F9C08B094}">
  <dimension ref="A1"/>
  <sheetViews>
    <sheetView showGridLines="0" topLeftCell="D1" workbookViewId="0">
      <selection activeCell="I19" sqref="I19"/>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ABC0D-C746-4F4E-BF76-432A6750FE0C}">
  <dimension ref="A4:K36"/>
  <sheetViews>
    <sheetView showGridLines="0" topLeftCell="E1" workbookViewId="0">
      <selection activeCell="E24" sqref="E24:E36"/>
    </sheetView>
  </sheetViews>
  <sheetFormatPr defaultRowHeight="15" x14ac:dyDescent="0.25"/>
  <cols>
    <col min="1" max="1" width="21" customWidth="1"/>
    <col min="2" max="2" width="22.7109375" customWidth="1"/>
    <col min="3" max="3" width="16.28515625" customWidth="1"/>
    <col min="5" max="5" width="10.140625" customWidth="1"/>
    <col min="6" max="6" width="14.5703125" customWidth="1"/>
    <col min="7" max="7" width="15.42578125" customWidth="1"/>
    <col min="8" max="8" width="15" customWidth="1"/>
    <col min="9" max="9" width="14.7109375" customWidth="1"/>
    <col min="10" max="10" width="13.42578125" customWidth="1"/>
    <col min="11" max="11" width="18" customWidth="1"/>
    <col min="12" max="12" width="12.85546875" customWidth="1"/>
    <col min="13" max="13" width="15" customWidth="1"/>
    <col min="14" max="14" width="18.42578125" customWidth="1"/>
    <col min="15" max="15" width="14.28515625" customWidth="1"/>
    <col min="16" max="16" width="11.85546875" customWidth="1"/>
    <col min="17" max="17" width="9.5703125" customWidth="1"/>
  </cols>
  <sheetData>
    <row r="4" spans="1:6" x14ac:dyDescent="0.25">
      <c r="A4" s="39" t="s">
        <v>101</v>
      </c>
      <c r="B4" s="39" t="s">
        <v>102</v>
      </c>
      <c r="C4" s="39" t="s">
        <v>99</v>
      </c>
    </row>
    <row r="5" spans="1:6" x14ac:dyDescent="0.25">
      <c r="A5" s="3" t="s">
        <v>53</v>
      </c>
      <c r="B5">
        <v>450619.15870000003</v>
      </c>
      <c r="C5" s="60">
        <v>0.36070000000000002</v>
      </c>
    </row>
    <row r="6" spans="1:6" x14ac:dyDescent="0.25">
      <c r="A6" s="3" t="s">
        <v>54</v>
      </c>
      <c r="B6">
        <v>104404.1468</v>
      </c>
      <c r="C6" s="60">
        <v>8.3599999999999994E-2</v>
      </c>
    </row>
    <row r="7" spans="1:6" x14ac:dyDescent="0.25">
      <c r="A7" s="3" t="s">
        <v>72</v>
      </c>
      <c r="B7">
        <v>415232.29519999999</v>
      </c>
      <c r="C7" s="60">
        <v>0.33229999999999998</v>
      </c>
    </row>
    <row r="8" spans="1:6" x14ac:dyDescent="0.25">
      <c r="A8" s="3" t="s">
        <v>56</v>
      </c>
      <c r="B8">
        <v>34139.707000000002</v>
      </c>
      <c r="C8" s="60">
        <v>2.7300000000000001E-2</v>
      </c>
    </row>
    <row r="9" spans="1:6" x14ac:dyDescent="0.25">
      <c r="A9" s="3" t="s">
        <v>57</v>
      </c>
      <c r="B9">
        <v>68570.509049999993</v>
      </c>
      <c r="C9" s="60">
        <v>5.4899999999999997E-2</v>
      </c>
    </row>
    <row r="10" spans="1:6" x14ac:dyDescent="0.25">
      <c r="A10" s="3" t="s">
        <v>103</v>
      </c>
      <c r="B10">
        <v>176476.88740000001</v>
      </c>
      <c r="C10" s="60">
        <v>0.14119999999999999</v>
      </c>
    </row>
    <row r="12" spans="1:6" x14ac:dyDescent="0.25">
      <c r="A12" s="3" t="s">
        <v>96</v>
      </c>
      <c r="B12">
        <v>1249514.7039999999</v>
      </c>
      <c r="C12" s="61">
        <v>1</v>
      </c>
    </row>
    <row r="15" spans="1:6" x14ac:dyDescent="0.25">
      <c r="A15" s="42" t="s">
        <v>107</v>
      </c>
      <c r="B15" s="42" t="s">
        <v>34</v>
      </c>
      <c r="C15" s="39" t="s">
        <v>148</v>
      </c>
      <c r="D15" s="42" t="s">
        <v>1</v>
      </c>
      <c r="E15" s="42" t="s">
        <v>101</v>
      </c>
      <c r="F15" s="62" t="s">
        <v>98</v>
      </c>
    </row>
    <row r="16" spans="1:6" x14ac:dyDescent="0.25">
      <c r="A16" s="25">
        <v>2017</v>
      </c>
      <c r="B16">
        <v>57650.8</v>
      </c>
      <c r="C16">
        <v>3.2352178000000002E-2</v>
      </c>
      <c r="D16">
        <v>2022</v>
      </c>
      <c r="E16" t="s">
        <v>53</v>
      </c>
      <c r="F16">
        <v>26918.6</v>
      </c>
    </row>
    <row r="17" spans="1:11" x14ac:dyDescent="0.25">
      <c r="A17" s="25">
        <v>2018</v>
      </c>
      <c r="B17">
        <v>59940.100000000006</v>
      </c>
      <c r="C17">
        <f t="shared" ref="C17:C22" si="0">(B17-B16)/B16</f>
        <v>3.9709769855752267E-2</v>
      </c>
      <c r="E17" t="s">
        <v>143</v>
      </c>
      <c r="F17">
        <v>6280.8</v>
      </c>
    </row>
    <row r="18" spans="1:11" x14ac:dyDescent="0.25">
      <c r="A18" s="25">
        <v>2019</v>
      </c>
      <c r="B18">
        <v>56910.30000000001</v>
      </c>
      <c r="C18">
        <f t="shared" si="0"/>
        <v>-5.0547129551001671E-2</v>
      </c>
      <c r="E18" t="s">
        <v>72</v>
      </c>
      <c r="F18">
        <v>24841.5</v>
      </c>
    </row>
    <row r="19" spans="1:11" x14ac:dyDescent="0.25">
      <c r="A19" s="25">
        <v>2020</v>
      </c>
      <c r="B19">
        <v>65635.895473251032</v>
      </c>
      <c r="C19">
        <f t="shared" si="0"/>
        <v>0.15332190259497877</v>
      </c>
      <c r="E19" t="s">
        <v>144</v>
      </c>
      <c r="F19">
        <v>4145.6000000000004</v>
      </c>
    </row>
    <row r="20" spans="1:11" x14ac:dyDescent="0.25">
      <c r="A20" s="25">
        <v>2021</v>
      </c>
      <c r="B20">
        <v>70067.799999999988</v>
      </c>
      <c r="C20">
        <f t="shared" si="0"/>
        <v>6.7522572744590892E-2</v>
      </c>
      <c r="E20" t="s">
        <v>145</v>
      </c>
      <c r="F20">
        <v>10478.200000000001</v>
      </c>
    </row>
    <row r="21" spans="1:11" x14ac:dyDescent="0.25">
      <c r="A21" s="25">
        <v>2022</v>
      </c>
      <c r="B21" s="63">
        <v>74766.3</v>
      </c>
      <c r="C21">
        <f t="shared" si="0"/>
        <v>6.705647958120585E-2</v>
      </c>
      <c r="E21" t="s">
        <v>56</v>
      </c>
      <c r="F21">
        <v>2101.6</v>
      </c>
    </row>
    <row r="22" spans="1:11" x14ac:dyDescent="0.25">
      <c r="A22" s="25">
        <v>2023</v>
      </c>
      <c r="B22">
        <v>32235.8</v>
      </c>
      <c r="C22">
        <f t="shared" si="0"/>
        <v>-0.56884585702381951</v>
      </c>
    </row>
    <row r="24" spans="1:11" x14ac:dyDescent="0.25">
      <c r="A24" s="51" t="s">
        <v>107</v>
      </c>
      <c r="B24" s="51" t="s">
        <v>30</v>
      </c>
      <c r="C24" s="51" t="s">
        <v>33</v>
      </c>
      <c r="E24" s="42" t="s">
        <v>100</v>
      </c>
      <c r="F24" s="42" t="s">
        <v>53</v>
      </c>
      <c r="G24" s="42" t="s">
        <v>54</v>
      </c>
      <c r="H24" s="42" t="s">
        <v>55</v>
      </c>
      <c r="I24" s="42" t="s">
        <v>57</v>
      </c>
      <c r="J24" s="42" t="s">
        <v>146</v>
      </c>
      <c r="K24" s="42" t="s">
        <v>56</v>
      </c>
    </row>
    <row r="25" spans="1:11" x14ac:dyDescent="0.25">
      <c r="A25" s="25">
        <v>2017</v>
      </c>
      <c r="B25">
        <v>57109.899999999994</v>
      </c>
      <c r="C25">
        <v>54838.6</v>
      </c>
      <c r="E25" s="27" t="s">
        <v>31</v>
      </c>
      <c r="F25">
        <v>2164.1999999999998</v>
      </c>
      <c r="G25">
        <v>499.1</v>
      </c>
      <c r="H25">
        <v>1997.9</v>
      </c>
      <c r="I25">
        <v>334.4</v>
      </c>
      <c r="J25">
        <v>845</v>
      </c>
      <c r="K25">
        <v>164.2</v>
      </c>
    </row>
    <row r="26" spans="1:11" x14ac:dyDescent="0.25">
      <c r="A26" s="25">
        <v>2018</v>
      </c>
      <c r="B26">
        <v>59332.5</v>
      </c>
      <c r="C26">
        <v>56722.8</v>
      </c>
      <c r="E26" s="27" t="s">
        <v>35</v>
      </c>
      <c r="F26">
        <v>2161.2000000000003</v>
      </c>
      <c r="G26">
        <v>502.80000000000007</v>
      </c>
      <c r="H26">
        <v>2009.6000000000004</v>
      </c>
      <c r="I26">
        <v>336.6</v>
      </c>
      <c r="J26">
        <v>849.49999999999989</v>
      </c>
      <c r="K26">
        <v>165.7</v>
      </c>
    </row>
    <row r="27" spans="1:11" x14ac:dyDescent="0.25">
      <c r="A27" s="25">
        <v>2019</v>
      </c>
      <c r="B27">
        <v>56123.1</v>
      </c>
      <c r="C27">
        <v>54362.600000000006</v>
      </c>
      <c r="E27" s="27" t="s">
        <v>36</v>
      </c>
      <c r="F27">
        <v>2184.2000000000003</v>
      </c>
      <c r="G27">
        <v>507.79999999999995</v>
      </c>
      <c r="H27">
        <v>2024.2</v>
      </c>
      <c r="I27">
        <v>340.2</v>
      </c>
      <c r="J27">
        <v>854.80000000000007</v>
      </c>
      <c r="K27">
        <v>167.2</v>
      </c>
    </row>
    <row r="28" spans="1:11" x14ac:dyDescent="0.25">
      <c r="A28" s="25">
        <v>2020</v>
      </c>
      <c r="B28">
        <v>64319.707407407404</v>
      </c>
      <c r="C28">
        <v>63299.676543209884</v>
      </c>
      <c r="E28" s="27" t="s">
        <v>37</v>
      </c>
      <c r="F28">
        <v>2214.3000000000002</v>
      </c>
      <c r="G28">
        <v>513.20000000000005</v>
      </c>
      <c r="H28">
        <v>2047.0000000000002</v>
      </c>
      <c r="I28">
        <v>342.8</v>
      </c>
      <c r="J28">
        <v>864.2</v>
      </c>
      <c r="K28">
        <v>172.2</v>
      </c>
    </row>
    <row r="29" spans="1:11" x14ac:dyDescent="0.25">
      <c r="A29" s="25">
        <v>2021</v>
      </c>
      <c r="B29">
        <v>68523</v>
      </c>
      <c r="C29">
        <v>67540.7</v>
      </c>
      <c r="E29" s="27" t="s">
        <v>38</v>
      </c>
      <c r="F29">
        <v>2238.9000000000005</v>
      </c>
      <c r="G29">
        <v>518.6</v>
      </c>
      <c r="H29">
        <v>2059.1999999999998</v>
      </c>
      <c r="I29">
        <v>343.20000000000005</v>
      </c>
      <c r="J29">
        <v>869.19999999999993</v>
      </c>
      <c r="K29">
        <v>174.6</v>
      </c>
    </row>
    <row r="30" spans="1:11" x14ac:dyDescent="0.25">
      <c r="A30" s="25">
        <v>2022</v>
      </c>
      <c r="B30">
        <v>72951.199999999983</v>
      </c>
      <c r="C30">
        <v>72012.499999999985</v>
      </c>
      <c r="E30" s="27" t="s">
        <v>39</v>
      </c>
      <c r="F30">
        <v>2261.9</v>
      </c>
      <c r="G30">
        <v>523</v>
      </c>
      <c r="H30">
        <v>2067.1999999999998</v>
      </c>
      <c r="I30">
        <v>344.8</v>
      </c>
      <c r="J30">
        <v>872.6</v>
      </c>
      <c r="K30">
        <v>176</v>
      </c>
    </row>
    <row r="31" spans="1:11" x14ac:dyDescent="0.25">
      <c r="A31" s="25">
        <v>2023</v>
      </c>
      <c r="B31">
        <v>31383.800000000003</v>
      </c>
      <c r="C31">
        <v>31091.399999999998</v>
      </c>
      <c r="E31" s="27" t="s">
        <v>40</v>
      </c>
      <c r="F31">
        <v>2266.3000000000002</v>
      </c>
      <c r="G31">
        <v>526.90000000000009</v>
      </c>
      <c r="H31">
        <v>2081.3999999999996</v>
      </c>
      <c r="I31">
        <v>345.79999999999995</v>
      </c>
      <c r="J31">
        <v>880.3</v>
      </c>
      <c r="K31">
        <v>179.6</v>
      </c>
    </row>
    <row r="32" spans="1:11" x14ac:dyDescent="0.25">
      <c r="A32" s="25"/>
      <c r="E32" s="27" t="s">
        <v>41</v>
      </c>
      <c r="F32">
        <v>2269.2000000000003</v>
      </c>
      <c r="G32">
        <v>530.70000000000005</v>
      </c>
      <c r="H32">
        <v>2091.1000000000004</v>
      </c>
      <c r="I32">
        <v>348</v>
      </c>
      <c r="J32">
        <v>882.1</v>
      </c>
      <c r="K32">
        <v>178.8</v>
      </c>
    </row>
    <row r="33" spans="1:11" x14ac:dyDescent="0.25">
      <c r="A33" s="41" t="s">
        <v>139</v>
      </c>
      <c r="B33" s="82">
        <f>CORREL(B25:B31,C25:C31)</f>
        <v>0.99816770917251019</v>
      </c>
      <c r="C33" s="82"/>
      <c r="E33" s="27" t="s">
        <v>42</v>
      </c>
      <c r="F33">
        <v>2280.9</v>
      </c>
      <c r="G33">
        <v>535.1</v>
      </c>
      <c r="H33">
        <v>2101.2000000000003</v>
      </c>
      <c r="I33">
        <v>348.70000000000005</v>
      </c>
      <c r="J33">
        <v>885.8</v>
      </c>
      <c r="K33">
        <v>179.5</v>
      </c>
    </row>
    <row r="34" spans="1:11" x14ac:dyDescent="0.25">
      <c r="E34" s="27" t="s">
        <v>43</v>
      </c>
      <c r="F34">
        <v>2297.3000000000002</v>
      </c>
      <c r="G34">
        <v>538.20000000000005</v>
      </c>
      <c r="H34">
        <v>2111.9</v>
      </c>
      <c r="I34">
        <v>350.79999999999995</v>
      </c>
      <c r="J34">
        <v>888.9</v>
      </c>
      <c r="K34">
        <v>180.5</v>
      </c>
    </row>
    <row r="35" spans="1:11" x14ac:dyDescent="0.25">
      <c r="E35" s="27" t="s">
        <v>45</v>
      </c>
      <c r="F35">
        <v>2296.8000000000002</v>
      </c>
      <c r="G35">
        <v>541.4</v>
      </c>
      <c r="H35">
        <v>2121.4</v>
      </c>
      <c r="I35">
        <v>353.4</v>
      </c>
      <c r="J35">
        <v>891.50000000000011</v>
      </c>
      <c r="K35">
        <v>181.3</v>
      </c>
    </row>
    <row r="36" spans="1:11" x14ac:dyDescent="0.25">
      <c r="E36" s="27" t="s">
        <v>46</v>
      </c>
      <c r="F36">
        <v>2283.4</v>
      </c>
      <c r="G36">
        <v>544</v>
      </c>
      <c r="H36">
        <v>2129.4</v>
      </c>
      <c r="I36">
        <v>356.9</v>
      </c>
      <c r="J36">
        <v>894.30000000000007</v>
      </c>
      <c r="K36">
        <v>182</v>
      </c>
    </row>
  </sheetData>
  <mergeCells count="1">
    <mergeCell ref="B33:C33"/>
  </mergeCells>
  <conditionalFormatting sqref="A5:C12">
    <cfRule type="dataBar" priority="7">
      <dataBar>
        <cfvo type="min"/>
        <cfvo type="max"/>
        <color rgb="FF63C384"/>
      </dataBar>
      <extLst>
        <ext xmlns:x14="http://schemas.microsoft.com/office/spreadsheetml/2009/9/main" uri="{B025F937-C7B1-47D3-B67F-A62EFF666E3E}">
          <x14:id>{47068E82-1646-43D6-9F97-E8C8A8706FB9}</x14:id>
        </ext>
      </extLst>
    </cfRule>
  </conditionalFormatting>
  <conditionalFormatting sqref="A25:C32">
    <cfRule type="dataBar" priority="6">
      <dataBar>
        <cfvo type="min"/>
        <cfvo type="max"/>
        <color rgb="FF638EC6"/>
      </dataBar>
      <extLst>
        <ext xmlns:x14="http://schemas.microsoft.com/office/spreadsheetml/2009/9/main" uri="{B025F937-C7B1-47D3-B67F-A62EFF666E3E}">
          <x14:id>{00A07E7D-AFDB-40DE-A54C-78339A4666AC}</x14:id>
        </ext>
      </extLst>
    </cfRule>
  </conditionalFormatting>
  <conditionalFormatting sqref="C16:C22">
    <cfRule type="dataBar" priority="1">
      <dataBar>
        <cfvo type="min"/>
        <cfvo type="max"/>
        <color rgb="FF63C384"/>
      </dataBar>
      <extLst>
        <ext xmlns:x14="http://schemas.microsoft.com/office/spreadsheetml/2009/9/main" uri="{B025F937-C7B1-47D3-B67F-A62EFF666E3E}">
          <x14:id>{39B59471-5A18-4FEB-AD3F-B194FDA1B0DC}</x14:id>
        </ext>
      </extLst>
    </cfRule>
  </conditionalFormatting>
  <conditionalFormatting sqref="E15:F21">
    <cfRule type="colorScale" priority="2">
      <colorScale>
        <cfvo type="min"/>
        <cfvo type="percentile" val="50"/>
        <cfvo type="max"/>
        <color rgb="FF63BE7B"/>
        <color rgb="FFFFEB84"/>
        <color rgb="FFF8696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7068E82-1646-43D6-9F97-E8C8A8706FB9}">
            <x14:dataBar minLength="0" maxLength="100" border="1" negativeBarBorderColorSameAsPositive="0">
              <x14:cfvo type="autoMin"/>
              <x14:cfvo type="autoMax"/>
              <x14:borderColor rgb="FF63C384"/>
              <x14:negativeFillColor rgb="FFFF0000"/>
              <x14:negativeBorderColor rgb="FFFF0000"/>
              <x14:axisColor rgb="FF000000"/>
            </x14:dataBar>
          </x14:cfRule>
          <xm:sqref>A5:C12</xm:sqref>
        </x14:conditionalFormatting>
        <x14:conditionalFormatting xmlns:xm="http://schemas.microsoft.com/office/excel/2006/main">
          <x14:cfRule type="dataBar" id="{00A07E7D-AFDB-40DE-A54C-78339A4666AC}">
            <x14:dataBar minLength="0" maxLength="100" border="1" negativeBarBorderColorSameAsPositive="0">
              <x14:cfvo type="autoMin"/>
              <x14:cfvo type="autoMax"/>
              <x14:borderColor rgb="FF638EC6"/>
              <x14:negativeFillColor rgb="FFFF0000"/>
              <x14:negativeBorderColor rgb="FFFF0000"/>
              <x14:axisColor rgb="FF000000"/>
            </x14:dataBar>
          </x14:cfRule>
          <xm:sqref>A25:C32</xm:sqref>
        </x14:conditionalFormatting>
        <x14:conditionalFormatting xmlns:xm="http://schemas.microsoft.com/office/excel/2006/main">
          <x14:cfRule type="dataBar" id="{39B59471-5A18-4FEB-AD3F-B194FDA1B0DC}">
            <x14:dataBar minLength="0" maxLength="100" gradient="0">
              <x14:cfvo type="autoMin"/>
              <x14:cfvo type="autoMax"/>
              <x14:negativeFillColor rgb="FFFF0000"/>
              <x14:axisColor rgb="FF000000"/>
            </x14:dataBar>
          </x14:cfRule>
          <xm:sqref>C16:C22</xm:sqref>
        </x14:conditionalFormatting>
        <x14:conditionalFormatting xmlns:xm="http://schemas.microsoft.com/office/excel/2006/main">
          <x14:cfRule type="iconSet" priority="5" id="{BDDC581B-A832-4B2C-898D-35D13BBAC619}">
            <x14:iconSet iconSet="3Triangles">
              <x14:cfvo type="percent">
                <xm:f>0</xm:f>
              </x14:cfvo>
              <x14:cfvo type="percent">
                <xm:f>33</xm:f>
              </x14:cfvo>
              <x14:cfvo type="percent">
                <xm:f>67</xm:f>
              </x14:cfvo>
            </x14:iconSet>
          </x14:cfRule>
          <xm:sqref>D15:E15 E24:K36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5C117-6365-4974-ACED-0B5D6C6D5E22}">
  <dimension ref="A1"/>
  <sheetViews>
    <sheetView showGridLines="0" workbookViewId="0">
      <selection activeCell="G17" sqref="G17"/>
    </sheetView>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7DDD-21CB-4434-9CE4-B3497D6A2DD3}">
  <dimension ref="A2:O42"/>
  <sheetViews>
    <sheetView showGridLines="0" topLeftCell="A22" workbookViewId="0">
      <selection activeCell="AA12" sqref="AA12:AB12"/>
    </sheetView>
  </sheetViews>
  <sheetFormatPr defaultRowHeight="15" x14ac:dyDescent="0.25"/>
  <cols>
    <col min="1" max="1" width="13.7109375" customWidth="1"/>
    <col min="2" max="2" width="12" bestFit="1" customWidth="1"/>
    <col min="3" max="3" width="14" customWidth="1"/>
    <col min="15" max="15" width="14.28515625" customWidth="1"/>
  </cols>
  <sheetData>
    <row r="2" spans="1:4" x14ac:dyDescent="0.25">
      <c r="A2" s="41" t="s">
        <v>152</v>
      </c>
      <c r="B2" s="51" t="s">
        <v>1</v>
      </c>
      <c r="C2" s="41"/>
      <c r="D2" s="41"/>
    </row>
    <row r="3" spans="1:4" x14ac:dyDescent="0.25">
      <c r="A3" s="51" t="s">
        <v>100</v>
      </c>
      <c r="B3" s="41">
        <v>2022</v>
      </c>
      <c r="C3" s="41">
        <v>2023</v>
      </c>
      <c r="D3" s="51" t="s">
        <v>52</v>
      </c>
    </row>
    <row r="4" spans="1:4" x14ac:dyDescent="0.25">
      <c r="A4" s="25" t="s">
        <v>31</v>
      </c>
      <c r="B4">
        <v>6503.9</v>
      </c>
      <c r="C4">
        <v>6886.1</v>
      </c>
      <c r="D4">
        <v>13390</v>
      </c>
    </row>
    <row r="5" spans="1:4" x14ac:dyDescent="0.25">
      <c r="A5" s="25" t="s">
        <v>35</v>
      </c>
      <c r="B5">
        <v>6495.1</v>
      </c>
      <c r="C5">
        <v>6847.9999999999991</v>
      </c>
      <c r="D5">
        <v>13343.099999999999</v>
      </c>
    </row>
    <row r="6" spans="1:4" x14ac:dyDescent="0.25">
      <c r="A6" s="25" t="s">
        <v>36</v>
      </c>
      <c r="B6">
        <v>6559.6</v>
      </c>
      <c r="C6">
        <v>6848.4000000000005</v>
      </c>
      <c r="D6">
        <v>13408</v>
      </c>
    </row>
    <row r="7" spans="1:4" x14ac:dyDescent="0.25">
      <c r="A7" s="25" t="s">
        <v>37</v>
      </c>
      <c r="B7">
        <v>6651.3000000000011</v>
      </c>
      <c r="C7">
        <v>6881.5000000000009</v>
      </c>
      <c r="D7">
        <v>13532.800000000003</v>
      </c>
    </row>
    <row r="8" spans="1:4" x14ac:dyDescent="0.25">
      <c r="A8" s="25" t="s">
        <v>38</v>
      </c>
      <c r="B8">
        <v>6727.9000000000005</v>
      </c>
      <c r="C8">
        <v>6932.7000000000007</v>
      </c>
      <c r="D8">
        <v>13660.600000000002</v>
      </c>
    </row>
    <row r="9" spans="1:4" x14ac:dyDescent="0.25">
      <c r="A9" s="25" t="s">
        <v>39</v>
      </c>
      <c r="B9">
        <v>6797.7</v>
      </c>
      <c r="D9">
        <v>6797.7</v>
      </c>
    </row>
    <row r="10" spans="1:4" x14ac:dyDescent="0.25">
      <c r="A10" s="25" t="s">
        <v>40</v>
      </c>
      <c r="B10">
        <v>6810.4</v>
      </c>
      <c r="D10">
        <v>6810.4</v>
      </c>
    </row>
    <row r="11" spans="1:4" x14ac:dyDescent="0.25">
      <c r="A11" s="25" t="s">
        <v>41</v>
      </c>
      <c r="B11">
        <v>6818.6999999999989</v>
      </c>
      <c r="D11">
        <v>6818.6999999999989</v>
      </c>
    </row>
    <row r="12" spans="1:4" x14ac:dyDescent="0.25">
      <c r="A12" s="25" t="s">
        <v>42</v>
      </c>
      <c r="B12">
        <v>6855.1</v>
      </c>
      <c r="D12">
        <v>6855.1</v>
      </c>
    </row>
    <row r="13" spans="1:4" x14ac:dyDescent="0.25">
      <c r="A13" s="25" t="s">
        <v>43</v>
      </c>
      <c r="B13">
        <v>6904.1</v>
      </c>
      <c r="D13">
        <v>6904.1</v>
      </c>
    </row>
    <row r="14" spans="1:4" x14ac:dyDescent="0.25">
      <c r="A14" s="25" t="s">
        <v>45</v>
      </c>
      <c r="B14">
        <v>6898.9000000000005</v>
      </c>
      <c r="D14">
        <v>6898.9000000000005</v>
      </c>
    </row>
    <row r="15" spans="1:4" x14ac:dyDescent="0.25">
      <c r="A15" s="25" t="s">
        <v>46</v>
      </c>
      <c r="B15">
        <v>6856.2999999999993</v>
      </c>
      <c r="D15">
        <v>6856.2999999999993</v>
      </c>
    </row>
    <row r="16" spans="1:4" x14ac:dyDescent="0.25">
      <c r="A16" s="52" t="s">
        <v>52</v>
      </c>
      <c r="B16" s="41">
        <v>80879</v>
      </c>
      <c r="C16" s="41">
        <v>34396.699999999997</v>
      </c>
      <c r="D16" s="41">
        <v>115275.7</v>
      </c>
    </row>
    <row r="19" spans="1:15" x14ac:dyDescent="0.25">
      <c r="A19" s="41" t="s">
        <v>123</v>
      </c>
      <c r="B19" s="41" t="s">
        <v>122</v>
      </c>
      <c r="C19" s="41" t="s">
        <v>121</v>
      </c>
      <c r="D19" s="41" t="s">
        <v>120</v>
      </c>
      <c r="E19" s="41" t="s">
        <v>119</v>
      </c>
      <c r="F19" s="41" t="s">
        <v>118</v>
      </c>
      <c r="G19" s="41" t="s">
        <v>117</v>
      </c>
      <c r="H19" s="41" t="s">
        <v>116</v>
      </c>
      <c r="I19" s="41" t="s">
        <v>115</v>
      </c>
      <c r="J19" s="41" t="s">
        <v>114</v>
      </c>
      <c r="K19" s="41" t="s">
        <v>113</v>
      </c>
      <c r="L19" s="41" t="s">
        <v>112</v>
      </c>
      <c r="M19" s="41" t="s">
        <v>111</v>
      </c>
      <c r="N19" s="41" t="s">
        <v>110</v>
      </c>
      <c r="O19" s="41" t="s">
        <v>154</v>
      </c>
    </row>
    <row r="20" spans="1:15" x14ac:dyDescent="0.25">
      <c r="A20" s="41">
        <v>2022</v>
      </c>
    </row>
    <row r="21" spans="1:15" x14ac:dyDescent="0.25">
      <c r="A21" t="s">
        <v>31</v>
      </c>
      <c r="B21">
        <v>450</v>
      </c>
      <c r="C21">
        <v>597.69999999999993</v>
      </c>
      <c r="D21">
        <v>536.9</v>
      </c>
      <c r="E21">
        <v>481.4</v>
      </c>
      <c r="F21">
        <v>548.29999999999995</v>
      </c>
      <c r="G21">
        <v>461.4</v>
      </c>
      <c r="H21">
        <v>537.09999999999991</v>
      </c>
      <c r="I21">
        <v>491.70000000000005</v>
      </c>
      <c r="J21">
        <v>532.1</v>
      </c>
      <c r="K21">
        <v>360.6</v>
      </c>
      <c r="L21">
        <v>515.20000000000005</v>
      </c>
      <c r="M21">
        <v>490.7</v>
      </c>
      <c r="N21">
        <v>500.80000000000007</v>
      </c>
      <c r="O21">
        <v>6503.9000000000005</v>
      </c>
    </row>
    <row r="22" spans="1:15" x14ac:dyDescent="0.25">
      <c r="A22" t="s">
        <v>35</v>
      </c>
      <c r="B22">
        <v>451.3</v>
      </c>
      <c r="C22">
        <v>603.9</v>
      </c>
      <c r="D22">
        <v>527.70000000000005</v>
      </c>
      <c r="E22">
        <v>481.99999999999994</v>
      </c>
      <c r="F22">
        <v>549</v>
      </c>
      <c r="G22">
        <v>461.5</v>
      </c>
      <c r="H22">
        <v>522.9</v>
      </c>
      <c r="I22">
        <v>490.79999999999995</v>
      </c>
      <c r="J22">
        <v>534.29999999999995</v>
      </c>
      <c r="K22">
        <v>357.6</v>
      </c>
      <c r="L22">
        <v>521.9</v>
      </c>
      <c r="M22">
        <v>491.9</v>
      </c>
      <c r="N22">
        <v>500.29999999999995</v>
      </c>
      <c r="O22">
        <v>6495.1</v>
      </c>
    </row>
    <row r="23" spans="1:15" x14ac:dyDescent="0.25">
      <c r="A23" t="s">
        <v>36</v>
      </c>
      <c r="B23">
        <v>455.2</v>
      </c>
      <c r="C23">
        <v>634.5</v>
      </c>
      <c r="D23">
        <v>503.4</v>
      </c>
      <c r="E23">
        <v>486.79999999999995</v>
      </c>
      <c r="F23">
        <v>577.70000000000005</v>
      </c>
      <c r="G23">
        <v>473.1</v>
      </c>
      <c r="H23">
        <v>511.1</v>
      </c>
      <c r="I23">
        <v>491.5</v>
      </c>
      <c r="J23">
        <v>538.20000000000005</v>
      </c>
      <c r="K23">
        <v>357.2</v>
      </c>
      <c r="L23">
        <v>530.79999999999995</v>
      </c>
      <c r="M23">
        <v>493.59999999999997</v>
      </c>
      <c r="N23">
        <v>506.5</v>
      </c>
      <c r="O23">
        <v>6559.5999999999995</v>
      </c>
    </row>
    <row r="24" spans="1:15" x14ac:dyDescent="0.25">
      <c r="A24" t="s">
        <v>37</v>
      </c>
      <c r="B24">
        <v>460.1</v>
      </c>
      <c r="C24">
        <v>637.29999999999995</v>
      </c>
      <c r="D24">
        <v>493.6</v>
      </c>
      <c r="E24">
        <v>491.90000000000003</v>
      </c>
      <c r="F24">
        <v>592.9</v>
      </c>
      <c r="G24">
        <v>518.20000000000005</v>
      </c>
      <c r="H24">
        <v>510.5</v>
      </c>
      <c r="I24">
        <v>493.79999999999995</v>
      </c>
      <c r="J24">
        <v>543.1</v>
      </c>
      <c r="K24">
        <v>357.7</v>
      </c>
      <c r="L24">
        <v>542.20000000000005</v>
      </c>
      <c r="M24">
        <v>496.1</v>
      </c>
      <c r="N24">
        <v>513.9</v>
      </c>
      <c r="O24">
        <v>6651.3</v>
      </c>
    </row>
    <row r="25" spans="1:15" x14ac:dyDescent="0.25">
      <c r="A25" t="s">
        <v>38</v>
      </c>
      <c r="B25">
        <v>463.69999999999993</v>
      </c>
      <c r="C25">
        <v>652.9</v>
      </c>
      <c r="D25">
        <v>487.9</v>
      </c>
      <c r="E25">
        <v>494.9</v>
      </c>
      <c r="F25">
        <v>601.79999999999995</v>
      </c>
      <c r="G25">
        <v>513.5</v>
      </c>
      <c r="H25">
        <v>538.5</v>
      </c>
      <c r="I25">
        <v>493.79999999999995</v>
      </c>
      <c r="J25">
        <v>547.79999999999995</v>
      </c>
      <c r="K25">
        <v>359.8</v>
      </c>
      <c r="L25">
        <v>552.9</v>
      </c>
      <c r="M25">
        <v>498.8</v>
      </c>
      <c r="N25">
        <v>521.6</v>
      </c>
      <c r="O25">
        <v>6727.9000000000005</v>
      </c>
    </row>
    <row r="26" spans="1:15" x14ac:dyDescent="0.25">
      <c r="A26" t="s">
        <v>39</v>
      </c>
      <c r="B26">
        <v>466.3</v>
      </c>
      <c r="C26">
        <v>660</v>
      </c>
      <c r="D26">
        <v>513.20000000000005</v>
      </c>
      <c r="E26">
        <v>497.6</v>
      </c>
      <c r="F26">
        <v>597.6</v>
      </c>
      <c r="G26">
        <v>509.59999999999997</v>
      </c>
      <c r="H26">
        <v>561.1</v>
      </c>
      <c r="I26">
        <v>492.5</v>
      </c>
      <c r="J26">
        <v>552.1</v>
      </c>
      <c r="K26">
        <v>360.4</v>
      </c>
      <c r="L26">
        <v>559.5</v>
      </c>
      <c r="M26">
        <v>501.2</v>
      </c>
      <c r="N26">
        <v>526.6</v>
      </c>
      <c r="O26">
        <v>6797.7</v>
      </c>
    </row>
    <row r="27" spans="1:15" x14ac:dyDescent="0.25">
      <c r="A27" t="s">
        <v>40</v>
      </c>
      <c r="B27">
        <v>471</v>
      </c>
      <c r="C27">
        <v>640.90000000000009</v>
      </c>
      <c r="D27">
        <v>526.09999999999991</v>
      </c>
      <c r="E27">
        <v>500</v>
      </c>
      <c r="F27">
        <v>582.79999999999995</v>
      </c>
      <c r="G27">
        <v>523.29999999999995</v>
      </c>
      <c r="H27">
        <v>559.20000000000005</v>
      </c>
      <c r="I27">
        <v>492.70000000000005</v>
      </c>
      <c r="J27">
        <v>556</v>
      </c>
      <c r="K27">
        <v>360.7</v>
      </c>
      <c r="L27">
        <v>568.1</v>
      </c>
      <c r="M27">
        <v>502.70000000000005</v>
      </c>
      <c r="N27">
        <v>526.9</v>
      </c>
      <c r="O27">
        <v>6810.4</v>
      </c>
    </row>
    <row r="28" spans="1:15" x14ac:dyDescent="0.25">
      <c r="A28" t="s">
        <v>41</v>
      </c>
      <c r="B28">
        <v>481.9</v>
      </c>
      <c r="C28">
        <v>621.5</v>
      </c>
      <c r="D28">
        <v>508.09999999999997</v>
      </c>
      <c r="E28">
        <v>504.4</v>
      </c>
      <c r="F28">
        <v>573</v>
      </c>
      <c r="G28">
        <v>519.20000000000005</v>
      </c>
      <c r="H28">
        <v>572.9</v>
      </c>
      <c r="I28">
        <v>501.6</v>
      </c>
      <c r="J28">
        <v>559.20000000000005</v>
      </c>
      <c r="K28">
        <v>363.3</v>
      </c>
      <c r="L28">
        <v>578.9</v>
      </c>
      <c r="M28">
        <v>504.1</v>
      </c>
      <c r="N28">
        <v>530.6</v>
      </c>
      <c r="O28">
        <v>6818.7000000000007</v>
      </c>
    </row>
    <row r="29" spans="1:15" x14ac:dyDescent="0.25">
      <c r="A29" t="s">
        <v>42</v>
      </c>
      <c r="B29">
        <v>491.3</v>
      </c>
      <c r="C29">
        <v>629.59999999999991</v>
      </c>
      <c r="D29">
        <v>509.59999999999997</v>
      </c>
      <c r="E29">
        <v>509.3</v>
      </c>
      <c r="F29">
        <v>562.09999999999991</v>
      </c>
      <c r="G29">
        <v>497.3</v>
      </c>
      <c r="H29">
        <v>589.5</v>
      </c>
      <c r="I29">
        <v>507.29999999999995</v>
      </c>
      <c r="J29">
        <v>562.6</v>
      </c>
      <c r="K29">
        <v>365.5</v>
      </c>
      <c r="L29">
        <v>590</v>
      </c>
      <c r="M29">
        <v>505.9</v>
      </c>
      <c r="N29">
        <v>535.1</v>
      </c>
      <c r="O29">
        <v>6855.1</v>
      </c>
    </row>
    <row r="30" spans="1:15" x14ac:dyDescent="0.25">
      <c r="A30" t="s">
        <v>43</v>
      </c>
      <c r="B30">
        <v>496.3</v>
      </c>
      <c r="C30">
        <v>634.6</v>
      </c>
      <c r="D30">
        <v>513.1</v>
      </c>
      <c r="E30">
        <v>512.79999999999995</v>
      </c>
      <c r="F30">
        <v>555.79999999999995</v>
      </c>
      <c r="G30">
        <v>491.7</v>
      </c>
      <c r="H30">
        <v>613.09999999999991</v>
      </c>
      <c r="I30">
        <v>509.40000000000003</v>
      </c>
      <c r="J30">
        <v>565.4</v>
      </c>
      <c r="K30">
        <v>366.4</v>
      </c>
      <c r="L30">
        <v>597.9</v>
      </c>
      <c r="M30">
        <v>507.3</v>
      </c>
      <c r="N30">
        <v>540.29999999999995</v>
      </c>
      <c r="O30">
        <v>6904.0999999999995</v>
      </c>
    </row>
    <row r="31" spans="1:15" x14ac:dyDescent="0.25">
      <c r="A31" t="s">
        <v>45</v>
      </c>
      <c r="B31">
        <v>502.70000000000005</v>
      </c>
      <c r="C31">
        <v>630</v>
      </c>
      <c r="D31">
        <v>544.79999999999995</v>
      </c>
      <c r="E31">
        <v>516.90000000000009</v>
      </c>
      <c r="F31">
        <v>562.9</v>
      </c>
      <c r="G31">
        <v>482.4</v>
      </c>
      <c r="H31">
        <v>560.20000000000005</v>
      </c>
      <c r="I31">
        <v>511.7</v>
      </c>
      <c r="J31">
        <v>568.79999999999995</v>
      </c>
      <c r="K31">
        <v>367</v>
      </c>
      <c r="L31">
        <v>606.40000000000009</v>
      </c>
      <c r="M31">
        <v>508.9</v>
      </c>
      <c r="N31">
        <v>536.20000000000005</v>
      </c>
      <c r="O31">
        <v>6898.9000000000005</v>
      </c>
    </row>
    <row r="32" spans="1:15" x14ac:dyDescent="0.25">
      <c r="A32" t="s">
        <v>46</v>
      </c>
      <c r="B32">
        <v>508.2</v>
      </c>
      <c r="C32">
        <v>628.79999999999995</v>
      </c>
      <c r="D32">
        <v>571.20000000000005</v>
      </c>
      <c r="E32">
        <v>520.9</v>
      </c>
      <c r="F32">
        <v>561.5</v>
      </c>
      <c r="G32">
        <v>474.2</v>
      </c>
      <c r="H32">
        <v>488.8</v>
      </c>
      <c r="I32">
        <v>512.6</v>
      </c>
      <c r="J32">
        <v>571.29999999999995</v>
      </c>
      <c r="K32">
        <v>366.09999999999997</v>
      </c>
      <c r="L32">
        <v>613.20000000000005</v>
      </c>
      <c r="M32">
        <v>510.6</v>
      </c>
      <c r="N32">
        <v>528.9</v>
      </c>
      <c r="O32">
        <v>6856.3</v>
      </c>
    </row>
    <row r="33" spans="1:15" x14ac:dyDescent="0.25">
      <c r="A33" s="41">
        <v>2023</v>
      </c>
    </row>
    <row r="34" spans="1:15" x14ac:dyDescent="0.25">
      <c r="A34" t="s">
        <v>31</v>
      </c>
      <c r="B34">
        <v>521.1</v>
      </c>
      <c r="C34">
        <v>634.20000000000005</v>
      </c>
      <c r="D34">
        <v>584.4</v>
      </c>
      <c r="E34">
        <v>524.09999999999991</v>
      </c>
      <c r="F34">
        <v>557.79999999999995</v>
      </c>
      <c r="G34">
        <v>475.1</v>
      </c>
      <c r="H34">
        <v>472.1</v>
      </c>
      <c r="I34">
        <v>512.79999999999995</v>
      </c>
      <c r="J34">
        <v>574</v>
      </c>
      <c r="K34">
        <v>364.1</v>
      </c>
      <c r="L34">
        <v>623.20000000000005</v>
      </c>
      <c r="M34">
        <v>512</v>
      </c>
      <c r="N34">
        <v>531.20000000000005</v>
      </c>
      <c r="O34">
        <v>6886.1</v>
      </c>
    </row>
    <row r="35" spans="1:15" x14ac:dyDescent="0.25">
      <c r="A35" t="s">
        <v>35</v>
      </c>
      <c r="B35">
        <v>523.29999999999995</v>
      </c>
      <c r="C35">
        <v>625.09999999999991</v>
      </c>
      <c r="D35">
        <v>526.29999999999995</v>
      </c>
      <c r="E35">
        <v>532.20000000000005</v>
      </c>
      <c r="F35">
        <v>534.9</v>
      </c>
      <c r="G35">
        <v>508.8</v>
      </c>
      <c r="H35">
        <v>469.4</v>
      </c>
      <c r="I35">
        <v>513.6</v>
      </c>
      <c r="J35">
        <v>579.5</v>
      </c>
      <c r="K35">
        <v>361</v>
      </c>
      <c r="L35">
        <v>626.6</v>
      </c>
      <c r="M35">
        <v>514.80000000000007</v>
      </c>
      <c r="N35">
        <v>532.5</v>
      </c>
      <c r="O35">
        <v>6848.0000000000009</v>
      </c>
    </row>
    <row r="36" spans="1:15" x14ac:dyDescent="0.25">
      <c r="A36" t="s">
        <v>36</v>
      </c>
      <c r="B36">
        <v>523.40000000000009</v>
      </c>
      <c r="C36">
        <v>625.09999999999991</v>
      </c>
      <c r="D36">
        <v>526.29999999999995</v>
      </c>
      <c r="E36">
        <v>532.20000000000005</v>
      </c>
      <c r="F36">
        <v>534.70000000000005</v>
      </c>
      <c r="G36">
        <v>508.8</v>
      </c>
      <c r="H36">
        <v>469.6</v>
      </c>
      <c r="I36">
        <v>513.79999999999995</v>
      </c>
      <c r="J36">
        <v>579.5</v>
      </c>
      <c r="K36">
        <v>361</v>
      </c>
      <c r="L36">
        <v>626.6</v>
      </c>
      <c r="M36">
        <v>514.80000000000007</v>
      </c>
      <c r="N36">
        <v>532.6</v>
      </c>
      <c r="O36">
        <v>6848.4000000000005</v>
      </c>
    </row>
    <row r="37" spans="1:15" x14ac:dyDescent="0.25">
      <c r="A37" t="s">
        <v>37</v>
      </c>
      <c r="B37">
        <v>521.90000000000009</v>
      </c>
      <c r="C37">
        <v>629.9</v>
      </c>
      <c r="D37">
        <v>509.9</v>
      </c>
      <c r="E37">
        <v>535.40000000000009</v>
      </c>
      <c r="F37">
        <v>522.1</v>
      </c>
      <c r="G37">
        <v>529.20000000000005</v>
      </c>
      <c r="H37">
        <v>478.1</v>
      </c>
      <c r="I37">
        <v>520.90000000000009</v>
      </c>
      <c r="J37">
        <v>581</v>
      </c>
      <c r="K37">
        <v>364.79999999999995</v>
      </c>
      <c r="L37">
        <v>636.20000000000005</v>
      </c>
      <c r="M37">
        <v>516.59999999999991</v>
      </c>
      <c r="N37">
        <v>535.5</v>
      </c>
      <c r="O37">
        <v>6881.5</v>
      </c>
    </row>
    <row r="38" spans="1:15" x14ac:dyDescent="0.25">
      <c r="A38" t="s">
        <v>38</v>
      </c>
      <c r="B38">
        <v>521.59999999999991</v>
      </c>
      <c r="C38">
        <v>645.20000000000005</v>
      </c>
      <c r="D38">
        <v>520.9</v>
      </c>
      <c r="E38">
        <v>538.5</v>
      </c>
      <c r="F38">
        <v>507.7</v>
      </c>
      <c r="G38">
        <v>517</v>
      </c>
      <c r="H38">
        <v>494.7</v>
      </c>
      <c r="I38">
        <v>527.4</v>
      </c>
      <c r="J38">
        <v>583</v>
      </c>
      <c r="K38">
        <v>368.8</v>
      </c>
      <c r="L38">
        <v>650.9</v>
      </c>
      <c r="M38">
        <v>518</v>
      </c>
      <c r="N38">
        <v>539</v>
      </c>
      <c r="O38">
        <v>6932.6999999999989</v>
      </c>
    </row>
    <row r="39" spans="1:15" x14ac:dyDescent="0.25">
      <c r="A39" s="41" t="s">
        <v>153</v>
      </c>
      <c r="B39" s="41">
        <v>8309.3000000000011</v>
      </c>
      <c r="C39" s="41">
        <v>10731.2</v>
      </c>
      <c r="D39" s="41">
        <v>8903.4</v>
      </c>
      <c r="E39" s="41">
        <v>8661.2999999999993</v>
      </c>
      <c r="F39" s="41">
        <v>9522.6</v>
      </c>
      <c r="G39" s="41">
        <v>8464.2999999999993</v>
      </c>
      <c r="H39" s="41">
        <v>8948.8000000000011</v>
      </c>
      <c r="I39" s="41">
        <v>8577.9</v>
      </c>
      <c r="J39" s="41">
        <v>9527.9000000000015</v>
      </c>
      <c r="K39" s="41">
        <v>6162.0000000000009</v>
      </c>
      <c r="L39" s="41">
        <v>9940.5</v>
      </c>
      <c r="M39" s="41">
        <v>8588</v>
      </c>
      <c r="N39" s="41">
        <v>8938.5</v>
      </c>
      <c r="O39" s="41">
        <v>115275.69999999998</v>
      </c>
    </row>
    <row r="41" spans="1:15" x14ac:dyDescent="0.25">
      <c r="A41" s="41" t="s">
        <v>101</v>
      </c>
      <c r="B41" s="41" t="s">
        <v>122</v>
      </c>
      <c r="C41" s="41" t="s">
        <v>121</v>
      </c>
      <c r="D41" s="41" t="s">
        <v>120</v>
      </c>
      <c r="E41" s="41" t="s">
        <v>119</v>
      </c>
      <c r="F41" s="41" t="s">
        <v>118</v>
      </c>
      <c r="G41" s="41" t="s">
        <v>117</v>
      </c>
      <c r="H41" s="41" t="s">
        <v>116</v>
      </c>
      <c r="I41" s="41" t="s">
        <v>115</v>
      </c>
      <c r="J41" s="41" t="s">
        <v>114</v>
      </c>
      <c r="K41" s="41" t="s">
        <v>113</v>
      </c>
      <c r="L41" s="41" t="s">
        <v>112</v>
      </c>
      <c r="M41" s="41" t="s">
        <v>111</v>
      </c>
      <c r="N41" s="41" t="s">
        <v>110</v>
      </c>
    </row>
    <row r="42" spans="1:15" x14ac:dyDescent="0.25">
      <c r="A42" s="41" t="s">
        <v>155</v>
      </c>
      <c r="B42" s="64">
        <f>B39/O39</f>
        <v>7.2081973911240632E-2</v>
      </c>
      <c r="C42" s="64">
        <f>C39/O39</f>
        <v>9.3091605602915461E-2</v>
      </c>
      <c r="D42" s="64">
        <f>D39/O39</f>
        <v>7.723570535680982E-2</v>
      </c>
      <c r="E42" s="64">
        <f>E39/O39</f>
        <v>7.5135522924605971E-2</v>
      </c>
      <c r="F42" s="64">
        <f>F39/O39</f>
        <v>8.2607175666684324E-2</v>
      </c>
      <c r="G42" s="64">
        <f>G39/O39</f>
        <v>7.3426576459739573E-2</v>
      </c>
      <c r="H42" s="64">
        <f>H39/O39</f>
        <v>7.7629543780692742E-2</v>
      </c>
      <c r="I42" s="64">
        <f>I39/O39</f>
        <v>7.441204000496203E-2</v>
      </c>
      <c r="J42" s="64">
        <f>J39/O39</f>
        <v>8.2653152398987836E-2</v>
      </c>
      <c r="K42" s="64">
        <f>K39/O39</f>
        <v>5.3454457444196843E-2</v>
      </c>
      <c r="L42" s="64">
        <f>L39/O39</f>
        <v>8.6232397634540506E-2</v>
      </c>
      <c r="M42" s="64">
        <f>M39/O39</f>
        <v>7.4499656041993254E-2</v>
      </c>
      <c r="N42" s="64">
        <f>N39/O39</f>
        <v>7.7540192772631189E-2</v>
      </c>
    </row>
  </sheetData>
  <conditionalFormatting pivot="1" sqref="B4:B15">
    <cfRule type="colorScale" priority="15">
      <colorScale>
        <cfvo type="min"/>
        <cfvo type="percentile" val="50"/>
        <cfvo type="max"/>
        <color rgb="FF63BE7B"/>
        <color rgb="FFFFEB84"/>
        <color rgb="FFF8696B"/>
      </colorScale>
    </cfRule>
  </conditionalFormatting>
  <conditionalFormatting pivot="1" sqref="C4:C8">
    <cfRule type="colorScale" priority="14">
      <colorScale>
        <cfvo type="min"/>
        <cfvo type="percentile" val="50"/>
        <cfvo type="max"/>
        <color rgb="FF63BE7B"/>
        <color rgb="FFFFEB84"/>
        <color rgb="FFF8696B"/>
      </colorScale>
    </cfRule>
  </conditionalFormatting>
  <conditionalFormatting sqref="B21:B38">
    <cfRule type="colorScale" priority="13">
      <colorScale>
        <cfvo type="min"/>
        <cfvo type="percentile" val="50"/>
        <cfvo type="max"/>
        <color rgb="FF63BE7B"/>
        <color rgb="FFFFEB84"/>
        <color rgb="FFF8696B"/>
      </colorScale>
    </cfRule>
  </conditionalFormatting>
  <conditionalFormatting sqref="C21:C38">
    <cfRule type="colorScale" priority="12">
      <colorScale>
        <cfvo type="min"/>
        <cfvo type="percentile" val="50"/>
        <cfvo type="max"/>
        <color rgb="FF63BE7B"/>
        <color rgb="FFFFEB84"/>
        <color rgb="FFF8696B"/>
      </colorScale>
    </cfRule>
  </conditionalFormatting>
  <conditionalFormatting sqref="D21:D38">
    <cfRule type="colorScale" priority="11">
      <colorScale>
        <cfvo type="min"/>
        <cfvo type="percentile" val="50"/>
        <cfvo type="max"/>
        <color rgb="FF63BE7B"/>
        <color rgb="FFFFEB84"/>
        <color rgb="FFF8696B"/>
      </colorScale>
    </cfRule>
  </conditionalFormatting>
  <conditionalFormatting sqref="E21:E38">
    <cfRule type="colorScale" priority="10">
      <colorScale>
        <cfvo type="min"/>
        <cfvo type="percentile" val="50"/>
        <cfvo type="max"/>
        <color rgb="FF63BE7B"/>
        <color rgb="FFFFEB84"/>
        <color rgb="FFF8696B"/>
      </colorScale>
    </cfRule>
  </conditionalFormatting>
  <conditionalFormatting sqref="F21:F38">
    <cfRule type="colorScale" priority="9">
      <colorScale>
        <cfvo type="min"/>
        <cfvo type="percentile" val="50"/>
        <cfvo type="max"/>
        <color rgb="FF63BE7B"/>
        <color rgb="FFFFEB84"/>
        <color rgb="FFF8696B"/>
      </colorScale>
    </cfRule>
  </conditionalFormatting>
  <conditionalFormatting sqref="G21:G38">
    <cfRule type="colorScale" priority="8">
      <colorScale>
        <cfvo type="min"/>
        <cfvo type="percentile" val="50"/>
        <cfvo type="max"/>
        <color rgb="FF63BE7B"/>
        <color rgb="FFFFEB84"/>
        <color rgb="FFF8696B"/>
      </colorScale>
    </cfRule>
  </conditionalFormatting>
  <conditionalFormatting sqref="H21:H38">
    <cfRule type="colorScale" priority="7">
      <colorScale>
        <cfvo type="min"/>
        <cfvo type="percentile" val="50"/>
        <cfvo type="max"/>
        <color rgb="FF63BE7B"/>
        <color rgb="FFFFEB84"/>
        <color rgb="FFF8696B"/>
      </colorScale>
    </cfRule>
  </conditionalFormatting>
  <conditionalFormatting sqref="I21:I38">
    <cfRule type="colorScale" priority="6">
      <colorScale>
        <cfvo type="min"/>
        <cfvo type="percentile" val="50"/>
        <cfvo type="max"/>
        <color rgb="FF63BE7B"/>
        <color rgb="FFFFEB84"/>
        <color rgb="FFF8696B"/>
      </colorScale>
    </cfRule>
  </conditionalFormatting>
  <conditionalFormatting sqref="J21:J38">
    <cfRule type="colorScale" priority="5">
      <colorScale>
        <cfvo type="min"/>
        <cfvo type="percentile" val="50"/>
        <cfvo type="max"/>
        <color rgb="FF63BE7B"/>
        <color rgb="FFFFEB84"/>
        <color rgb="FFF8696B"/>
      </colorScale>
    </cfRule>
  </conditionalFormatting>
  <conditionalFormatting sqref="K21:K38">
    <cfRule type="colorScale" priority="4">
      <colorScale>
        <cfvo type="min"/>
        <cfvo type="percentile" val="50"/>
        <cfvo type="max"/>
        <color rgb="FF63BE7B"/>
        <color rgb="FFFFEB84"/>
        <color rgb="FFF8696B"/>
      </colorScale>
    </cfRule>
  </conditionalFormatting>
  <conditionalFormatting sqref="L21:L38">
    <cfRule type="colorScale" priority="3">
      <colorScale>
        <cfvo type="min"/>
        <cfvo type="percentile" val="50"/>
        <cfvo type="max"/>
        <color rgb="FF63BE7B"/>
        <color rgb="FFFFEB84"/>
        <color rgb="FFF8696B"/>
      </colorScale>
    </cfRule>
  </conditionalFormatting>
  <conditionalFormatting sqref="M21:M38">
    <cfRule type="colorScale" priority="2">
      <colorScale>
        <cfvo type="min"/>
        <cfvo type="percentile" val="50"/>
        <cfvo type="max"/>
        <color rgb="FF63BE7B"/>
        <color rgb="FFFFEB84"/>
        <color rgb="FFF8696B"/>
      </colorScale>
    </cfRule>
  </conditionalFormatting>
  <conditionalFormatting sqref="N21:N38">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7A888-C1F7-4ED3-8AE7-1077946139B1}">
  <dimension ref="A1"/>
  <sheetViews>
    <sheetView showGridLines="0" workbookViewId="0">
      <selection activeCell="J22" sqref="J22"/>
    </sheetView>
  </sheetViews>
  <sheetFormatPr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4A1CE-F7B2-485A-B44D-27C6373117DB}">
  <dimension ref="A2:D36"/>
  <sheetViews>
    <sheetView showGridLines="0" topLeftCell="A25" zoomScale="70" zoomScaleNormal="70" workbookViewId="0">
      <selection activeCell="C11" sqref="C11"/>
    </sheetView>
  </sheetViews>
  <sheetFormatPr defaultRowHeight="15" x14ac:dyDescent="0.25"/>
  <cols>
    <col min="1" max="1" width="10.5703125" customWidth="1"/>
    <col min="3" max="3" width="10.42578125" customWidth="1"/>
    <col min="4" max="4" width="16" customWidth="1"/>
  </cols>
  <sheetData>
    <row r="2" spans="1:4" x14ac:dyDescent="0.25">
      <c r="A2" s="65" t="s">
        <v>100</v>
      </c>
      <c r="B2" s="39" t="s">
        <v>53</v>
      </c>
      <c r="C2" s="39" t="s">
        <v>57</v>
      </c>
      <c r="D2" s="39" t="s">
        <v>72</v>
      </c>
    </row>
    <row r="3" spans="1:4" x14ac:dyDescent="0.25">
      <c r="A3" s="44"/>
    </row>
    <row r="4" spans="1:4" x14ac:dyDescent="0.25">
      <c r="A4" s="66" t="s">
        <v>42</v>
      </c>
      <c r="B4">
        <v>5581.3</v>
      </c>
      <c r="C4">
        <v>863.2</v>
      </c>
      <c r="D4">
        <v>5233</v>
      </c>
    </row>
    <row r="5" spans="1:4" x14ac:dyDescent="0.25">
      <c r="A5" s="44" t="s">
        <v>43</v>
      </c>
      <c r="B5">
        <v>5665.1</v>
      </c>
      <c r="C5">
        <v>865.3</v>
      </c>
      <c r="D5">
        <v>5248.9</v>
      </c>
    </row>
    <row r="6" spans="1:4" x14ac:dyDescent="0.25">
      <c r="A6" s="44" t="s">
        <v>45</v>
      </c>
      <c r="B6">
        <v>5739.5</v>
      </c>
      <c r="C6">
        <v>867.7</v>
      </c>
      <c r="D6">
        <v>5267.2</v>
      </c>
    </row>
    <row r="7" spans="1:4" x14ac:dyDescent="0.25">
      <c r="A7" s="44" t="s">
        <v>46</v>
      </c>
      <c r="B7">
        <v>5843.8</v>
      </c>
      <c r="C7">
        <v>869.6</v>
      </c>
      <c r="D7">
        <v>5289.3</v>
      </c>
    </row>
    <row r="8" spans="1:4" x14ac:dyDescent="0.25">
      <c r="A8" s="44" t="s">
        <v>31</v>
      </c>
      <c r="B8">
        <v>5824.4</v>
      </c>
      <c r="C8">
        <v>877.6</v>
      </c>
      <c r="D8">
        <v>5313.5</v>
      </c>
    </row>
    <row r="9" spans="1:4" x14ac:dyDescent="0.25">
      <c r="A9" s="44" t="s">
        <v>35</v>
      </c>
      <c r="B9">
        <v>5738</v>
      </c>
      <c r="C9">
        <v>882.6</v>
      </c>
      <c r="D9">
        <v>5334.1</v>
      </c>
    </row>
    <row r="10" spans="1:4" x14ac:dyDescent="0.25">
      <c r="A10" s="44"/>
    </row>
    <row r="11" spans="1:4" x14ac:dyDescent="0.25">
      <c r="A11" s="67" t="s">
        <v>36</v>
      </c>
      <c r="B11" s="70">
        <v>5688.5</v>
      </c>
      <c r="C11" s="70">
        <v>889.6</v>
      </c>
      <c r="D11" s="70">
        <v>5351.9</v>
      </c>
    </row>
    <row r="12" spans="1:4" s="34" customFormat="1" x14ac:dyDescent="0.25">
      <c r="A12" s="68"/>
      <c r="B12" s="71"/>
      <c r="C12" s="71"/>
      <c r="D12" s="71"/>
    </row>
    <row r="13" spans="1:4" x14ac:dyDescent="0.25">
      <c r="A13" s="44" t="s">
        <v>37</v>
      </c>
      <c r="B13">
        <v>5854.12</v>
      </c>
      <c r="C13">
        <v>885.44</v>
      </c>
      <c r="D13">
        <v>5336.84</v>
      </c>
    </row>
    <row r="14" spans="1:4" x14ac:dyDescent="0.25">
      <c r="A14" s="44" t="s">
        <v>38</v>
      </c>
      <c r="B14">
        <v>5857.84</v>
      </c>
      <c r="C14">
        <v>883.76</v>
      </c>
      <c r="D14">
        <v>5334.36</v>
      </c>
    </row>
    <row r="15" spans="1:4" x14ac:dyDescent="0.25">
      <c r="A15" s="44" t="s">
        <v>39</v>
      </c>
      <c r="B15">
        <v>5912.8</v>
      </c>
      <c r="C15">
        <v>915.7</v>
      </c>
      <c r="D15">
        <v>5442</v>
      </c>
    </row>
    <row r="16" spans="1:4" x14ac:dyDescent="0.25">
      <c r="A16" s="44" t="s">
        <v>40</v>
      </c>
      <c r="B16">
        <v>5912.8</v>
      </c>
      <c r="C16">
        <v>915.7</v>
      </c>
      <c r="D16">
        <v>5442</v>
      </c>
    </row>
    <row r="17" spans="1:4" x14ac:dyDescent="0.25">
      <c r="A17" s="44" t="s">
        <v>41</v>
      </c>
      <c r="B17">
        <v>5998.7</v>
      </c>
      <c r="C17">
        <v>925.6</v>
      </c>
      <c r="D17">
        <v>5470.7</v>
      </c>
    </row>
    <row r="18" spans="1:4" x14ac:dyDescent="0.25">
      <c r="A18" s="44" t="s">
        <v>42</v>
      </c>
      <c r="B18">
        <v>6036</v>
      </c>
      <c r="C18">
        <v>940.3</v>
      </c>
      <c r="D18">
        <v>5498.8</v>
      </c>
    </row>
    <row r="19" spans="1:4" x14ac:dyDescent="0.25">
      <c r="A19" s="44"/>
    </row>
    <row r="20" spans="1:4" x14ac:dyDescent="0.25">
      <c r="A20" s="65" t="s">
        <v>133</v>
      </c>
      <c r="B20" s="39" t="s">
        <v>53</v>
      </c>
      <c r="C20" s="39" t="s">
        <v>57</v>
      </c>
      <c r="D20" s="39" t="s">
        <v>72</v>
      </c>
    </row>
    <row r="21" spans="1:4" x14ac:dyDescent="0.25">
      <c r="A21" s="44" t="s">
        <v>150</v>
      </c>
      <c r="B21" s="43">
        <v>0.42</v>
      </c>
      <c r="C21" s="43">
        <v>0.09</v>
      </c>
      <c r="D21" s="43">
        <v>0.08</v>
      </c>
    </row>
    <row r="23" spans="1:4" x14ac:dyDescent="0.25">
      <c r="A23" s="65" t="s">
        <v>142</v>
      </c>
      <c r="B23" s="39" t="s">
        <v>53</v>
      </c>
      <c r="C23" s="39" t="s">
        <v>57</v>
      </c>
      <c r="D23" s="39" t="s">
        <v>149</v>
      </c>
    </row>
    <row r="24" spans="1:4" x14ac:dyDescent="0.25">
      <c r="A24" s="66" t="s">
        <v>42</v>
      </c>
    </row>
    <row r="25" spans="1:4" x14ac:dyDescent="0.25">
      <c r="A25" s="44" t="s">
        <v>43</v>
      </c>
      <c r="B25">
        <f t="shared" ref="B25:D29" si="0">(B5-B4)/B4</f>
        <v>1.5014423163062401E-2</v>
      </c>
      <c r="C25">
        <f t="shared" si="0"/>
        <v>2.4328081556996167E-3</v>
      </c>
      <c r="D25">
        <f t="shared" si="0"/>
        <v>3.0384100898145682E-3</v>
      </c>
    </row>
    <row r="26" spans="1:4" x14ac:dyDescent="0.25">
      <c r="A26" s="44" t="s">
        <v>45</v>
      </c>
      <c r="B26">
        <f t="shared" si="0"/>
        <v>1.3133042664736656E-2</v>
      </c>
      <c r="C26">
        <f t="shared" si="0"/>
        <v>2.773604530220838E-3</v>
      </c>
      <c r="D26">
        <f t="shared" si="0"/>
        <v>3.4864447789060915E-3</v>
      </c>
    </row>
    <row r="27" spans="1:4" x14ac:dyDescent="0.25">
      <c r="A27" s="44" t="s">
        <v>46</v>
      </c>
      <c r="B27">
        <f t="shared" si="0"/>
        <v>1.8172314661555916E-2</v>
      </c>
      <c r="C27">
        <f t="shared" si="0"/>
        <v>2.1896968998501524E-3</v>
      </c>
      <c r="D27">
        <f t="shared" si="0"/>
        <v>4.1957776427704215E-3</v>
      </c>
    </row>
    <row r="28" spans="1:4" x14ac:dyDescent="0.25">
      <c r="A28" s="44" t="s">
        <v>31</v>
      </c>
      <c r="B28">
        <f t="shared" si="0"/>
        <v>-3.3197576919128898E-3</v>
      </c>
      <c r="C28">
        <f t="shared" si="0"/>
        <v>9.1996320147194107E-3</v>
      </c>
      <c r="D28">
        <f t="shared" si="0"/>
        <v>4.5752746110070928E-3</v>
      </c>
    </row>
    <row r="29" spans="1:4" x14ac:dyDescent="0.25">
      <c r="A29" s="44" t="s">
        <v>35</v>
      </c>
      <c r="B29">
        <f t="shared" si="0"/>
        <v>-1.4834146006455539E-2</v>
      </c>
      <c r="C29">
        <f t="shared" si="0"/>
        <v>5.6973564266180488E-3</v>
      </c>
      <c r="D29">
        <f t="shared" si="0"/>
        <v>3.8769172861579681E-3</v>
      </c>
    </row>
    <row r="30" spans="1:4" x14ac:dyDescent="0.25">
      <c r="A30" s="69" t="s">
        <v>36</v>
      </c>
      <c r="B30">
        <f>(B11-B9)/B9</f>
        <v>-8.6266991983269432E-3</v>
      </c>
      <c r="C30">
        <f>(C11-C9)/C9</f>
        <v>7.931112621799229E-3</v>
      </c>
      <c r="D30">
        <f>(D11-D9)/D9</f>
        <v>3.3370203033312594E-3</v>
      </c>
    </row>
    <row r="31" spans="1:4" x14ac:dyDescent="0.25">
      <c r="A31" s="44" t="s">
        <v>37</v>
      </c>
      <c r="B31">
        <f>(B13-B11)/B11</f>
        <v>2.9114880900061507E-2</v>
      </c>
      <c r="C31">
        <f>(C13-C11)/C11</f>
        <v>-4.6762589928057196E-3</v>
      </c>
      <c r="D31">
        <f>(D13-D11)/D11</f>
        <v>-2.8139539229057888E-3</v>
      </c>
    </row>
    <row r="32" spans="1:4" x14ac:dyDescent="0.25">
      <c r="A32" s="44" t="s">
        <v>38</v>
      </c>
      <c r="B32">
        <f>(B14-B13)/B13</f>
        <v>6.3544990536583716E-4</v>
      </c>
      <c r="C32">
        <f>(C14-C13)/C13</f>
        <v>-1.8973617636430064E-3</v>
      </c>
      <c r="D32">
        <f>(D14-D13)/D13</f>
        <v>-4.6469446339040947E-4</v>
      </c>
    </row>
    <row r="33" spans="1:4" x14ac:dyDescent="0.25">
      <c r="A33" s="44" t="s">
        <v>39</v>
      </c>
      <c r="B33">
        <f t="shared" ref="B33:D36" si="1">(B15-B13)/B13</f>
        <v>1.0023709797544344E-2</v>
      </c>
      <c r="C33">
        <f t="shared" si="1"/>
        <v>3.4175099385616178E-2</v>
      </c>
      <c r="D33">
        <f t="shared" si="1"/>
        <v>1.970454426214761E-2</v>
      </c>
    </row>
    <row r="34" spans="1:4" x14ac:dyDescent="0.25">
      <c r="A34" s="44" t="s">
        <v>40</v>
      </c>
      <c r="B34">
        <f t="shared" si="1"/>
        <v>9.3822979118583019E-3</v>
      </c>
      <c r="C34">
        <f t="shared" si="1"/>
        <v>3.614103376482309E-2</v>
      </c>
      <c r="D34">
        <f t="shared" si="1"/>
        <v>2.0178615616493888E-2</v>
      </c>
    </row>
    <row r="35" spans="1:4" x14ac:dyDescent="0.25">
      <c r="A35" s="44" t="s">
        <v>41</v>
      </c>
      <c r="B35">
        <f t="shared" si="1"/>
        <v>1.452780408605054E-2</v>
      </c>
      <c r="C35">
        <f t="shared" si="1"/>
        <v>1.0811401113901907E-2</v>
      </c>
      <c r="D35">
        <f t="shared" si="1"/>
        <v>5.2737963983829142E-3</v>
      </c>
    </row>
    <row r="36" spans="1:4" x14ac:dyDescent="0.25">
      <c r="A36" s="44" t="s">
        <v>42</v>
      </c>
      <c r="B36">
        <f t="shared" si="1"/>
        <v>2.0836152076850193E-2</v>
      </c>
      <c r="C36">
        <f t="shared" si="1"/>
        <v>2.6864693676968338E-2</v>
      </c>
      <c r="D36">
        <f t="shared" si="1"/>
        <v>1.0437339213524473E-2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78848-C64A-4356-90E3-1D78B3F58D64}">
  <dimension ref="A1"/>
  <sheetViews>
    <sheetView showGridLines="0" topLeftCell="E1" workbookViewId="0">
      <selection activeCell="N5" sqref="N5"/>
    </sheetView>
  </sheetViews>
  <sheetFormatPr defaultRowHeight="15" x14ac:dyDescent="0.2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F3B5-585A-4C84-87EE-A9E8BB696522}">
  <dimension ref="A3:J51"/>
  <sheetViews>
    <sheetView topLeftCell="C19" workbookViewId="0">
      <selection activeCell="H4" sqref="H4:J16"/>
    </sheetView>
  </sheetViews>
  <sheetFormatPr defaultRowHeight="15" x14ac:dyDescent="0.25"/>
  <cols>
    <col min="1" max="1" width="10.5703125" customWidth="1"/>
    <col min="3" max="3" width="17.5703125" customWidth="1"/>
    <col min="4" max="4" width="14.5703125" bestFit="1" customWidth="1"/>
    <col min="5" max="5" width="26.42578125" bestFit="1" customWidth="1"/>
    <col min="6" max="6" width="19.140625" customWidth="1"/>
    <col min="7" max="7" width="17.42578125" bestFit="1" customWidth="1"/>
    <col min="8" max="8" width="13.5703125" customWidth="1"/>
    <col min="9" max="9" width="18.85546875" customWidth="1"/>
    <col min="10" max="10" width="24.140625" customWidth="1"/>
  </cols>
  <sheetData>
    <row r="3" spans="1:10" x14ac:dyDescent="0.25">
      <c r="A3" s="39" t="s">
        <v>100</v>
      </c>
      <c r="B3" s="39">
        <v>2021</v>
      </c>
      <c r="C3" s="39">
        <v>2022</v>
      </c>
      <c r="D3" s="39">
        <v>2023</v>
      </c>
      <c r="E3" s="39" t="s">
        <v>161</v>
      </c>
      <c r="H3" s="41" t="s">
        <v>1</v>
      </c>
      <c r="I3" s="41" t="s">
        <v>172</v>
      </c>
      <c r="J3" s="41" t="s">
        <v>173</v>
      </c>
    </row>
    <row r="4" spans="1:10" x14ac:dyDescent="0.25">
      <c r="A4" t="s">
        <v>31</v>
      </c>
      <c r="B4">
        <v>54.79</v>
      </c>
      <c r="C4">
        <v>84.67</v>
      </c>
      <c r="D4">
        <v>80.92</v>
      </c>
      <c r="E4" t="s">
        <v>162</v>
      </c>
      <c r="H4">
        <v>2021</v>
      </c>
    </row>
    <row r="5" spans="1:10" x14ac:dyDescent="0.25">
      <c r="A5" t="s">
        <v>35</v>
      </c>
      <c r="B5">
        <v>61.22</v>
      </c>
      <c r="C5">
        <v>94.07</v>
      </c>
      <c r="D5">
        <v>82.28</v>
      </c>
      <c r="E5" t="s">
        <v>163</v>
      </c>
      <c r="H5" t="s">
        <v>31</v>
      </c>
      <c r="I5">
        <v>16510.600000000002</v>
      </c>
      <c r="J5" s="84">
        <f>CORREL(I5:I16,B4:B15)</f>
        <v>0.90242272642686183</v>
      </c>
    </row>
    <row r="6" spans="1:10" x14ac:dyDescent="0.25">
      <c r="A6" t="s">
        <v>36</v>
      </c>
      <c r="B6">
        <v>64.73</v>
      </c>
      <c r="C6">
        <v>112.87</v>
      </c>
      <c r="D6">
        <v>79.5</v>
      </c>
      <c r="E6" s="58" t="s">
        <v>164</v>
      </c>
      <c r="H6" t="s">
        <v>35</v>
      </c>
      <c r="I6">
        <v>16507.800000000003</v>
      </c>
      <c r="J6" s="84">
        <f t="shared" ref="J6:J16" si="0">CORREL(I6:I17,B5:B16)</f>
        <v>0.89293044807755184</v>
      </c>
    </row>
    <row r="7" spans="1:10" x14ac:dyDescent="0.25">
      <c r="A7" t="s">
        <v>37</v>
      </c>
      <c r="B7">
        <v>63.4</v>
      </c>
      <c r="C7">
        <v>102.97</v>
      </c>
      <c r="D7">
        <v>80</v>
      </c>
      <c r="E7" t="s">
        <v>165</v>
      </c>
      <c r="H7" t="s">
        <v>36</v>
      </c>
      <c r="I7">
        <v>16544.400000000001</v>
      </c>
      <c r="J7" s="84">
        <f t="shared" si="0"/>
        <v>0.85790379639331915</v>
      </c>
    </row>
    <row r="8" spans="1:10" x14ac:dyDescent="0.25">
      <c r="A8" t="s">
        <v>38</v>
      </c>
      <c r="B8">
        <v>66.95</v>
      </c>
      <c r="C8">
        <v>109.51</v>
      </c>
      <c r="D8">
        <v>78</v>
      </c>
      <c r="E8" t="s">
        <v>156</v>
      </c>
      <c r="H8" t="s">
        <v>37</v>
      </c>
      <c r="I8">
        <v>16663.699999999997</v>
      </c>
      <c r="J8" s="84">
        <f t="shared" si="0"/>
        <v>0.84277311464575755</v>
      </c>
    </row>
    <row r="9" spans="1:10" x14ac:dyDescent="0.25">
      <c r="A9" t="s">
        <v>39</v>
      </c>
      <c r="B9">
        <v>71.98</v>
      </c>
      <c r="C9">
        <v>116.01</v>
      </c>
      <c r="D9">
        <v>77</v>
      </c>
      <c r="E9" t="s">
        <v>166</v>
      </c>
      <c r="H9" t="s">
        <v>38</v>
      </c>
      <c r="I9">
        <v>16961.899999999998</v>
      </c>
      <c r="J9" s="84">
        <f t="shared" si="0"/>
        <v>0.744999780636738</v>
      </c>
    </row>
    <row r="10" spans="1:10" x14ac:dyDescent="0.25">
      <c r="A10" t="s">
        <v>40</v>
      </c>
      <c r="B10">
        <v>73.540000000000006</v>
      </c>
      <c r="C10">
        <v>105.49</v>
      </c>
      <c r="D10">
        <v>76</v>
      </c>
      <c r="E10" t="s">
        <v>157</v>
      </c>
      <c r="H10" t="s">
        <v>39</v>
      </c>
      <c r="I10">
        <v>17052.300000000003</v>
      </c>
      <c r="J10" s="84">
        <f t="shared" si="0"/>
        <v>0.80685124928988317</v>
      </c>
    </row>
    <row r="11" spans="1:10" x14ac:dyDescent="0.25">
      <c r="A11" t="s">
        <v>41</v>
      </c>
      <c r="B11">
        <v>69.8</v>
      </c>
      <c r="C11">
        <v>97.4</v>
      </c>
      <c r="D11">
        <v>78</v>
      </c>
      <c r="E11" t="s">
        <v>167</v>
      </c>
      <c r="H11" t="s">
        <v>40</v>
      </c>
      <c r="I11">
        <v>17155.400000000001</v>
      </c>
      <c r="J11" s="84">
        <f t="shared" si="0"/>
        <v>0.91322463580948854</v>
      </c>
    </row>
    <row r="12" spans="1:10" x14ac:dyDescent="0.25">
      <c r="A12" t="s">
        <v>42</v>
      </c>
      <c r="B12">
        <v>73.13</v>
      </c>
      <c r="C12">
        <v>90.71</v>
      </c>
      <c r="D12">
        <v>79</v>
      </c>
      <c r="E12" t="s">
        <v>158</v>
      </c>
      <c r="H12" t="s">
        <v>41</v>
      </c>
      <c r="I12">
        <v>17209.599999999999</v>
      </c>
      <c r="J12" s="84">
        <f t="shared" si="0"/>
        <v>0.9385753318222394</v>
      </c>
    </row>
    <row r="13" spans="1:10" x14ac:dyDescent="0.25">
      <c r="A13" t="s">
        <v>159</v>
      </c>
      <c r="B13">
        <v>82.11</v>
      </c>
      <c r="C13">
        <v>91.7</v>
      </c>
      <c r="D13">
        <v>80</v>
      </c>
      <c r="E13" t="s">
        <v>168</v>
      </c>
      <c r="H13" t="s">
        <v>42</v>
      </c>
      <c r="I13">
        <v>17228</v>
      </c>
      <c r="J13" s="84">
        <f t="shared" si="0"/>
        <v>0.94203501616171326</v>
      </c>
    </row>
    <row r="14" spans="1:10" x14ac:dyDescent="0.25">
      <c r="A14" t="s">
        <v>45</v>
      </c>
      <c r="B14">
        <v>80.64</v>
      </c>
      <c r="C14">
        <v>87.55</v>
      </c>
      <c r="D14">
        <v>79</v>
      </c>
      <c r="E14" t="s">
        <v>169</v>
      </c>
      <c r="H14" t="s">
        <v>43</v>
      </c>
      <c r="I14">
        <v>17393.599999999999</v>
      </c>
      <c r="J14" s="84">
        <f t="shared" si="0"/>
        <v>0.9394759464148833</v>
      </c>
    </row>
    <row r="15" spans="1:10" x14ac:dyDescent="0.25">
      <c r="A15" t="s">
        <v>46</v>
      </c>
      <c r="B15">
        <v>73.3</v>
      </c>
      <c r="C15">
        <v>78.099999999999994</v>
      </c>
      <c r="D15">
        <v>78</v>
      </c>
      <c r="E15" t="s">
        <v>170</v>
      </c>
      <c r="H15" t="s">
        <v>45</v>
      </c>
      <c r="I15">
        <v>17497.300000000003</v>
      </c>
      <c r="J15" s="84">
        <f t="shared" si="0"/>
        <v>0.90574936041052589</v>
      </c>
    </row>
    <row r="16" spans="1:10" x14ac:dyDescent="0.25">
      <c r="A16" s="51" t="s">
        <v>160</v>
      </c>
      <c r="B16" s="41">
        <v>68.5</v>
      </c>
      <c r="C16" s="41">
        <v>100.2</v>
      </c>
      <c r="D16" s="41">
        <v>80</v>
      </c>
      <c r="E16" t="s">
        <v>171</v>
      </c>
      <c r="H16" t="s">
        <v>46</v>
      </c>
      <c r="I16">
        <v>17498.2</v>
      </c>
      <c r="J16" s="84">
        <f t="shared" si="0"/>
        <v>0.82465198159766284</v>
      </c>
    </row>
    <row r="17" spans="1:10" x14ac:dyDescent="0.25">
      <c r="H17">
        <v>2022</v>
      </c>
      <c r="J17" s="84"/>
    </row>
    <row r="18" spans="1:10" x14ac:dyDescent="0.25">
      <c r="A18" s="51" t="s">
        <v>1</v>
      </c>
      <c r="B18" s="51" t="s">
        <v>53</v>
      </c>
      <c r="C18" s="51" t="s">
        <v>54</v>
      </c>
      <c r="D18" s="51" t="s">
        <v>55</v>
      </c>
      <c r="E18" s="51" t="s">
        <v>57</v>
      </c>
      <c r="F18" s="51" t="s">
        <v>65</v>
      </c>
      <c r="H18" t="s">
        <v>31</v>
      </c>
      <c r="I18">
        <v>17496.900000000001</v>
      </c>
      <c r="J18" s="84">
        <f>CORREL(I18:I29,C4:C15)</f>
        <v>-0.27483982649308725</v>
      </c>
    </row>
    <row r="19" spans="1:10" x14ac:dyDescent="0.25">
      <c r="A19">
        <v>2021</v>
      </c>
      <c r="H19" t="s">
        <v>35</v>
      </c>
      <c r="I19">
        <v>17553.099999999999</v>
      </c>
      <c r="J19" s="84">
        <f t="shared" ref="J19:J35" si="1">CORREL(I19:I30,C5:C16)</f>
        <v>-0.55956971932830535</v>
      </c>
    </row>
    <row r="20" spans="1:10" x14ac:dyDescent="0.25">
      <c r="A20" t="s">
        <v>31</v>
      </c>
      <c r="B20">
        <v>6239.2</v>
      </c>
      <c r="C20">
        <v>1362.5</v>
      </c>
      <c r="D20">
        <v>5573.4</v>
      </c>
      <c r="E20">
        <v>946.59999999999991</v>
      </c>
      <c r="F20">
        <v>2388.9</v>
      </c>
      <c r="H20" t="s">
        <v>36</v>
      </c>
      <c r="I20">
        <v>17702.800000000003</v>
      </c>
      <c r="J20" s="84">
        <f t="shared" si="1"/>
        <v>-0.8092873097124853</v>
      </c>
    </row>
    <row r="21" spans="1:10" x14ac:dyDescent="0.25">
      <c r="A21" t="s">
        <v>35</v>
      </c>
      <c r="B21">
        <v>6130.6</v>
      </c>
      <c r="C21">
        <v>1376</v>
      </c>
      <c r="D21">
        <v>5632.2</v>
      </c>
      <c r="E21">
        <v>949.6</v>
      </c>
      <c r="F21">
        <v>2419.4000000000005</v>
      </c>
      <c r="H21" t="s">
        <v>37</v>
      </c>
      <c r="I21">
        <v>17911.900000000001</v>
      </c>
      <c r="J21" s="84">
        <f t="shared" si="1"/>
        <v>-0.79568711373207879</v>
      </c>
    </row>
    <row r="22" spans="1:10" x14ac:dyDescent="0.25">
      <c r="A22" t="s">
        <v>36</v>
      </c>
      <c r="B22">
        <v>6129.5999999999995</v>
      </c>
      <c r="C22">
        <v>1381.4</v>
      </c>
      <c r="D22">
        <v>5652.7</v>
      </c>
      <c r="E22">
        <v>945</v>
      </c>
      <c r="F22">
        <v>2435.6999999999998</v>
      </c>
      <c r="H22" t="s">
        <v>38</v>
      </c>
      <c r="I22">
        <v>18057.7</v>
      </c>
      <c r="J22" s="84">
        <f t="shared" si="1"/>
        <v>-0.91500998989177562</v>
      </c>
    </row>
    <row r="23" spans="1:10" x14ac:dyDescent="0.25">
      <c r="A23" t="s">
        <v>37</v>
      </c>
      <c r="B23">
        <v>6203.2</v>
      </c>
      <c r="C23">
        <v>1388.9</v>
      </c>
      <c r="D23">
        <v>5677.5999999999995</v>
      </c>
      <c r="E23">
        <v>951.7</v>
      </c>
      <c r="F23">
        <v>2442.3000000000002</v>
      </c>
      <c r="H23" t="s">
        <v>39</v>
      </c>
      <c r="I23">
        <v>18181.5</v>
      </c>
      <c r="J23" s="84">
        <f t="shared" si="1"/>
        <v>0.66746108927717585</v>
      </c>
    </row>
    <row r="24" spans="1:10" x14ac:dyDescent="0.25">
      <c r="A24" t="s">
        <v>38</v>
      </c>
      <c r="B24">
        <v>6325.7000000000007</v>
      </c>
      <c r="C24">
        <v>1415.5</v>
      </c>
      <c r="D24">
        <v>5769.7</v>
      </c>
      <c r="E24">
        <v>970.69999999999993</v>
      </c>
      <c r="F24">
        <v>2480.3000000000002</v>
      </c>
      <c r="H24" t="s">
        <v>40</v>
      </c>
      <c r="I24">
        <v>18274.5</v>
      </c>
      <c r="J24" s="84">
        <f t="shared" si="1"/>
        <v>0.84534329179572321</v>
      </c>
    </row>
    <row r="25" spans="1:10" x14ac:dyDescent="0.25">
      <c r="A25" t="s">
        <v>39</v>
      </c>
      <c r="B25">
        <v>6410.7000000000007</v>
      </c>
      <c r="C25">
        <v>1417.1</v>
      </c>
      <c r="D25">
        <v>5772.9</v>
      </c>
      <c r="E25">
        <v>973.00000000000011</v>
      </c>
      <c r="F25">
        <v>2478.6000000000004</v>
      </c>
      <c r="H25" t="s">
        <v>41</v>
      </c>
      <c r="I25">
        <v>18333.099999999999</v>
      </c>
      <c r="J25" s="84">
        <f t="shared" si="1"/>
        <v>0.88281986516546529</v>
      </c>
    </row>
    <row r="26" spans="1:10" x14ac:dyDescent="0.25">
      <c r="A26" t="s">
        <v>40</v>
      </c>
      <c r="B26">
        <v>6451.2000000000007</v>
      </c>
      <c r="C26">
        <v>1425</v>
      </c>
      <c r="D26">
        <v>5808.2</v>
      </c>
      <c r="E26">
        <v>979</v>
      </c>
      <c r="F26">
        <v>2492</v>
      </c>
      <c r="H26" t="s">
        <v>42</v>
      </c>
      <c r="I26">
        <v>18426</v>
      </c>
      <c r="J26" s="84">
        <f t="shared" si="1"/>
        <v>0.93281821012424815</v>
      </c>
    </row>
    <row r="27" spans="1:10" x14ac:dyDescent="0.25">
      <c r="A27" t="s">
        <v>41</v>
      </c>
      <c r="B27">
        <v>6430.7</v>
      </c>
      <c r="C27">
        <v>1439.6000000000001</v>
      </c>
      <c r="D27">
        <v>5848.5</v>
      </c>
      <c r="E27">
        <v>982.19999999999993</v>
      </c>
      <c r="F27">
        <v>2508.6</v>
      </c>
      <c r="H27" t="s">
        <v>43</v>
      </c>
      <c r="I27">
        <v>18529.3</v>
      </c>
      <c r="J27" s="84">
        <f t="shared" si="1"/>
        <v>0.9707160471978703</v>
      </c>
    </row>
    <row r="28" spans="1:10" x14ac:dyDescent="0.25">
      <c r="A28" t="s">
        <v>42</v>
      </c>
      <c r="B28">
        <v>6433.5</v>
      </c>
      <c r="C28">
        <v>1442.3999999999999</v>
      </c>
      <c r="D28">
        <v>5856.4</v>
      </c>
      <c r="E28">
        <v>982.9</v>
      </c>
      <c r="F28">
        <v>2512.8000000000002</v>
      </c>
      <c r="H28" t="s">
        <v>45</v>
      </c>
      <c r="I28">
        <v>18576.099999999999</v>
      </c>
      <c r="J28" s="84">
        <f t="shared" si="1"/>
        <v>0.97265075664995748</v>
      </c>
    </row>
    <row r="29" spans="1:10" x14ac:dyDescent="0.25">
      <c r="A29" t="s">
        <v>43</v>
      </c>
      <c r="B29">
        <v>6538.1</v>
      </c>
      <c r="C29">
        <v>1451.8000000000002</v>
      </c>
      <c r="D29">
        <v>5890.8</v>
      </c>
      <c r="E29">
        <v>987.30000000000007</v>
      </c>
      <c r="F29">
        <v>2525.6</v>
      </c>
      <c r="H29" t="s">
        <v>46</v>
      </c>
      <c r="I29">
        <v>18585.5</v>
      </c>
      <c r="J29" s="84">
        <f t="shared" si="1"/>
        <v>0.95908180788419295</v>
      </c>
    </row>
    <row r="30" spans="1:10" x14ac:dyDescent="0.25">
      <c r="A30" t="s">
        <v>45</v>
      </c>
      <c r="B30">
        <v>6594</v>
      </c>
      <c r="C30">
        <v>1463.9</v>
      </c>
      <c r="D30">
        <v>5914.8</v>
      </c>
      <c r="E30">
        <v>993.9</v>
      </c>
      <c r="F30">
        <v>2530.6999999999998</v>
      </c>
      <c r="H30">
        <v>2023</v>
      </c>
      <c r="J30" s="84"/>
    </row>
    <row r="31" spans="1:10" x14ac:dyDescent="0.25">
      <c r="A31" t="s">
        <v>46</v>
      </c>
      <c r="B31">
        <v>6555.4000000000005</v>
      </c>
      <c r="C31">
        <v>1475.2</v>
      </c>
      <c r="D31">
        <v>5935.5</v>
      </c>
      <c r="E31">
        <v>997.5</v>
      </c>
      <c r="F31">
        <v>2534.6</v>
      </c>
      <c r="H31" t="s">
        <v>31</v>
      </c>
      <c r="I31">
        <v>18671.599999999999</v>
      </c>
      <c r="J31" s="84">
        <f t="shared" si="1"/>
        <v>1</v>
      </c>
    </row>
    <row r="32" spans="1:10" x14ac:dyDescent="0.25">
      <c r="A32">
        <v>2022</v>
      </c>
      <c r="H32" t="s">
        <v>35</v>
      </c>
      <c r="I32">
        <v>18714.5</v>
      </c>
      <c r="J32" s="84">
        <f t="shared" si="1"/>
        <v>1</v>
      </c>
    </row>
    <row r="33" spans="1:10" x14ac:dyDescent="0.25">
      <c r="A33" t="s">
        <v>31</v>
      </c>
      <c r="B33">
        <v>6503.9</v>
      </c>
      <c r="C33">
        <v>1489.7</v>
      </c>
      <c r="D33">
        <v>5963.2000000000007</v>
      </c>
      <c r="E33">
        <v>1001.1999999999999</v>
      </c>
      <c r="F33">
        <v>2538.9</v>
      </c>
      <c r="H33" t="s">
        <v>36</v>
      </c>
      <c r="I33">
        <v>18713.7</v>
      </c>
      <c r="J33" s="84">
        <f t="shared" si="1"/>
        <v>1</v>
      </c>
    </row>
    <row r="34" spans="1:10" x14ac:dyDescent="0.25">
      <c r="A34" t="s">
        <v>35</v>
      </c>
      <c r="B34">
        <v>6495.1</v>
      </c>
      <c r="C34">
        <v>1501.1</v>
      </c>
      <c r="D34">
        <v>5997.2</v>
      </c>
      <c r="E34">
        <v>1007.8</v>
      </c>
      <c r="F34">
        <v>2551.8999999999996</v>
      </c>
      <c r="H34" t="s">
        <v>37</v>
      </c>
      <c r="I34">
        <v>18803.7</v>
      </c>
      <c r="J34" s="84">
        <f t="shared" si="1"/>
        <v>1</v>
      </c>
    </row>
    <row r="35" spans="1:10" x14ac:dyDescent="0.25">
      <c r="A35" t="s">
        <v>36</v>
      </c>
      <c r="B35">
        <v>6559.6</v>
      </c>
      <c r="C35">
        <v>1516.1</v>
      </c>
      <c r="D35">
        <v>6040.9</v>
      </c>
      <c r="E35">
        <v>1018.6</v>
      </c>
      <c r="F35">
        <v>2567.6000000000004</v>
      </c>
      <c r="H35" t="s">
        <v>38</v>
      </c>
      <c r="I35">
        <v>18897</v>
      </c>
      <c r="J35" s="84">
        <v>0.93</v>
      </c>
    </row>
    <row r="36" spans="1:10" x14ac:dyDescent="0.25">
      <c r="A36" t="s">
        <v>37</v>
      </c>
      <c r="B36">
        <v>6651.3000000000011</v>
      </c>
      <c r="C36">
        <v>1532.1000000000001</v>
      </c>
      <c r="D36">
        <v>6106.8</v>
      </c>
      <c r="E36">
        <v>1026.2</v>
      </c>
      <c r="F36">
        <v>2595.5</v>
      </c>
    </row>
    <row r="37" spans="1:10" x14ac:dyDescent="0.25">
      <c r="A37" t="s">
        <v>38</v>
      </c>
      <c r="B37">
        <v>6727.9000000000005</v>
      </c>
      <c r="C37">
        <v>1547.8</v>
      </c>
      <c r="D37">
        <v>6143.4</v>
      </c>
      <c r="E37">
        <v>1027.7</v>
      </c>
      <c r="F37">
        <v>2610.9</v>
      </c>
    </row>
    <row r="38" spans="1:10" x14ac:dyDescent="0.25">
      <c r="A38" t="s">
        <v>39</v>
      </c>
      <c r="B38">
        <v>6797.7</v>
      </c>
      <c r="C38">
        <v>1561.1999999999998</v>
      </c>
      <c r="D38">
        <v>6168.6</v>
      </c>
      <c r="E38">
        <v>1032.6000000000001</v>
      </c>
      <c r="F38">
        <v>2621.3999999999996</v>
      </c>
    </row>
    <row r="39" spans="1:10" x14ac:dyDescent="0.25">
      <c r="A39" t="s">
        <v>40</v>
      </c>
      <c r="B39">
        <v>6810.4</v>
      </c>
      <c r="C39">
        <v>1572.9</v>
      </c>
      <c r="D39">
        <v>6210.6999999999989</v>
      </c>
      <c r="E39">
        <v>1035.8</v>
      </c>
      <c r="F39">
        <v>2644.7</v>
      </c>
    </row>
    <row r="40" spans="1:10" x14ac:dyDescent="0.25">
      <c r="A40" t="s">
        <v>41</v>
      </c>
      <c r="B40">
        <v>6818.6999999999989</v>
      </c>
      <c r="C40">
        <v>1583.9</v>
      </c>
      <c r="D40">
        <v>6238</v>
      </c>
      <c r="E40">
        <v>1042.5</v>
      </c>
      <c r="F40">
        <v>2650</v>
      </c>
    </row>
    <row r="41" spans="1:10" x14ac:dyDescent="0.25">
      <c r="A41" t="s">
        <v>42</v>
      </c>
      <c r="B41">
        <v>6855.1</v>
      </c>
      <c r="C41">
        <v>1597.3000000000002</v>
      </c>
      <c r="D41">
        <v>6268</v>
      </c>
      <c r="E41">
        <v>1044.5999999999999</v>
      </c>
      <c r="F41">
        <v>2661</v>
      </c>
    </row>
    <row r="42" spans="1:10" x14ac:dyDescent="0.25">
      <c r="A42" t="s">
        <v>43</v>
      </c>
      <c r="B42">
        <v>6904.1</v>
      </c>
      <c r="C42">
        <v>1606.3</v>
      </c>
      <c r="D42">
        <v>6297.9</v>
      </c>
      <c r="E42">
        <v>1051</v>
      </c>
      <c r="F42">
        <v>2670</v>
      </c>
    </row>
    <row r="43" spans="1:10" x14ac:dyDescent="0.25">
      <c r="A43" t="s">
        <v>45</v>
      </c>
      <c r="B43">
        <v>6898.9000000000005</v>
      </c>
      <c r="C43">
        <v>1615.6</v>
      </c>
      <c r="D43">
        <v>6325.2000000000007</v>
      </c>
      <c r="E43">
        <v>1058.7</v>
      </c>
      <c r="F43">
        <v>2677.7</v>
      </c>
    </row>
    <row r="44" spans="1:10" x14ac:dyDescent="0.25">
      <c r="A44" t="s">
        <v>46</v>
      </c>
      <c r="B44">
        <v>6856.2999999999993</v>
      </c>
      <c r="C44">
        <v>1623.7</v>
      </c>
      <c r="D44">
        <v>6350.4</v>
      </c>
      <c r="E44">
        <v>1069.3</v>
      </c>
      <c r="F44">
        <v>2685.8</v>
      </c>
    </row>
    <row r="45" spans="1:10" x14ac:dyDescent="0.25">
      <c r="A45">
        <v>2023</v>
      </c>
    </row>
    <row r="46" spans="1:10" x14ac:dyDescent="0.25">
      <c r="A46" t="s">
        <v>31</v>
      </c>
      <c r="B46">
        <v>6886.1</v>
      </c>
      <c r="C46">
        <v>1630.8000000000002</v>
      </c>
      <c r="D46">
        <v>6380.2</v>
      </c>
      <c r="E46">
        <v>1081.3000000000002</v>
      </c>
      <c r="F46">
        <v>2693.2</v>
      </c>
    </row>
    <row r="47" spans="1:10" x14ac:dyDescent="0.25">
      <c r="A47" t="s">
        <v>35</v>
      </c>
      <c r="B47">
        <v>6847.9999999999991</v>
      </c>
      <c r="C47">
        <v>1642.1</v>
      </c>
      <c r="D47">
        <v>6423</v>
      </c>
      <c r="E47">
        <v>1094.9000000000001</v>
      </c>
      <c r="F47">
        <v>2706.5</v>
      </c>
    </row>
    <row r="48" spans="1:10" x14ac:dyDescent="0.25">
      <c r="A48" t="s">
        <v>36</v>
      </c>
      <c r="B48">
        <v>6848.4000000000005</v>
      </c>
      <c r="C48">
        <v>1641.9</v>
      </c>
      <c r="D48">
        <v>6422.4</v>
      </c>
      <c r="E48">
        <v>1095</v>
      </c>
      <c r="F48">
        <v>2706</v>
      </c>
    </row>
    <row r="49" spans="1:6" x14ac:dyDescent="0.25">
      <c r="A49" t="s">
        <v>37</v>
      </c>
      <c r="B49">
        <v>6881.5000000000009</v>
      </c>
      <c r="C49">
        <v>1647.6000000000001</v>
      </c>
      <c r="D49">
        <v>6452.3</v>
      </c>
      <c r="E49">
        <v>1105.9000000000001</v>
      </c>
      <c r="F49">
        <v>2716.3999999999996</v>
      </c>
    </row>
    <row r="50" spans="1:6" x14ac:dyDescent="0.25">
      <c r="A50" t="s">
        <v>38</v>
      </c>
      <c r="B50">
        <v>6932.7000000000007</v>
      </c>
      <c r="C50">
        <v>1651.8000000000002</v>
      </c>
      <c r="D50">
        <v>6474.1</v>
      </c>
      <c r="E50">
        <v>1111.4000000000001</v>
      </c>
      <c r="F50">
        <v>2727</v>
      </c>
    </row>
    <row r="51" spans="1:6" x14ac:dyDescent="0.25">
      <c r="A51" s="41" t="s">
        <v>96</v>
      </c>
      <c r="B51" s="41">
        <v>191717.59999999998</v>
      </c>
      <c r="C51" s="41">
        <v>44001.2</v>
      </c>
      <c r="D51" s="41">
        <v>175595</v>
      </c>
      <c r="E51" s="41">
        <v>29563.899999999998</v>
      </c>
      <c r="F51" s="41">
        <v>74774</v>
      </c>
    </row>
  </sheetData>
  <conditionalFormatting sqref="B4:B15">
    <cfRule type="colorScale" priority="9">
      <colorScale>
        <cfvo type="min"/>
        <cfvo type="percentile" val="50"/>
        <cfvo type="max"/>
        <color rgb="FF63BE7B"/>
        <color rgb="FFFFEB84"/>
        <color rgb="FFF8696B"/>
      </colorScale>
    </cfRule>
  </conditionalFormatting>
  <conditionalFormatting sqref="B20:B50">
    <cfRule type="colorScale" priority="6">
      <colorScale>
        <cfvo type="min"/>
        <cfvo type="percentile" val="50"/>
        <cfvo type="max"/>
        <color rgb="FF63BE7B"/>
        <color rgb="FFFFEB84"/>
        <color rgb="FFF8696B"/>
      </colorScale>
    </cfRule>
  </conditionalFormatting>
  <conditionalFormatting sqref="C4:C15">
    <cfRule type="colorScale" priority="8">
      <colorScale>
        <cfvo type="min"/>
        <cfvo type="percentile" val="50"/>
        <cfvo type="max"/>
        <color rgb="FF63BE7B"/>
        <color rgb="FFFFEB84"/>
        <color rgb="FFF8696B"/>
      </colorScale>
    </cfRule>
  </conditionalFormatting>
  <conditionalFormatting sqref="C20:C50">
    <cfRule type="colorScale" priority="5">
      <colorScale>
        <cfvo type="min"/>
        <cfvo type="percentile" val="50"/>
        <cfvo type="max"/>
        <color rgb="FF63BE7B"/>
        <color rgb="FFFFEB84"/>
        <color rgb="FFF8696B"/>
      </colorScale>
    </cfRule>
  </conditionalFormatting>
  <conditionalFormatting sqref="D20:D50">
    <cfRule type="colorScale" priority="4">
      <colorScale>
        <cfvo type="min"/>
        <cfvo type="percentile" val="50"/>
        <cfvo type="max"/>
        <color rgb="FF63BE7B"/>
        <color rgb="FFFFEB84"/>
        <color rgb="FFF8696B"/>
      </colorScale>
    </cfRule>
  </conditionalFormatting>
  <conditionalFormatting sqref="E20:E50">
    <cfRule type="colorScale" priority="3">
      <colorScale>
        <cfvo type="min"/>
        <cfvo type="percentile" val="50"/>
        <cfvo type="max"/>
        <color rgb="FF63BE7B"/>
        <color rgb="FFFFEB84"/>
        <color rgb="FFF8696B"/>
      </colorScale>
    </cfRule>
  </conditionalFormatting>
  <conditionalFormatting sqref="F20:F50">
    <cfRule type="colorScale" priority="2">
      <colorScale>
        <cfvo type="min"/>
        <cfvo type="percentile" val="50"/>
        <cfvo type="max"/>
        <color rgb="FF63BE7B"/>
        <color rgb="FFFFEB84"/>
        <color rgb="FFF8696B"/>
      </colorScale>
    </cfRule>
  </conditionalFormatting>
  <conditionalFormatting sqref="D4:D15">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87136-10B5-45BE-BB40-A143C1AA7AF1}">
  <dimension ref="A3:F36"/>
  <sheetViews>
    <sheetView workbookViewId="0">
      <selection activeCell="A3" sqref="A3:F17"/>
    </sheetView>
  </sheetViews>
  <sheetFormatPr defaultRowHeight="15" x14ac:dyDescent="0.25"/>
  <cols>
    <col min="1" max="1" width="14.5703125" bestFit="1" customWidth="1"/>
    <col min="2" max="2" width="12" bestFit="1" customWidth="1"/>
    <col min="3" max="3" width="26.42578125" bestFit="1" customWidth="1"/>
    <col min="4" max="4" width="23.42578125" bestFit="1" customWidth="1"/>
    <col min="5" max="5" width="17.42578125" bestFit="1" customWidth="1"/>
    <col min="6" max="6" width="26.42578125" bestFit="1" customWidth="1"/>
  </cols>
  <sheetData>
    <row r="3" spans="1:6" x14ac:dyDescent="0.25">
      <c r="A3" s="21" t="s">
        <v>1</v>
      </c>
      <c r="B3" t="s">
        <v>92</v>
      </c>
      <c r="C3" t="s">
        <v>66</v>
      </c>
      <c r="D3" t="s">
        <v>67</v>
      </c>
      <c r="E3" t="s">
        <v>69</v>
      </c>
      <c r="F3" t="s">
        <v>70</v>
      </c>
    </row>
    <row r="4" spans="1:6" x14ac:dyDescent="0.25">
      <c r="A4" s="25">
        <v>2021</v>
      </c>
      <c r="B4">
        <v>76441.899999999994</v>
      </c>
      <c r="C4">
        <v>17039.3</v>
      </c>
      <c r="D4">
        <v>69332.700000000012</v>
      </c>
      <c r="E4">
        <v>11659.399999999998</v>
      </c>
      <c r="F4">
        <v>29749.5</v>
      </c>
    </row>
    <row r="5" spans="1:6" x14ac:dyDescent="0.25">
      <c r="A5" s="27" t="s">
        <v>31</v>
      </c>
      <c r="B5">
        <v>6239.2</v>
      </c>
      <c r="C5">
        <v>1362.5</v>
      </c>
      <c r="D5">
        <v>5573.4</v>
      </c>
      <c r="E5">
        <v>946.59999999999991</v>
      </c>
      <c r="F5">
        <v>2388.9</v>
      </c>
    </row>
    <row r="6" spans="1:6" x14ac:dyDescent="0.25">
      <c r="A6" s="27" t="s">
        <v>35</v>
      </c>
      <c r="B6">
        <v>6130.6</v>
      </c>
      <c r="C6">
        <v>1376</v>
      </c>
      <c r="D6">
        <v>5632.2</v>
      </c>
      <c r="E6">
        <v>949.6</v>
      </c>
      <c r="F6">
        <v>2419.4000000000005</v>
      </c>
    </row>
    <row r="7" spans="1:6" x14ac:dyDescent="0.25">
      <c r="A7" s="27" t="s">
        <v>36</v>
      </c>
      <c r="B7">
        <v>6129.5999999999995</v>
      </c>
      <c r="C7">
        <v>1381.4</v>
      </c>
      <c r="D7">
        <v>5652.7</v>
      </c>
      <c r="E7">
        <v>945</v>
      </c>
      <c r="F7">
        <v>2435.6999999999998</v>
      </c>
    </row>
    <row r="8" spans="1:6" x14ac:dyDescent="0.25">
      <c r="A8" s="27" t="s">
        <v>37</v>
      </c>
      <c r="B8">
        <v>6203.2</v>
      </c>
      <c r="C8">
        <v>1388.9</v>
      </c>
      <c r="D8">
        <v>5677.5999999999995</v>
      </c>
      <c r="E8">
        <v>951.7</v>
      </c>
      <c r="F8">
        <v>2442.3000000000002</v>
      </c>
    </row>
    <row r="9" spans="1:6" x14ac:dyDescent="0.25">
      <c r="A9" s="27" t="s">
        <v>38</v>
      </c>
      <c r="B9">
        <v>6325.7000000000007</v>
      </c>
      <c r="C9">
        <v>1415.5</v>
      </c>
      <c r="D9">
        <v>5769.7</v>
      </c>
      <c r="E9">
        <v>970.69999999999993</v>
      </c>
      <c r="F9">
        <v>2480.3000000000002</v>
      </c>
    </row>
    <row r="10" spans="1:6" x14ac:dyDescent="0.25">
      <c r="A10" s="27" t="s">
        <v>39</v>
      </c>
      <c r="B10">
        <v>6410.7000000000007</v>
      </c>
      <c r="C10">
        <v>1417.1</v>
      </c>
      <c r="D10">
        <v>5772.9</v>
      </c>
      <c r="E10">
        <v>973.00000000000011</v>
      </c>
      <c r="F10">
        <v>2478.6000000000004</v>
      </c>
    </row>
    <row r="11" spans="1:6" x14ac:dyDescent="0.25">
      <c r="A11" s="27" t="s">
        <v>40</v>
      </c>
      <c r="B11">
        <v>6451.2000000000007</v>
      </c>
      <c r="C11">
        <v>1425</v>
      </c>
      <c r="D11">
        <v>5808.2</v>
      </c>
      <c r="E11">
        <v>979</v>
      </c>
      <c r="F11">
        <v>2492</v>
      </c>
    </row>
    <row r="12" spans="1:6" x14ac:dyDescent="0.25">
      <c r="A12" s="27" t="s">
        <v>41</v>
      </c>
      <c r="B12">
        <v>6430.7</v>
      </c>
      <c r="C12">
        <v>1439.6000000000001</v>
      </c>
      <c r="D12">
        <v>5848.5</v>
      </c>
      <c r="E12">
        <v>982.19999999999993</v>
      </c>
      <c r="F12">
        <v>2508.6</v>
      </c>
    </row>
    <row r="13" spans="1:6" x14ac:dyDescent="0.25">
      <c r="A13" s="27" t="s">
        <v>42</v>
      </c>
      <c r="B13">
        <v>6433.5</v>
      </c>
      <c r="C13">
        <v>1442.3999999999999</v>
      </c>
      <c r="D13">
        <v>5856.4</v>
      </c>
      <c r="E13">
        <v>982.9</v>
      </c>
      <c r="F13">
        <v>2512.8000000000002</v>
      </c>
    </row>
    <row r="14" spans="1:6" x14ac:dyDescent="0.25">
      <c r="A14" s="27" t="s">
        <v>43</v>
      </c>
      <c r="B14">
        <v>6538.1</v>
      </c>
      <c r="C14">
        <v>1451.8000000000002</v>
      </c>
      <c r="D14">
        <v>5890.8</v>
      </c>
      <c r="E14">
        <v>987.30000000000007</v>
      </c>
      <c r="F14">
        <v>2525.6</v>
      </c>
    </row>
    <row r="15" spans="1:6" x14ac:dyDescent="0.25">
      <c r="A15" s="27" t="s">
        <v>45</v>
      </c>
      <c r="B15">
        <v>6594</v>
      </c>
      <c r="C15">
        <v>1463.9</v>
      </c>
      <c r="D15">
        <v>5914.8</v>
      </c>
      <c r="E15">
        <v>993.9</v>
      </c>
      <c r="F15">
        <v>2530.6999999999998</v>
      </c>
    </row>
    <row r="16" spans="1:6" x14ac:dyDescent="0.25">
      <c r="A16" s="27" t="s">
        <v>46</v>
      </c>
      <c r="B16">
        <v>6555.4000000000005</v>
      </c>
      <c r="C16">
        <v>1475.2</v>
      </c>
      <c r="D16">
        <v>5935.5</v>
      </c>
      <c r="E16">
        <v>997.5</v>
      </c>
      <c r="F16">
        <v>2534.6</v>
      </c>
    </row>
    <row r="17" spans="1:6" x14ac:dyDescent="0.25">
      <c r="A17" s="25">
        <v>2022</v>
      </c>
      <c r="B17">
        <v>80879</v>
      </c>
      <c r="C17">
        <v>18747.699999999997</v>
      </c>
      <c r="D17">
        <v>74110.299999999988</v>
      </c>
      <c r="E17">
        <v>12416.000000000002</v>
      </c>
      <c r="F17">
        <v>31475.399999999998</v>
      </c>
    </row>
    <row r="18" spans="1:6" x14ac:dyDescent="0.25">
      <c r="A18" s="27" t="s">
        <v>31</v>
      </c>
      <c r="B18">
        <v>6503.9</v>
      </c>
      <c r="C18">
        <v>1489.7</v>
      </c>
      <c r="D18">
        <v>5963.2000000000007</v>
      </c>
      <c r="E18">
        <v>1001.1999999999999</v>
      </c>
      <c r="F18">
        <v>2538.9</v>
      </c>
    </row>
    <row r="19" spans="1:6" x14ac:dyDescent="0.25">
      <c r="A19" s="27" t="s">
        <v>35</v>
      </c>
      <c r="B19">
        <v>6495.1</v>
      </c>
      <c r="C19">
        <v>1501.1</v>
      </c>
      <c r="D19">
        <v>5997.2</v>
      </c>
      <c r="E19">
        <v>1007.8</v>
      </c>
      <c r="F19">
        <v>2551.8999999999996</v>
      </c>
    </row>
    <row r="20" spans="1:6" x14ac:dyDescent="0.25">
      <c r="A20" s="27" t="s">
        <v>36</v>
      </c>
      <c r="B20">
        <v>6559.6</v>
      </c>
      <c r="C20">
        <v>1516.1</v>
      </c>
      <c r="D20">
        <v>6040.9</v>
      </c>
      <c r="E20">
        <v>1018.6</v>
      </c>
      <c r="F20">
        <v>2567.6000000000004</v>
      </c>
    </row>
    <row r="21" spans="1:6" x14ac:dyDescent="0.25">
      <c r="A21" s="27" t="s">
        <v>37</v>
      </c>
      <c r="B21">
        <v>6651.3000000000011</v>
      </c>
      <c r="C21">
        <v>1532.1000000000001</v>
      </c>
      <c r="D21">
        <v>6106.8</v>
      </c>
      <c r="E21">
        <v>1026.2</v>
      </c>
      <c r="F21">
        <v>2595.5</v>
      </c>
    </row>
    <row r="22" spans="1:6" x14ac:dyDescent="0.25">
      <c r="A22" s="27" t="s">
        <v>38</v>
      </c>
      <c r="B22">
        <v>6727.9000000000005</v>
      </c>
      <c r="C22">
        <v>1547.8</v>
      </c>
      <c r="D22">
        <v>6143.4</v>
      </c>
      <c r="E22">
        <v>1027.7</v>
      </c>
      <c r="F22">
        <v>2610.9</v>
      </c>
    </row>
    <row r="23" spans="1:6" x14ac:dyDescent="0.25">
      <c r="A23" s="27" t="s">
        <v>39</v>
      </c>
      <c r="B23">
        <v>6797.7</v>
      </c>
      <c r="C23">
        <v>1561.1999999999998</v>
      </c>
      <c r="D23">
        <v>6168.6</v>
      </c>
      <c r="E23">
        <v>1032.6000000000001</v>
      </c>
      <c r="F23">
        <v>2621.3999999999996</v>
      </c>
    </row>
    <row r="24" spans="1:6" x14ac:dyDescent="0.25">
      <c r="A24" s="27" t="s">
        <v>40</v>
      </c>
      <c r="B24">
        <v>6810.4</v>
      </c>
      <c r="C24">
        <v>1572.9</v>
      </c>
      <c r="D24">
        <v>6210.6999999999989</v>
      </c>
      <c r="E24">
        <v>1035.8</v>
      </c>
      <c r="F24">
        <v>2644.7</v>
      </c>
    </row>
    <row r="25" spans="1:6" x14ac:dyDescent="0.25">
      <c r="A25" s="27" t="s">
        <v>41</v>
      </c>
      <c r="B25">
        <v>6818.6999999999989</v>
      </c>
      <c r="C25">
        <v>1583.9</v>
      </c>
      <c r="D25">
        <v>6238</v>
      </c>
      <c r="E25">
        <v>1042.5</v>
      </c>
      <c r="F25">
        <v>2650</v>
      </c>
    </row>
    <row r="26" spans="1:6" x14ac:dyDescent="0.25">
      <c r="A26" s="27" t="s">
        <v>42</v>
      </c>
      <c r="B26">
        <v>6855.1</v>
      </c>
      <c r="C26">
        <v>1597.3000000000002</v>
      </c>
      <c r="D26">
        <v>6268</v>
      </c>
      <c r="E26">
        <v>1044.5999999999999</v>
      </c>
      <c r="F26">
        <v>2661</v>
      </c>
    </row>
    <row r="27" spans="1:6" x14ac:dyDescent="0.25">
      <c r="A27" s="27" t="s">
        <v>43</v>
      </c>
      <c r="B27">
        <v>6904.1</v>
      </c>
      <c r="C27">
        <v>1606.3</v>
      </c>
      <c r="D27">
        <v>6297.9</v>
      </c>
      <c r="E27">
        <v>1051</v>
      </c>
      <c r="F27">
        <v>2670</v>
      </c>
    </row>
    <row r="28" spans="1:6" x14ac:dyDescent="0.25">
      <c r="A28" s="27" t="s">
        <v>45</v>
      </c>
      <c r="B28">
        <v>6898.9000000000005</v>
      </c>
      <c r="C28">
        <v>1615.6</v>
      </c>
      <c r="D28">
        <v>6325.2000000000007</v>
      </c>
      <c r="E28">
        <v>1058.7</v>
      </c>
      <c r="F28">
        <v>2677.7</v>
      </c>
    </row>
    <row r="29" spans="1:6" x14ac:dyDescent="0.25">
      <c r="A29" s="27" t="s">
        <v>46</v>
      </c>
      <c r="B29">
        <v>6856.2999999999993</v>
      </c>
      <c r="C29">
        <v>1623.7</v>
      </c>
      <c r="D29">
        <v>6350.4</v>
      </c>
      <c r="E29">
        <v>1069.3</v>
      </c>
      <c r="F29">
        <v>2685.8</v>
      </c>
    </row>
    <row r="30" spans="1:6" x14ac:dyDescent="0.25">
      <c r="A30" s="25">
        <v>2023</v>
      </c>
      <c r="B30">
        <v>34396.699999999997</v>
      </c>
      <c r="C30">
        <v>8214.2000000000007</v>
      </c>
      <c r="D30">
        <v>32152</v>
      </c>
      <c r="E30">
        <v>5488.5</v>
      </c>
      <c r="F30">
        <v>13549.099999999999</v>
      </c>
    </row>
    <row r="31" spans="1:6" x14ac:dyDescent="0.25">
      <c r="A31" s="27" t="s">
        <v>31</v>
      </c>
      <c r="B31">
        <v>6886.1</v>
      </c>
      <c r="C31">
        <v>1630.8000000000002</v>
      </c>
      <c r="D31">
        <v>6380.2</v>
      </c>
      <c r="E31">
        <v>1081.3000000000002</v>
      </c>
      <c r="F31">
        <v>2693.2</v>
      </c>
    </row>
    <row r="32" spans="1:6" x14ac:dyDescent="0.25">
      <c r="A32" s="27" t="s">
        <v>35</v>
      </c>
      <c r="B32">
        <v>6847.9999999999991</v>
      </c>
      <c r="C32">
        <v>1642.1</v>
      </c>
      <c r="D32">
        <v>6423</v>
      </c>
      <c r="E32">
        <v>1094.9000000000001</v>
      </c>
      <c r="F32">
        <v>2706.5</v>
      </c>
    </row>
    <row r="33" spans="1:6" x14ac:dyDescent="0.25">
      <c r="A33" s="27" t="s">
        <v>36</v>
      </c>
      <c r="B33">
        <v>6848.4000000000005</v>
      </c>
      <c r="C33">
        <v>1641.9</v>
      </c>
      <c r="D33">
        <v>6422.4</v>
      </c>
      <c r="E33">
        <v>1095</v>
      </c>
      <c r="F33">
        <v>2706</v>
      </c>
    </row>
    <row r="34" spans="1:6" x14ac:dyDescent="0.25">
      <c r="A34" s="27" t="s">
        <v>37</v>
      </c>
      <c r="B34">
        <v>6881.5000000000009</v>
      </c>
      <c r="C34">
        <v>1647.6000000000001</v>
      </c>
      <c r="D34">
        <v>6452.3</v>
      </c>
      <c r="E34">
        <v>1105.9000000000001</v>
      </c>
      <c r="F34">
        <v>2716.3999999999996</v>
      </c>
    </row>
    <row r="35" spans="1:6" x14ac:dyDescent="0.25">
      <c r="A35" s="27" t="s">
        <v>38</v>
      </c>
      <c r="B35">
        <v>6932.7000000000007</v>
      </c>
      <c r="C35">
        <v>1651.8000000000002</v>
      </c>
      <c r="D35">
        <v>6474.1</v>
      </c>
      <c r="E35">
        <v>1111.4000000000001</v>
      </c>
      <c r="F35">
        <v>2727</v>
      </c>
    </row>
    <row r="36" spans="1:6" x14ac:dyDescent="0.25">
      <c r="A36" s="25" t="s">
        <v>105</v>
      </c>
      <c r="B36">
        <v>191717.59999999998</v>
      </c>
      <c r="C36">
        <v>44001.2</v>
      </c>
      <c r="D36">
        <v>175595</v>
      </c>
      <c r="E36">
        <v>29563.899999999998</v>
      </c>
      <c r="F36">
        <v>74774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A6E993-EB82-4538-98C7-068242A0BF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All_India_Index_Raw_Data</vt:lpstr>
      <vt:lpstr>Data_clean</vt:lpstr>
      <vt:lpstr>Table1</vt:lpstr>
      <vt:lpstr>Pivot_Analyses</vt:lpstr>
      <vt:lpstr>Analyses</vt:lpstr>
      <vt:lpstr>Problem 1</vt:lpstr>
      <vt:lpstr>Insight 1</vt:lpstr>
      <vt:lpstr>Problem 2</vt:lpstr>
      <vt:lpstr>Insight 2</vt:lpstr>
      <vt:lpstr>Problem 3</vt:lpstr>
      <vt:lpstr>Insight 3</vt:lpstr>
      <vt:lpstr>Problem 4</vt:lpstr>
      <vt:lpstr>Insight 4</vt:lpstr>
      <vt:lpstr>Problem 5</vt:lpstr>
      <vt:lpstr>Insight 5</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NAYAN WADNERE</dc:creator>
  <cp:lastModifiedBy>NAYAN WADNERE</cp:lastModifiedBy>
  <dcterms:created xsi:type="dcterms:W3CDTF">2025-03-08T18:43:26Z</dcterms:created>
  <dcterms:modified xsi:type="dcterms:W3CDTF">2026-03-15T13:28:36Z</dcterms:modified>
</cp:coreProperties>
</file>